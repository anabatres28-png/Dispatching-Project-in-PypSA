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2F71F05E-2EB1-4DDC-B40C-E83A53AABD51}" xr6:coauthVersionLast="47" xr6:coauthVersionMax="47" xr10:uidLastSave="{00000000-0000-0000-0000-000000000000}"/>
  <bookViews>
    <workbookView xWindow="28690" yWindow="-110" windowWidth="29020" windowHeight="15700" tabRatio="752" activeTab="8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Origen de Datos" sheetId="2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7" l="1"/>
  <c r="C2" i="7"/>
  <c r="D3" i="7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D8" i="16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C4" i="6"/>
  <c r="C3" i="6"/>
  <c r="C2" i="6"/>
  <c r="C15" i="17" l="1"/>
  <c r="C6" i="17"/>
  <c r="C5" i="17" l="1"/>
  <c r="V3" i="10" l="1"/>
  <c r="V4" i="10"/>
  <c r="V5" i="10"/>
  <c r="V6" i="10"/>
  <c r="V7" i="10"/>
  <c r="V8" i="10"/>
  <c r="V9" i="10"/>
  <c r="V10" i="10"/>
  <c r="V11" i="10"/>
  <c r="V12" i="10"/>
  <c r="V13" i="10"/>
  <c r="V14" i="10"/>
  <c r="V15" i="10"/>
  <c r="V16" i="10"/>
  <c r="V17" i="10"/>
  <c r="V18" i="10"/>
  <c r="V19" i="10"/>
  <c r="V20" i="10"/>
  <c r="V21" i="10"/>
  <c r="V22" i="10"/>
  <c r="V23" i="10"/>
  <c r="V24" i="10"/>
  <c r="V25" i="10"/>
  <c r="V26" i="10"/>
  <c r="V27" i="10"/>
  <c r="V28" i="10"/>
  <c r="V29" i="10"/>
  <c r="V30" i="10"/>
  <c r="V31" i="10"/>
  <c r="V32" i="10"/>
  <c r="V33" i="10"/>
  <c r="V34" i="10"/>
  <c r="V35" i="10"/>
  <c r="V36" i="10"/>
  <c r="V37" i="10"/>
  <c r="V38" i="10"/>
  <c r="V39" i="10"/>
  <c r="V40" i="10"/>
  <c r="V41" i="10"/>
  <c r="V42" i="10"/>
  <c r="V43" i="10"/>
  <c r="V44" i="10"/>
  <c r="V45" i="10"/>
  <c r="V46" i="10"/>
  <c r="V47" i="10"/>
  <c r="V48" i="10"/>
  <c r="V49" i="10"/>
  <c r="V50" i="10"/>
  <c r="V51" i="10"/>
  <c r="V52" i="10"/>
  <c r="V53" i="10"/>
  <c r="V54" i="10"/>
  <c r="V55" i="10"/>
  <c r="V56" i="10"/>
  <c r="V57" i="10"/>
  <c r="V58" i="10"/>
  <c r="V59" i="10"/>
  <c r="V60" i="10"/>
  <c r="V61" i="10"/>
  <c r="V62" i="10"/>
  <c r="V63" i="10"/>
  <c r="V64" i="10"/>
  <c r="V65" i="10"/>
  <c r="V66" i="10"/>
  <c r="V67" i="10"/>
  <c r="V68" i="10"/>
  <c r="V69" i="10"/>
  <c r="V70" i="10"/>
  <c r="V71" i="10"/>
  <c r="V72" i="10"/>
  <c r="V73" i="10"/>
  <c r="V74" i="10"/>
  <c r="V75" i="10"/>
  <c r="V76" i="10"/>
  <c r="V77" i="10"/>
  <c r="V78" i="10"/>
  <c r="V79" i="10"/>
  <c r="V80" i="10"/>
  <c r="V81" i="10"/>
  <c r="V82" i="10"/>
  <c r="V83" i="10"/>
  <c r="V84" i="10"/>
  <c r="V85" i="10"/>
  <c r="V86" i="10"/>
  <c r="V87" i="10"/>
  <c r="V88" i="10"/>
  <c r="V89" i="10"/>
  <c r="V90" i="10"/>
  <c r="V91" i="10"/>
  <c r="V92" i="10"/>
  <c r="V93" i="10"/>
  <c r="V94" i="10"/>
  <c r="V95" i="10"/>
  <c r="V96" i="10"/>
  <c r="V97" i="10"/>
  <c r="V98" i="10"/>
  <c r="V99" i="10"/>
  <c r="V100" i="10"/>
  <c r="V101" i="10"/>
  <c r="V102" i="10"/>
  <c r="V103" i="10"/>
  <c r="V104" i="10"/>
  <c r="V105" i="10"/>
  <c r="V106" i="10"/>
  <c r="V107" i="10"/>
  <c r="V108" i="10"/>
  <c r="V109" i="10"/>
  <c r="V110" i="10"/>
  <c r="V111" i="10"/>
  <c r="V112" i="10"/>
  <c r="V113" i="10"/>
  <c r="V114" i="10"/>
  <c r="V115" i="10"/>
  <c r="V116" i="10"/>
  <c r="V117" i="10"/>
  <c r="V118" i="10"/>
  <c r="V119" i="10"/>
  <c r="V120" i="10"/>
  <c r="V121" i="10"/>
  <c r="V122" i="10"/>
  <c r="V123" i="10"/>
  <c r="V124" i="10"/>
  <c r="V125" i="10"/>
  <c r="V126" i="10"/>
  <c r="V127" i="10"/>
  <c r="V128" i="10"/>
  <c r="V129" i="10"/>
  <c r="V130" i="10"/>
  <c r="V131" i="10"/>
  <c r="V132" i="10"/>
  <c r="V133" i="10"/>
  <c r="V134" i="10"/>
  <c r="V135" i="10"/>
  <c r="V136" i="10"/>
  <c r="V137" i="10"/>
  <c r="V138" i="10"/>
  <c r="V139" i="10"/>
  <c r="V140" i="10"/>
  <c r="V141" i="10"/>
  <c r="V142" i="10"/>
  <c r="V143" i="10"/>
  <c r="V144" i="10"/>
  <c r="V145" i="10"/>
  <c r="V146" i="10"/>
  <c r="V147" i="10"/>
  <c r="V148" i="10"/>
  <c r="V149" i="10"/>
  <c r="V150" i="10"/>
  <c r="V151" i="10"/>
  <c r="V152" i="10"/>
  <c r="V153" i="10"/>
  <c r="V154" i="10"/>
  <c r="V155" i="10"/>
  <c r="V156" i="10"/>
  <c r="V157" i="10"/>
  <c r="V158" i="10"/>
  <c r="V159" i="10"/>
  <c r="V160" i="10"/>
  <c r="V161" i="10"/>
  <c r="V162" i="10"/>
  <c r="V163" i="10"/>
  <c r="V164" i="10"/>
  <c r="V165" i="10"/>
  <c r="V166" i="10"/>
  <c r="V167" i="10"/>
  <c r="V168" i="10"/>
  <c r="V2" i="10"/>
  <c r="C10" i="17" l="1"/>
  <c r="C19" i="17" l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D32" i="17" l="1"/>
  <c r="D2" i="7" l="1"/>
</calcChain>
</file>

<file path=xl/sharedStrings.xml><?xml version="1.0" encoding="utf-8"?>
<sst xmlns="http://schemas.openxmlformats.org/spreadsheetml/2006/main" count="748" uniqueCount="313">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</sst>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i/>
      <sz val="11"/>
      <color theme="1"/>
      <name val="Aptos"/>
      <family val="2"/>
    </font>
    <font>
      <sz val="11"/>
      <color rgb="FF0070C0"/>
      <name val="Aptos"/>
      <family val="2"/>
    </font>
    <font>
      <sz val="11"/>
      <color rgb="FFFF000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</fonts>
  <fills count="4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DFFE6"/>
        <bgColor indexed="64"/>
      </patternFill>
    </fill>
    <fill>
      <patternFill patternType="solid">
        <fgColor theme="4" tint="0.7999816888943144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8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5" borderId="0" applyNumberFormat="0" applyBorder="0" applyAlignment="0" applyProtection="0"/>
    <xf numFmtId="0" fontId="15" fillId="16" borderId="0" applyNumberFormat="0" applyBorder="0" applyAlignment="0" applyProtection="0"/>
    <xf numFmtId="0" fontId="16" fillId="17" borderId="0" applyNumberFormat="0" applyBorder="0" applyAlignment="0" applyProtection="0"/>
    <xf numFmtId="0" fontId="17" fillId="18" borderId="8" applyNumberFormat="0" applyAlignment="0" applyProtection="0"/>
    <xf numFmtId="0" fontId="18" fillId="19" borderId="9" applyNumberFormat="0" applyAlignment="0" applyProtection="0"/>
    <xf numFmtId="0" fontId="19" fillId="19" borderId="8" applyNumberFormat="0" applyAlignment="0" applyProtection="0"/>
    <xf numFmtId="0" fontId="20" fillId="0" borderId="10" applyNumberFormat="0" applyFill="0" applyAlignment="0" applyProtection="0"/>
    <xf numFmtId="0" fontId="21" fillId="20" borderId="11" applyNumberFormat="0" applyAlignment="0" applyProtection="0"/>
    <xf numFmtId="0" fontId="22" fillId="0" borderId="0" applyNumberFormat="0" applyFill="0" applyBorder="0" applyAlignment="0" applyProtection="0"/>
    <xf numFmtId="0" fontId="9" fillId="21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25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25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25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25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25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4" fontId="41" fillId="0" borderId="2"/>
  </cellStyleXfs>
  <cellXfs count="188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1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1" fontId="28" fillId="7" borderId="0" xfId="0" applyNumberFormat="1" applyFont="1" applyFill="1"/>
    <xf numFmtId="0" fontId="28" fillId="6" borderId="0" xfId="0" applyFont="1" applyFill="1"/>
    <xf numFmtId="0" fontId="28" fillId="6" borderId="1" xfId="0" applyFont="1" applyFill="1" applyBorder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8" fillId="9" borderId="16" xfId="0" applyFont="1" applyFill="1" applyBorder="1"/>
    <xf numFmtId="0" fontId="28" fillId="9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1" borderId="0" xfId="0" applyFont="1" applyFill="1"/>
    <xf numFmtId="0" fontId="31" fillId="2" borderId="0" xfId="0" applyFont="1" applyFill="1"/>
    <xf numFmtId="0" fontId="31" fillId="3" borderId="0" xfId="0" applyFont="1" applyFill="1"/>
    <xf numFmtId="0" fontId="28" fillId="9" borderId="0" xfId="0" applyFont="1" applyFill="1"/>
    <xf numFmtId="0" fontId="28" fillId="11" borderId="0" xfId="0" applyFont="1" applyFill="1"/>
    <xf numFmtId="0" fontId="32" fillId="7" borderId="0" xfId="0" applyFont="1" applyFill="1"/>
    <xf numFmtId="0" fontId="28" fillId="7" borderId="0" xfId="0" applyFont="1" applyFill="1" applyAlignment="1">
      <alignment horizontal="right" wrapText="1"/>
    </xf>
    <xf numFmtId="0" fontId="28" fillId="12" borderId="0" xfId="0" applyFont="1" applyFill="1"/>
    <xf numFmtId="0" fontId="30" fillId="7" borderId="0" xfId="0" applyFont="1" applyFill="1" applyAlignment="1">
      <alignment horizontal="right"/>
    </xf>
    <xf numFmtId="0" fontId="28" fillId="13" borderId="0" xfId="0" applyFont="1" applyFill="1"/>
    <xf numFmtId="0" fontId="33" fillId="7" borderId="0" xfId="0" applyFont="1" applyFill="1"/>
    <xf numFmtId="0" fontId="28" fillId="14" borderId="0" xfId="0" applyFont="1" applyFill="1"/>
    <xf numFmtId="0" fontId="28" fillId="0" borderId="0" xfId="0" applyFont="1"/>
    <xf numFmtId="0" fontId="34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0" fontId="30" fillId="2" borderId="0" xfId="0" applyFont="1" applyFill="1"/>
    <xf numFmtId="0" fontId="30" fillId="3" borderId="0" xfId="0" applyFont="1" applyFill="1"/>
    <xf numFmtId="2" fontId="32" fillId="7" borderId="0" xfId="0" applyNumberFormat="1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4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5" fillId="7" borderId="0" xfId="0" applyNumberFormat="1" applyFont="1" applyFill="1" applyAlignment="1">
      <alignment horizontal="center"/>
    </xf>
    <xf numFmtId="0" fontId="28" fillId="2" borderId="4" xfId="0" applyFont="1" applyFill="1" applyBorder="1" applyAlignment="1">
      <alignment horizontal="center"/>
    </xf>
    <xf numFmtId="0" fontId="28" fillId="3" borderId="4" xfId="0" applyFont="1" applyFill="1" applyBorder="1" applyAlignment="1">
      <alignment horizontal="center"/>
    </xf>
    <xf numFmtId="0" fontId="28" fillId="46" borderId="14" xfId="0" applyFont="1" applyFill="1" applyBorder="1" applyAlignment="1">
      <alignment horizontal="center"/>
    </xf>
    <xf numFmtId="0" fontId="28" fillId="8" borderId="4" xfId="0" applyFont="1" applyFill="1" applyBorder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36" fillId="7" borderId="0" xfId="0" applyFont="1" applyFill="1"/>
    <xf numFmtId="0" fontId="29" fillId="7" borderId="0" xfId="0" applyFont="1" applyFill="1" applyAlignment="1">
      <alignment horizontal="center"/>
    </xf>
    <xf numFmtId="0" fontId="37" fillId="7" borderId="15" xfId="0" applyFont="1" applyFill="1" applyBorder="1" applyAlignment="1">
      <alignment horizontal="center"/>
    </xf>
    <xf numFmtId="0" fontId="37" fillId="7" borderId="14" xfId="0" applyFont="1" applyFill="1" applyBorder="1" applyAlignment="1">
      <alignment horizontal="center"/>
    </xf>
    <xf numFmtId="0" fontId="38" fillId="7" borderId="1" xfId="0" applyFont="1" applyFill="1" applyBorder="1"/>
    <xf numFmtId="0" fontId="38" fillId="7" borderId="1" xfId="0" applyFont="1" applyFill="1" applyBorder="1" applyAlignment="1">
      <alignment horizontal="left"/>
    </xf>
    <xf numFmtId="0" fontId="39" fillId="7" borderId="0" xfId="0" applyFont="1" applyFill="1"/>
    <xf numFmtId="0" fontId="38" fillId="7" borderId="0" xfId="0" applyFont="1" applyFill="1" applyAlignment="1">
      <alignment horizontal="left"/>
    </xf>
    <xf numFmtId="165" fontId="39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40" fillId="13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40" fillId="3" borderId="2" xfId="0" applyFont="1" applyFill="1" applyBorder="1" applyAlignment="1">
      <alignment horizontal="left"/>
    </xf>
    <xf numFmtId="0" fontId="40" fillId="47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3" borderId="2" xfId="0" applyFont="1" applyFill="1" applyBorder="1" applyAlignment="1">
      <alignment horizontal="left"/>
    </xf>
    <xf numFmtId="0" fontId="28" fillId="13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4" fillId="13" borderId="2" xfId="0" applyFont="1" applyFill="1" applyBorder="1" applyAlignment="1">
      <alignment horizontal="left"/>
    </xf>
    <xf numFmtId="0" fontId="34" fillId="13" borderId="22" xfId="0" applyFont="1" applyFill="1" applyBorder="1" applyAlignment="1">
      <alignment horizontal="left"/>
    </xf>
    <xf numFmtId="0" fontId="34" fillId="3" borderId="2" xfId="0" applyFont="1" applyFill="1" applyBorder="1" applyAlignment="1">
      <alignment horizontal="left"/>
    </xf>
    <xf numFmtId="0" fontId="34" fillId="3" borderId="22" xfId="0" applyFont="1" applyFill="1" applyBorder="1" applyAlignment="1">
      <alignment horizontal="left"/>
    </xf>
    <xf numFmtId="0" fontId="28" fillId="47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7" borderId="21" xfId="0" applyFont="1" applyFill="1" applyBorder="1" applyAlignment="1">
      <alignment horizontal="left"/>
    </xf>
    <xf numFmtId="0" fontId="34" fillId="47" borderId="2" xfId="0" applyFont="1" applyFill="1" applyBorder="1" applyAlignment="1">
      <alignment horizontal="left"/>
    </xf>
    <xf numFmtId="0" fontId="34" fillId="8" borderId="2" xfId="0" applyFont="1" applyFill="1" applyBorder="1" applyAlignment="1">
      <alignment horizontal="left"/>
    </xf>
    <xf numFmtId="0" fontId="34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10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3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2" fontId="28" fillId="7" borderId="0" xfId="0" applyNumberFormat="1" applyFont="1" applyFill="1" applyAlignment="1">
      <alignment horizontal="center" vertical="center"/>
    </xf>
    <xf numFmtId="0" fontId="38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4" fillId="13" borderId="2" xfId="0" applyFont="1" applyFill="1" applyBorder="1"/>
    <xf numFmtId="0" fontId="34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10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0" fontId="34" fillId="7" borderId="1" xfId="0" applyFont="1" applyFill="1" applyBorder="1" applyAlignment="1">
      <alignment horizontal="center"/>
    </xf>
    <xf numFmtId="0" fontId="29" fillId="47" borderId="21" xfId="0" applyFont="1" applyFill="1" applyBorder="1" applyAlignment="1">
      <alignment horizontal="left"/>
    </xf>
    <xf numFmtId="0" fontId="29" fillId="47" borderId="22" xfId="0" applyFont="1" applyFill="1" applyBorder="1" applyAlignment="1">
      <alignment horizontal="left"/>
    </xf>
  </cellXfs>
  <cellStyles count="58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DFFED6"/>
      <color rgb="FFFF7171"/>
      <color rgb="FFCDFFE6"/>
      <color rgb="FF99FFCC"/>
      <color rgb="FFFFFFCC"/>
      <color rgb="FF93E3FF"/>
      <color rgb="FFD9F5FF"/>
      <color rgb="FFFFB3B3"/>
      <color rgb="FF98FB7D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'Origen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E8" sqref="E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65</v>
      </c>
    </row>
    <row r="4" spans="1:3" x14ac:dyDescent="0.35">
      <c r="B4" s="2" t="s">
        <v>92</v>
      </c>
      <c r="C4" s="3" t="s">
        <v>69</v>
      </c>
    </row>
    <row r="5" spans="1:3" x14ac:dyDescent="0.35">
      <c r="B5" s="2" t="s">
        <v>13</v>
      </c>
      <c r="C5" s="3" t="s">
        <v>66</v>
      </c>
    </row>
    <row r="6" spans="1:3" x14ac:dyDescent="0.35">
      <c r="B6" s="2" t="s">
        <v>14</v>
      </c>
      <c r="C6" s="3" t="s">
        <v>66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69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8"/>
  <sheetViews>
    <sheetView workbookViewId="0">
      <selection activeCell="D9" sqref="D9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150</v>
      </c>
      <c r="B6" s="5" t="s">
        <v>6</v>
      </c>
    </row>
    <row r="7" spans="1:2" x14ac:dyDescent="0.35">
      <c r="A7" s="5" t="s">
        <v>152</v>
      </c>
      <c r="B7" s="5" t="s">
        <v>6</v>
      </c>
    </row>
    <row r="8" spans="1:2" x14ac:dyDescent="0.35">
      <c r="A8" s="5" t="s">
        <v>151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78</v>
      </c>
      <c r="B12" s="5" t="s">
        <v>6</v>
      </c>
    </row>
    <row r="13" spans="1:2" x14ac:dyDescent="0.35">
      <c r="A13" s="5" t="s">
        <v>88</v>
      </c>
      <c r="B13" s="5" t="s">
        <v>6</v>
      </c>
    </row>
    <row r="14" spans="1:2" x14ac:dyDescent="0.35">
      <c r="A14" s="5" t="s">
        <v>130</v>
      </c>
      <c r="B14" s="5" t="s">
        <v>6</v>
      </c>
    </row>
    <row r="15" spans="1:2" x14ac:dyDescent="0.35">
      <c r="A15" s="5" t="s">
        <v>131</v>
      </c>
      <c r="B15" s="5" t="s">
        <v>6</v>
      </c>
    </row>
    <row r="16" spans="1:2" x14ac:dyDescent="0.35">
      <c r="A16" s="5" t="s">
        <v>163</v>
      </c>
      <c r="B16" s="5" t="s">
        <v>6</v>
      </c>
    </row>
    <row r="17" spans="1:2" x14ac:dyDescent="0.35">
      <c r="A17" s="5" t="s">
        <v>164</v>
      </c>
      <c r="B17" s="5" t="s">
        <v>6</v>
      </c>
    </row>
    <row r="18" spans="1:2" x14ac:dyDescent="0.35">
      <c r="A18" s="5" t="s">
        <v>311</v>
      </c>
      <c r="B18" s="5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8"/>
  <sheetViews>
    <sheetView workbookViewId="0">
      <selection activeCell="F1" sqref="F1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20" t="s">
        <v>5</v>
      </c>
      <c r="B1" s="20" t="s">
        <v>0</v>
      </c>
      <c r="C1" s="20" t="s">
        <v>1</v>
      </c>
      <c r="D1" s="20" t="s">
        <v>83</v>
      </c>
      <c r="E1" s="20" t="s">
        <v>84</v>
      </c>
    </row>
    <row r="2" spans="1:8" x14ac:dyDescent="0.35">
      <c r="A2" s="6" t="s">
        <v>30</v>
      </c>
      <c r="B2" s="5" t="s">
        <v>7</v>
      </c>
      <c r="C2" s="5" t="s">
        <v>6</v>
      </c>
      <c r="D2" s="5">
        <v>-3.7038000000000002</v>
      </c>
      <c r="E2" s="5">
        <v>40.416800000000002</v>
      </c>
    </row>
    <row r="3" spans="1:8" x14ac:dyDescent="0.35">
      <c r="A3" s="6" t="s">
        <v>31</v>
      </c>
      <c r="B3" s="5" t="s">
        <v>2</v>
      </c>
      <c r="C3" s="5" t="s">
        <v>6</v>
      </c>
      <c r="D3" s="5">
        <v>-3.7038000000000002</v>
      </c>
      <c r="E3" s="5">
        <v>40.416800000000002</v>
      </c>
    </row>
    <row r="4" spans="1:8" x14ac:dyDescent="0.35">
      <c r="A4" s="6" t="s">
        <v>32</v>
      </c>
      <c r="B4" s="5" t="s">
        <v>3</v>
      </c>
      <c r="C4" s="5" t="s">
        <v>6</v>
      </c>
      <c r="D4" s="5">
        <v>-3.7038000000000002</v>
      </c>
      <c r="E4" s="5">
        <v>40.416800000000002</v>
      </c>
    </row>
    <row r="5" spans="1:8" x14ac:dyDescent="0.35">
      <c r="A5" s="6" t="s">
        <v>33</v>
      </c>
      <c r="B5" s="5" t="s">
        <v>4</v>
      </c>
      <c r="C5" s="5" t="s">
        <v>6</v>
      </c>
      <c r="D5" s="5">
        <v>-3.7038000000000002</v>
      </c>
      <c r="E5" s="5">
        <v>40.416800000000002</v>
      </c>
    </row>
    <row r="6" spans="1:8" x14ac:dyDescent="0.35">
      <c r="A6" s="21" t="s">
        <v>95</v>
      </c>
      <c r="B6" s="5" t="s">
        <v>7</v>
      </c>
      <c r="C6" s="5" t="s">
        <v>6</v>
      </c>
      <c r="D6" s="5">
        <v>-3.7038000000000002</v>
      </c>
      <c r="E6" s="5">
        <v>40.416800000000002</v>
      </c>
    </row>
    <row r="7" spans="1:8" x14ac:dyDescent="0.35">
      <c r="A7" s="21" t="s">
        <v>96</v>
      </c>
      <c r="B7" s="5" t="s">
        <v>4</v>
      </c>
      <c r="C7" s="5" t="s">
        <v>6</v>
      </c>
      <c r="D7" s="5">
        <v>-3.7038000000000002</v>
      </c>
      <c r="E7" s="5">
        <v>40.416800000000002</v>
      </c>
    </row>
    <row r="8" spans="1:8" x14ac:dyDescent="0.35">
      <c r="A8" s="8" t="s">
        <v>34</v>
      </c>
      <c r="B8" s="5" t="s">
        <v>7</v>
      </c>
      <c r="C8" s="5" t="s">
        <v>6</v>
      </c>
      <c r="D8" s="5">
        <v>-9.1393000000000004</v>
      </c>
      <c r="E8" s="5">
        <v>38.722299999999997</v>
      </c>
    </row>
    <row r="9" spans="1:8" x14ac:dyDescent="0.35">
      <c r="A9" s="8" t="s">
        <v>35</v>
      </c>
      <c r="B9" s="5" t="s">
        <v>2</v>
      </c>
      <c r="C9" s="5" t="s">
        <v>6</v>
      </c>
      <c r="D9" s="5">
        <v>-9.1393000000000004</v>
      </c>
      <c r="E9" s="5">
        <v>38.722299999999997</v>
      </c>
    </row>
    <row r="10" spans="1:8" x14ac:dyDescent="0.35">
      <c r="A10" s="8" t="s">
        <v>36</v>
      </c>
      <c r="B10" s="5" t="s">
        <v>3</v>
      </c>
      <c r="C10" s="5" t="s">
        <v>6</v>
      </c>
      <c r="D10" s="5">
        <v>-9.1393000000000004</v>
      </c>
      <c r="E10" s="5">
        <v>38.722299999999997</v>
      </c>
    </row>
    <row r="11" spans="1:8" x14ac:dyDescent="0.35">
      <c r="A11" s="8" t="s">
        <v>37</v>
      </c>
      <c r="B11" s="5" t="s">
        <v>4</v>
      </c>
      <c r="C11" s="5" t="s">
        <v>6</v>
      </c>
      <c r="D11" s="5">
        <v>-9.1393000000000004</v>
      </c>
      <c r="E11" s="5">
        <v>38.722299999999997</v>
      </c>
    </row>
    <row r="12" spans="1:8" x14ac:dyDescent="0.35">
      <c r="A12" s="22" t="s">
        <v>97</v>
      </c>
      <c r="B12" s="5" t="s">
        <v>7</v>
      </c>
      <c r="C12" s="5" t="s">
        <v>6</v>
      </c>
      <c r="D12" s="5">
        <v>-9.1393000000000004</v>
      </c>
      <c r="E12" s="5">
        <v>38.722299999999997</v>
      </c>
    </row>
    <row r="13" spans="1:8" x14ac:dyDescent="0.35">
      <c r="A13" s="22" t="s">
        <v>98</v>
      </c>
      <c r="B13" s="5" t="s">
        <v>4</v>
      </c>
      <c r="C13" s="5" t="s">
        <v>6</v>
      </c>
      <c r="D13" s="5">
        <v>-9.1393000000000004</v>
      </c>
      <c r="E13" s="5">
        <v>38.722299999999997</v>
      </c>
    </row>
    <row r="14" spans="1:8" x14ac:dyDescent="0.35">
      <c r="A14" s="14" t="s">
        <v>85</v>
      </c>
      <c r="B14" s="5" t="s">
        <v>7</v>
      </c>
      <c r="C14" s="5" t="s">
        <v>6</v>
      </c>
      <c r="D14" s="5">
        <v>2.3521999999999998</v>
      </c>
      <c r="E14" s="5">
        <v>48.8566</v>
      </c>
    </row>
    <row r="15" spans="1:8" x14ac:dyDescent="0.35">
      <c r="A15" s="14" t="s">
        <v>86</v>
      </c>
      <c r="B15" s="5" t="s">
        <v>4</v>
      </c>
      <c r="C15" s="5" t="s">
        <v>6</v>
      </c>
      <c r="D15" s="5">
        <v>4.3521999999999998</v>
      </c>
      <c r="E15" s="5">
        <v>48.8566</v>
      </c>
    </row>
    <row r="16" spans="1:8" x14ac:dyDescent="0.35">
      <c r="A16" s="14" t="s">
        <v>104</v>
      </c>
      <c r="B16" s="5" t="s">
        <v>4</v>
      </c>
      <c r="C16" s="5" t="s">
        <v>6</v>
      </c>
      <c r="D16" s="5">
        <v>2.8521999999999998</v>
      </c>
      <c r="E16" s="5">
        <v>43.8566</v>
      </c>
      <c r="H16" s="5" t="s">
        <v>108</v>
      </c>
    </row>
    <row r="17" spans="1:5" x14ac:dyDescent="0.35">
      <c r="A17" s="14" t="s">
        <v>105</v>
      </c>
      <c r="B17" s="5" t="s">
        <v>4</v>
      </c>
      <c r="C17" s="5" t="s">
        <v>6</v>
      </c>
      <c r="D17" s="5">
        <v>-1.3522000000000001</v>
      </c>
      <c r="E17" s="5">
        <v>45.8566</v>
      </c>
    </row>
    <row r="18" spans="1:5" x14ac:dyDescent="0.35">
      <c r="A18" s="23" t="s">
        <v>99</v>
      </c>
      <c r="B18" s="5" t="s">
        <v>4</v>
      </c>
      <c r="C18" s="5" t="s">
        <v>6</v>
      </c>
      <c r="D18" s="5">
        <v>-6.84</v>
      </c>
      <c r="E18" s="5">
        <v>34.020000000000003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4"/>
  <sheetViews>
    <sheetView workbookViewId="0">
      <selection activeCell="D17" sqref="A17:D17"/>
    </sheetView>
  </sheetViews>
  <sheetFormatPr baseColWidth="10" defaultRowHeight="14.5" x14ac:dyDescent="0.35"/>
  <cols>
    <col min="1" max="1" width="29.1796875" style="5" bestFit="1" customWidth="1"/>
    <col min="2" max="2" width="26.632812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4" t="s">
        <v>5</v>
      </c>
      <c r="B1" s="4" t="s">
        <v>15</v>
      </c>
      <c r="C1" s="4" t="s">
        <v>12</v>
      </c>
      <c r="D1" s="4" t="s">
        <v>14</v>
      </c>
      <c r="E1" s="4" t="s">
        <v>0</v>
      </c>
      <c r="F1" s="4" t="s">
        <v>1</v>
      </c>
    </row>
    <row r="2" spans="1:6" x14ac:dyDescent="0.35">
      <c r="A2" s="6" t="s">
        <v>137</v>
      </c>
      <c r="B2" s="5" t="s">
        <v>30</v>
      </c>
      <c r="C2" s="5">
        <v>83000</v>
      </c>
      <c r="D2" s="5">
        <v>0</v>
      </c>
      <c r="E2" s="5" t="s">
        <v>150</v>
      </c>
      <c r="F2" s="5" t="s">
        <v>6</v>
      </c>
    </row>
    <row r="3" spans="1:6" x14ac:dyDescent="0.35">
      <c r="A3" s="6" t="s">
        <v>138</v>
      </c>
      <c r="B3" s="5" t="s">
        <v>30</v>
      </c>
      <c r="C3" s="5">
        <v>4805</v>
      </c>
      <c r="D3" s="5">
        <v>0</v>
      </c>
      <c r="E3" s="5" t="s">
        <v>152</v>
      </c>
      <c r="F3" s="5" t="s">
        <v>6</v>
      </c>
    </row>
    <row r="4" spans="1:6" x14ac:dyDescent="0.35">
      <c r="A4" s="6" t="s">
        <v>46</v>
      </c>
      <c r="B4" s="5" t="s">
        <v>30</v>
      </c>
      <c r="C4" s="5">
        <v>91799.794460000019</v>
      </c>
      <c r="D4" s="5">
        <v>0</v>
      </c>
      <c r="E4" s="5" t="s">
        <v>9</v>
      </c>
      <c r="F4" s="5" t="s">
        <v>6</v>
      </c>
    </row>
    <row r="5" spans="1:6" x14ac:dyDescent="0.35">
      <c r="A5" s="6" t="s">
        <v>47</v>
      </c>
      <c r="B5" s="5" t="s">
        <v>30</v>
      </c>
      <c r="C5" s="5">
        <f>2462.66</f>
        <v>2462.66</v>
      </c>
      <c r="D5" s="5">
        <v>6</v>
      </c>
      <c r="E5" s="5" t="s">
        <v>11</v>
      </c>
      <c r="F5" s="5" t="s">
        <v>6</v>
      </c>
    </row>
    <row r="6" spans="1:6" x14ac:dyDescent="0.35">
      <c r="A6" s="6" t="s">
        <v>48</v>
      </c>
      <c r="B6" s="5" t="s">
        <v>32</v>
      </c>
      <c r="C6" s="25">
        <f>10000000000000</f>
        <v>10000000000000</v>
      </c>
      <c r="D6" s="5">
        <v>0</v>
      </c>
      <c r="E6" s="5" t="s">
        <v>3</v>
      </c>
      <c r="F6" s="5" t="s">
        <v>6</v>
      </c>
    </row>
    <row r="7" spans="1:6" ht="15" customHeight="1" x14ac:dyDescent="0.35">
      <c r="A7" s="6" t="s">
        <v>49</v>
      </c>
      <c r="B7" s="5" t="s">
        <v>30</v>
      </c>
      <c r="C7" s="5">
        <v>3117.91912</v>
      </c>
      <c r="D7" s="5">
        <v>0</v>
      </c>
      <c r="E7" s="5" t="s">
        <v>8</v>
      </c>
      <c r="F7" s="5" t="s">
        <v>6</v>
      </c>
    </row>
    <row r="8" spans="1:6" ht="15" customHeight="1" x14ac:dyDescent="0.35">
      <c r="A8" s="6" t="s">
        <v>310</v>
      </c>
      <c r="B8" s="5" t="s">
        <v>30</v>
      </c>
      <c r="C8" s="5">
        <v>11536.3</v>
      </c>
      <c r="D8" s="5">
        <v>10</v>
      </c>
      <c r="E8" s="5" t="s">
        <v>311</v>
      </c>
      <c r="F8" s="5" t="s">
        <v>6</v>
      </c>
    </row>
    <row r="9" spans="1:6" x14ac:dyDescent="0.35">
      <c r="A9" s="5" t="s">
        <v>75</v>
      </c>
      <c r="B9" s="5" t="s">
        <v>95</v>
      </c>
      <c r="C9" s="5">
        <v>32600</v>
      </c>
      <c r="D9" s="5">
        <v>0</v>
      </c>
      <c r="E9" s="5" t="s">
        <v>131</v>
      </c>
      <c r="F9" s="5" t="s">
        <v>6</v>
      </c>
    </row>
    <row r="10" spans="1:6" x14ac:dyDescent="0.35">
      <c r="A10" s="7" t="s">
        <v>74</v>
      </c>
      <c r="B10" s="7" t="s">
        <v>96</v>
      </c>
      <c r="C10" s="7">
        <f>(37999*2)-C9</f>
        <v>43398</v>
      </c>
      <c r="D10" s="7">
        <v>0</v>
      </c>
      <c r="E10" s="7" t="s">
        <v>130</v>
      </c>
      <c r="F10" s="7" t="s">
        <v>6</v>
      </c>
    </row>
    <row r="11" spans="1:6" x14ac:dyDescent="0.35">
      <c r="A11" s="8" t="s">
        <v>139</v>
      </c>
      <c r="B11" s="5" t="s">
        <v>34</v>
      </c>
      <c r="C11" s="5">
        <v>14378.2</v>
      </c>
      <c r="D11" s="5">
        <v>0</v>
      </c>
      <c r="E11" s="5" t="s">
        <v>150</v>
      </c>
      <c r="F11" s="5" t="s">
        <v>6</v>
      </c>
    </row>
    <row r="12" spans="1:6" x14ac:dyDescent="0.35">
      <c r="A12" s="8" t="s">
        <v>161</v>
      </c>
      <c r="B12" s="5" t="s">
        <v>34</v>
      </c>
      <c r="C12" s="18">
        <v>11643.6</v>
      </c>
      <c r="D12" s="5">
        <v>0</v>
      </c>
      <c r="E12" s="5" t="s">
        <v>163</v>
      </c>
      <c r="F12" s="5" t="s">
        <v>6</v>
      </c>
    </row>
    <row r="13" spans="1:6" x14ac:dyDescent="0.35">
      <c r="A13" s="8" t="s">
        <v>162</v>
      </c>
      <c r="B13" s="5" t="s">
        <v>34</v>
      </c>
      <c r="C13" s="18">
        <v>646</v>
      </c>
      <c r="D13" s="5">
        <v>0</v>
      </c>
      <c r="E13" s="5" t="s">
        <v>164</v>
      </c>
      <c r="F13" s="5" t="s">
        <v>6</v>
      </c>
    </row>
    <row r="14" spans="1:6" x14ac:dyDescent="0.35">
      <c r="A14" s="8" t="s">
        <v>50</v>
      </c>
      <c r="B14" s="5" t="s">
        <v>34</v>
      </c>
      <c r="C14" s="5">
        <v>1607</v>
      </c>
      <c r="D14" s="9">
        <v>6</v>
      </c>
      <c r="E14" s="5" t="s">
        <v>11</v>
      </c>
      <c r="F14" s="5" t="s">
        <v>6</v>
      </c>
    </row>
    <row r="15" spans="1:6" x14ac:dyDescent="0.35">
      <c r="A15" s="8" t="s">
        <v>51</v>
      </c>
      <c r="B15" s="5" t="s">
        <v>36</v>
      </c>
      <c r="C15" s="25">
        <f>10000000000000</f>
        <v>10000000000000</v>
      </c>
      <c r="D15" s="5">
        <v>0</v>
      </c>
      <c r="E15" s="5" t="s">
        <v>3</v>
      </c>
      <c r="F15" s="5" t="s">
        <v>6</v>
      </c>
    </row>
    <row r="16" spans="1:6" x14ac:dyDescent="0.35">
      <c r="A16" s="8" t="s">
        <v>52</v>
      </c>
      <c r="B16" s="5" t="s">
        <v>34</v>
      </c>
      <c r="C16" s="5">
        <v>508.3</v>
      </c>
      <c r="D16" s="5">
        <v>0</v>
      </c>
      <c r="E16" s="5" t="s">
        <v>8</v>
      </c>
      <c r="F16" s="5" t="s">
        <v>6</v>
      </c>
    </row>
    <row r="17" spans="1:6" x14ac:dyDescent="0.35">
      <c r="A17" s="8" t="s">
        <v>312</v>
      </c>
      <c r="B17" s="5" t="s">
        <v>34</v>
      </c>
      <c r="C17" s="5">
        <v>3135.5</v>
      </c>
      <c r="D17" s="5">
        <v>10</v>
      </c>
      <c r="E17" s="5" t="s">
        <v>311</v>
      </c>
      <c r="F17" s="5" t="s">
        <v>6</v>
      </c>
    </row>
    <row r="18" spans="1:6" x14ac:dyDescent="0.35">
      <c r="A18" s="5" t="s">
        <v>77</v>
      </c>
      <c r="B18" s="5" t="s">
        <v>97</v>
      </c>
      <c r="C18" s="5">
        <v>13478</v>
      </c>
      <c r="D18" s="5">
        <v>0</v>
      </c>
      <c r="E18" s="5" t="s">
        <v>131</v>
      </c>
      <c r="F18" s="5" t="s">
        <v>6</v>
      </c>
    </row>
    <row r="19" spans="1:6" x14ac:dyDescent="0.35">
      <c r="A19" s="7" t="s">
        <v>76</v>
      </c>
      <c r="B19" s="7" t="s">
        <v>98</v>
      </c>
      <c r="C19" s="7">
        <f>22506.9-C18</f>
        <v>9028.9000000000015</v>
      </c>
      <c r="D19" s="7">
        <v>0</v>
      </c>
      <c r="E19" s="7" t="s">
        <v>130</v>
      </c>
      <c r="F19" s="7" t="s">
        <v>6</v>
      </c>
    </row>
    <row r="20" spans="1:6" x14ac:dyDescent="0.35">
      <c r="A20" s="10" t="s">
        <v>79</v>
      </c>
      <c r="B20" s="5" t="s">
        <v>30</v>
      </c>
      <c r="C20" s="5">
        <v>10000000</v>
      </c>
      <c r="D20" s="5">
        <v>10000</v>
      </c>
      <c r="E20" s="5" t="s">
        <v>78</v>
      </c>
      <c r="F20" s="5" t="s">
        <v>6</v>
      </c>
    </row>
    <row r="21" spans="1:6" x14ac:dyDescent="0.35">
      <c r="A21" s="10" t="s">
        <v>80</v>
      </c>
      <c r="B21" s="5" t="s">
        <v>34</v>
      </c>
      <c r="C21" s="5">
        <v>10000000</v>
      </c>
      <c r="D21" s="5">
        <v>10000</v>
      </c>
      <c r="E21" s="5" t="s">
        <v>78</v>
      </c>
      <c r="F21" s="5" t="s">
        <v>6</v>
      </c>
    </row>
    <row r="22" spans="1:6" x14ac:dyDescent="0.35">
      <c r="A22" s="10" t="s">
        <v>94</v>
      </c>
      <c r="B22" s="5" t="s">
        <v>85</v>
      </c>
      <c r="C22" s="5">
        <v>10000000</v>
      </c>
      <c r="D22" s="5">
        <v>10000</v>
      </c>
      <c r="E22" s="5" t="s">
        <v>78</v>
      </c>
      <c r="F22" s="5" t="s">
        <v>6</v>
      </c>
    </row>
    <row r="23" spans="1:6" x14ac:dyDescent="0.35">
      <c r="A23" s="10" t="s">
        <v>81</v>
      </c>
      <c r="B23" s="5" t="s">
        <v>33</v>
      </c>
      <c r="C23" s="5">
        <v>10000000</v>
      </c>
      <c r="D23" s="5">
        <v>2500</v>
      </c>
      <c r="E23" s="5" t="s">
        <v>78</v>
      </c>
      <c r="F23" s="5" t="s">
        <v>6</v>
      </c>
    </row>
    <row r="24" spans="1:6" x14ac:dyDescent="0.35">
      <c r="A24" s="10" t="s">
        <v>82</v>
      </c>
      <c r="B24" s="5" t="s">
        <v>37</v>
      </c>
      <c r="C24" s="5">
        <v>10000000</v>
      </c>
      <c r="D24" s="5">
        <v>2500</v>
      </c>
      <c r="E24" s="5" t="s">
        <v>78</v>
      </c>
      <c r="F24" s="5" t="s">
        <v>6</v>
      </c>
    </row>
    <row r="25" spans="1:6" x14ac:dyDescent="0.35">
      <c r="A25" s="10" t="s">
        <v>93</v>
      </c>
      <c r="B25" s="5" t="s">
        <v>86</v>
      </c>
      <c r="C25" s="5">
        <v>10000000</v>
      </c>
      <c r="D25" s="5">
        <v>2500</v>
      </c>
      <c r="E25" s="5" t="s">
        <v>78</v>
      </c>
      <c r="F25" s="5" t="s">
        <v>6</v>
      </c>
    </row>
    <row r="26" spans="1:6" x14ac:dyDescent="0.35">
      <c r="A26" s="10" t="s">
        <v>106</v>
      </c>
      <c r="B26" s="5" t="s">
        <v>104</v>
      </c>
      <c r="C26" s="5">
        <v>10000000</v>
      </c>
      <c r="D26" s="5">
        <v>2500</v>
      </c>
      <c r="E26" s="5" t="s">
        <v>78</v>
      </c>
      <c r="F26" s="5" t="s">
        <v>6</v>
      </c>
    </row>
    <row r="27" spans="1:6" x14ac:dyDescent="0.35">
      <c r="A27" s="11" t="s">
        <v>107</v>
      </c>
      <c r="B27" s="7" t="s">
        <v>105</v>
      </c>
      <c r="C27" s="7">
        <v>10000000</v>
      </c>
      <c r="D27" s="7">
        <v>2500</v>
      </c>
      <c r="E27" s="7" t="s">
        <v>78</v>
      </c>
      <c r="F27" s="7" t="s">
        <v>6</v>
      </c>
    </row>
    <row r="28" spans="1:6" x14ac:dyDescent="0.35">
      <c r="A28" s="12" t="s">
        <v>120</v>
      </c>
      <c r="B28" s="13" t="s">
        <v>85</v>
      </c>
      <c r="C28" s="13">
        <v>5000</v>
      </c>
      <c r="D28" s="13">
        <v>15.63</v>
      </c>
      <c r="E28" s="13" t="s">
        <v>7</v>
      </c>
      <c r="F28" s="13" t="s">
        <v>6</v>
      </c>
    </row>
    <row r="29" spans="1:6" x14ac:dyDescent="0.35">
      <c r="A29" s="14" t="s">
        <v>121</v>
      </c>
      <c r="B29" s="5" t="s">
        <v>105</v>
      </c>
      <c r="C29" s="5">
        <v>1553.672292</v>
      </c>
      <c r="D29" s="5">
        <v>0</v>
      </c>
      <c r="E29" s="5" t="s">
        <v>4</v>
      </c>
      <c r="F29" s="5" t="s">
        <v>6</v>
      </c>
    </row>
    <row r="30" spans="1:6" x14ac:dyDescent="0.35">
      <c r="A30" s="15" t="s">
        <v>122</v>
      </c>
      <c r="B30" s="7" t="s">
        <v>86</v>
      </c>
      <c r="C30" s="7">
        <v>6779.6610170000004</v>
      </c>
      <c r="D30" s="7">
        <v>0</v>
      </c>
      <c r="E30" s="7" t="s">
        <v>4</v>
      </c>
      <c r="F30" s="7" t="s">
        <v>6</v>
      </c>
    </row>
    <row r="31" spans="1:6" x14ac:dyDescent="0.35">
      <c r="A31" s="16" t="s">
        <v>100</v>
      </c>
      <c r="B31" s="13" t="s">
        <v>99</v>
      </c>
      <c r="C31" s="13">
        <v>1517.8</v>
      </c>
      <c r="D31" s="13">
        <v>0</v>
      </c>
      <c r="E31" s="13" t="s">
        <v>4</v>
      </c>
      <c r="F31" s="13" t="s">
        <v>6</v>
      </c>
    </row>
    <row r="32" spans="1:6" x14ac:dyDescent="0.35">
      <c r="A32" s="17" t="s">
        <v>101</v>
      </c>
      <c r="B32" s="7" t="s">
        <v>99</v>
      </c>
      <c r="C32" s="7">
        <v>1422.3673200000001</v>
      </c>
      <c r="D32" s="7">
        <f>73.7</f>
        <v>73.7</v>
      </c>
      <c r="E32" s="7" t="s">
        <v>4</v>
      </c>
      <c r="F32" s="7" t="s">
        <v>6</v>
      </c>
    </row>
    <row r="33" spans="1:6" x14ac:dyDescent="0.35">
      <c r="A33" s="12" t="s">
        <v>114</v>
      </c>
      <c r="B33" s="13" t="s">
        <v>104</v>
      </c>
      <c r="C33" s="13">
        <v>1241</v>
      </c>
      <c r="D33" s="13">
        <v>0</v>
      </c>
      <c r="E33" s="13" t="s">
        <v>4</v>
      </c>
      <c r="F33" s="13" t="s">
        <v>6</v>
      </c>
    </row>
    <row r="34" spans="1:6" x14ac:dyDescent="0.35">
      <c r="A34" s="15" t="s">
        <v>115</v>
      </c>
      <c r="B34" s="7" t="s">
        <v>105</v>
      </c>
      <c r="C34" s="7">
        <v>331</v>
      </c>
      <c r="D34" s="7">
        <v>0</v>
      </c>
      <c r="E34" s="7" t="s">
        <v>4</v>
      </c>
      <c r="F34" s="7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K26"/>
  <sheetViews>
    <sheetView zoomScaleNormal="100" workbookViewId="0">
      <selection activeCell="G6" sqref="G6"/>
    </sheetView>
  </sheetViews>
  <sheetFormatPr baseColWidth="10" defaultRowHeight="14.5" x14ac:dyDescent="0.35"/>
  <cols>
    <col min="1" max="1" width="42.26953125" style="5" customWidth="1"/>
    <col min="2" max="2" width="24.1796875" style="5" customWidth="1"/>
    <col min="3" max="3" width="25.54296875" style="5" customWidth="1"/>
    <col min="4" max="4" width="13.90625" style="5" customWidth="1"/>
    <col min="5" max="5" width="12" style="5" bestFit="1" customWidth="1"/>
    <col min="6" max="11" width="13.90625" style="5" customWidth="1"/>
    <col min="12" max="16384" width="10.90625" style="5"/>
  </cols>
  <sheetData>
    <row r="1" spans="1:11" x14ac:dyDescent="0.35">
      <c r="A1" s="24" t="s">
        <v>5</v>
      </c>
      <c r="B1" s="24" t="s">
        <v>67</v>
      </c>
      <c r="C1" s="24" t="s">
        <v>68</v>
      </c>
      <c r="D1" s="24" t="s">
        <v>12</v>
      </c>
      <c r="E1" s="24" t="s">
        <v>156</v>
      </c>
      <c r="F1" s="24" t="s">
        <v>16</v>
      </c>
      <c r="G1" s="24" t="s">
        <v>14</v>
      </c>
      <c r="H1" s="24" t="s">
        <v>18</v>
      </c>
      <c r="I1" s="24" t="s">
        <v>19</v>
      </c>
      <c r="J1" s="24" t="s">
        <v>0</v>
      </c>
      <c r="K1" s="24" t="s">
        <v>1</v>
      </c>
    </row>
    <row r="2" spans="1:11" x14ac:dyDescent="0.35">
      <c r="A2" s="6" t="s">
        <v>38</v>
      </c>
      <c r="B2" s="5" t="s">
        <v>32</v>
      </c>
      <c r="C2" s="5" t="s">
        <v>30</v>
      </c>
      <c r="D2" s="25">
        <v>28766.678</v>
      </c>
      <c r="E2" s="25"/>
      <c r="F2" s="5">
        <v>0.57999999999999996</v>
      </c>
      <c r="G2" s="26">
        <v>146.19</v>
      </c>
      <c r="J2" s="5" t="s">
        <v>3</v>
      </c>
      <c r="K2" s="5" t="s">
        <v>6</v>
      </c>
    </row>
    <row r="3" spans="1:11" x14ac:dyDescent="0.35">
      <c r="A3" s="6" t="s">
        <v>39</v>
      </c>
      <c r="B3" s="5" t="s">
        <v>31</v>
      </c>
      <c r="C3" s="5" t="s">
        <v>30</v>
      </c>
      <c r="D3" s="25">
        <v>13603.98</v>
      </c>
      <c r="E3" s="25"/>
      <c r="F3" s="5">
        <v>1</v>
      </c>
      <c r="G3" s="5">
        <v>0</v>
      </c>
      <c r="J3" s="5" t="s">
        <v>8</v>
      </c>
      <c r="K3" s="5" t="s">
        <v>6</v>
      </c>
    </row>
    <row r="4" spans="1:11" x14ac:dyDescent="0.35">
      <c r="A4" s="6" t="s">
        <v>40</v>
      </c>
      <c r="B4" s="5" t="s">
        <v>30</v>
      </c>
      <c r="C4" s="5" t="s">
        <v>31</v>
      </c>
      <c r="D4" s="25">
        <v>13320.75</v>
      </c>
      <c r="E4" s="25"/>
      <c r="F4" s="5">
        <v>1</v>
      </c>
      <c r="G4" s="5">
        <v>0</v>
      </c>
      <c r="J4" s="5" t="s">
        <v>7</v>
      </c>
      <c r="K4" s="5" t="s">
        <v>6</v>
      </c>
    </row>
    <row r="5" spans="1:11" x14ac:dyDescent="0.35">
      <c r="A5" s="6" t="s">
        <v>41</v>
      </c>
      <c r="B5" s="5" t="s">
        <v>30</v>
      </c>
      <c r="C5" s="5" t="s">
        <v>33</v>
      </c>
      <c r="D5" s="25">
        <v>15500</v>
      </c>
      <c r="E5" s="25"/>
      <c r="F5" s="5">
        <v>0.7</v>
      </c>
      <c r="G5" s="5">
        <v>0</v>
      </c>
      <c r="J5" s="5" t="s">
        <v>4</v>
      </c>
      <c r="K5" s="5" t="s">
        <v>6</v>
      </c>
    </row>
    <row r="6" spans="1:11" x14ac:dyDescent="0.35">
      <c r="A6" s="5" t="s">
        <v>74</v>
      </c>
      <c r="B6" s="5" t="s">
        <v>96</v>
      </c>
      <c r="C6" s="5" t="s">
        <v>33</v>
      </c>
      <c r="D6" s="25">
        <v>32600</v>
      </c>
      <c r="E6" s="25"/>
      <c r="F6" s="5">
        <v>0.7</v>
      </c>
      <c r="G6" s="5">
        <v>0.1</v>
      </c>
      <c r="J6" s="5" t="s">
        <v>4</v>
      </c>
      <c r="K6" s="5" t="s">
        <v>6</v>
      </c>
    </row>
    <row r="7" spans="1:11" x14ac:dyDescent="0.35">
      <c r="A7" s="5" t="s">
        <v>75</v>
      </c>
      <c r="B7" s="5" t="s">
        <v>95</v>
      </c>
      <c r="C7" s="5" t="s">
        <v>30</v>
      </c>
      <c r="D7" s="5">
        <v>100000</v>
      </c>
      <c r="F7" s="5">
        <v>1</v>
      </c>
      <c r="G7" s="5">
        <v>0</v>
      </c>
      <c r="J7" s="5" t="s">
        <v>7</v>
      </c>
      <c r="K7" s="5" t="s">
        <v>6</v>
      </c>
    </row>
    <row r="8" spans="1:11" x14ac:dyDescent="0.35">
      <c r="A8" s="8" t="s">
        <v>42</v>
      </c>
      <c r="B8" s="5" t="s">
        <v>36</v>
      </c>
      <c r="C8" s="5" t="s">
        <v>34</v>
      </c>
      <c r="D8" s="25">
        <f>1357+468.996</f>
        <v>1825.9960000000001</v>
      </c>
      <c r="E8" s="25"/>
      <c r="F8" s="5">
        <v>0.57999999999999996</v>
      </c>
      <c r="G8" s="26">
        <v>146.19</v>
      </c>
      <c r="J8" s="5" t="s">
        <v>3</v>
      </c>
      <c r="K8" s="5" t="s">
        <v>6</v>
      </c>
    </row>
    <row r="9" spans="1:11" x14ac:dyDescent="0.35">
      <c r="A9" s="8" t="s">
        <v>43</v>
      </c>
      <c r="B9" s="5" t="s">
        <v>35</v>
      </c>
      <c r="C9" s="5" t="s">
        <v>34</v>
      </c>
      <c r="D9" s="25">
        <v>4613</v>
      </c>
      <c r="E9" s="25"/>
      <c r="F9" s="5">
        <v>1</v>
      </c>
      <c r="G9" s="5">
        <v>0</v>
      </c>
      <c r="J9" s="5" t="s">
        <v>8</v>
      </c>
      <c r="K9" s="5" t="s">
        <v>6</v>
      </c>
    </row>
    <row r="10" spans="1:11" x14ac:dyDescent="0.35">
      <c r="A10" s="8" t="s">
        <v>44</v>
      </c>
      <c r="B10" s="5" t="s">
        <v>34</v>
      </c>
      <c r="C10" s="5" t="s">
        <v>35</v>
      </c>
      <c r="D10" s="25">
        <v>3837</v>
      </c>
      <c r="E10" s="25"/>
      <c r="F10" s="5">
        <v>1</v>
      </c>
      <c r="G10" s="5">
        <v>0</v>
      </c>
      <c r="J10" s="5" t="s">
        <v>7</v>
      </c>
      <c r="K10" s="5" t="s">
        <v>6</v>
      </c>
    </row>
    <row r="11" spans="1:11" x14ac:dyDescent="0.35">
      <c r="A11" s="8" t="s">
        <v>45</v>
      </c>
      <c r="B11" s="5" t="s">
        <v>34</v>
      </c>
      <c r="C11" s="5" t="s">
        <v>37</v>
      </c>
      <c r="D11" s="25">
        <v>0</v>
      </c>
      <c r="E11" s="25"/>
      <c r="F11" s="25">
        <v>0.7</v>
      </c>
      <c r="G11" s="5">
        <v>0</v>
      </c>
      <c r="J11" s="5" t="s">
        <v>4</v>
      </c>
      <c r="K11" s="5" t="s">
        <v>6</v>
      </c>
    </row>
    <row r="12" spans="1:11" x14ac:dyDescent="0.35">
      <c r="A12" s="5" t="s">
        <v>76</v>
      </c>
      <c r="B12" s="5" t="s">
        <v>98</v>
      </c>
      <c r="C12" s="5" t="s">
        <v>37</v>
      </c>
      <c r="D12" s="25">
        <v>13478</v>
      </c>
      <c r="E12" s="25"/>
      <c r="F12" s="25">
        <v>0.7</v>
      </c>
      <c r="G12" s="5">
        <v>0</v>
      </c>
      <c r="J12" s="5" t="s">
        <v>4</v>
      </c>
      <c r="K12" s="5" t="s">
        <v>6</v>
      </c>
    </row>
    <row r="13" spans="1:11" x14ac:dyDescent="0.35">
      <c r="A13" s="5" t="s">
        <v>77</v>
      </c>
      <c r="B13" s="5" t="s">
        <v>97</v>
      </c>
      <c r="C13" s="5" t="s">
        <v>34</v>
      </c>
      <c r="D13" s="5">
        <v>100000</v>
      </c>
      <c r="F13" s="5">
        <v>1</v>
      </c>
      <c r="G13" s="5">
        <v>0</v>
      </c>
      <c r="J13" s="5" t="s">
        <v>7</v>
      </c>
      <c r="K13" s="5" t="s">
        <v>6</v>
      </c>
    </row>
    <row r="14" spans="1:11" x14ac:dyDescent="0.35">
      <c r="A14" s="27" t="s">
        <v>70</v>
      </c>
      <c r="B14" s="5" t="s">
        <v>30</v>
      </c>
      <c r="C14" s="5" t="s">
        <v>34</v>
      </c>
      <c r="D14" s="25">
        <v>4200</v>
      </c>
      <c r="E14" s="25"/>
      <c r="F14" s="28">
        <v>1</v>
      </c>
      <c r="G14" s="5">
        <v>0.1</v>
      </c>
      <c r="J14" s="5" t="s">
        <v>7</v>
      </c>
      <c r="K14" s="5" t="s">
        <v>6</v>
      </c>
    </row>
    <row r="15" spans="1:11" x14ac:dyDescent="0.35">
      <c r="A15" s="29" t="s">
        <v>71</v>
      </c>
      <c r="B15" s="5" t="s">
        <v>33</v>
      </c>
      <c r="C15" s="5" t="s">
        <v>37</v>
      </c>
      <c r="D15" s="25">
        <v>2860.169492</v>
      </c>
      <c r="E15" s="25"/>
      <c r="F15" s="28">
        <v>1</v>
      </c>
      <c r="G15" s="5">
        <v>0.1</v>
      </c>
      <c r="J15" s="5" t="s">
        <v>4</v>
      </c>
      <c r="K15" s="5" t="s">
        <v>6</v>
      </c>
    </row>
    <row r="16" spans="1:11" x14ac:dyDescent="0.35">
      <c r="A16" s="27" t="s">
        <v>72</v>
      </c>
      <c r="B16" s="5" t="s">
        <v>34</v>
      </c>
      <c r="C16" s="5" t="s">
        <v>30</v>
      </c>
      <c r="D16" s="25">
        <v>3500</v>
      </c>
      <c r="E16" s="25"/>
      <c r="F16" s="28">
        <v>1</v>
      </c>
      <c r="G16" s="5">
        <v>0.1</v>
      </c>
      <c r="J16" s="5" t="s">
        <v>7</v>
      </c>
      <c r="K16" s="5" t="s">
        <v>6</v>
      </c>
    </row>
    <row r="17" spans="1:11" x14ac:dyDescent="0.35">
      <c r="A17" s="29" t="s">
        <v>73</v>
      </c>
      <c r="B17" s="5" t="s">
        <v>37</v>
      </c>
      <c r="C17" s="5" t="s">
        <v>33</v>
      </c>
      <c r="D17" s="25">
        <v>2860.169492</v>
      </c>
      <c r="E17" s="25"/>
      <c r="F17" s="28">
        <v>1</v>
      </c>
      <c r="G17" s="5">
        <v>0.1</v>
      </c>
      <c r="J17" s="5" t="s">
        <v>4</v>
      </c>
      <c r="K17" s="5" t="s">
        <v>6</v>
      </c>
    </row>
    <row r="18" spans="1:11" x14ac:dyDescent="0.35">
      <c r="A18" s="27" t="s">
        <v>87</v>
      </c>
      <c r="B18" s="5" t="s">
        <v>30</v>
      </c>
      <c r="C18" s="5" t="s">
        <v>85</v>
      </c>
      <c r="D18" s="25">
        <v>5001</v>
      </c>
      <c r="E18" s="25"/>
      <c r="F18" s="28">
        <v>1</v>
      </c>
      <c r="G18" s="5">
        <v>0.1</v>
      </c>
      <c r="J18" s="5" t="s">
        <v>7</v>
      </c>
      <c r="K18" s="5" t="s">
        <v>6</v>
      </c>
    </row>
    <row r="19" spans="1:11" x14ac:dyDescent="0.35">
      <c r="A19" s="27" t="s">
        <v>91</v>
      </c>
      <c r="B19" s="5" t="s">
        <v>85</v>
      </c>
      <c r="C19" s="5" t="s">
        <v>30</v>
      </c>
      <c r="D19" s="25">
        <v>5001</v>
      </c>
      <c r="E19" s="25"/>
      <c r="F19" s="28">
        <v>1</v>
      </c>
      <c r="G19" s="5">
        <v>0.1</v>
      </c>
      <c r="J19" s="5" t="s">
        <v>7</v>
      </c>
      <c r="K19" s="5" t="s">
        <v>6</v>
      </c>
    </row>
    <row r="20" spans="1:11" x14ac:dyDescent="0.35">
      <c r="A20" s="29" t="s">
        <v>110</v>
      </c>
      <c r="B20" s="5" t="s">
        <v>33</v>
      </c>
      <c r="C20" s="5" t="s">
        <v>105</v>
      </c>
      <c r="D20" s="25">
        <v>5014.1242920000004</v>
      </c>
      <c r="E20" s="25"/>
      <c r="F20" s="28">
        <v>1</v>
      </c>
      <c r="G20" s="5">
        <v>0.1</v>
      </c>
      <c r="H20" s="30"/>
      <c r="I20" s="30"/>
      <c r="J20" s="5" t="s">
        <v>4</v>
      </c>
      <c r="K20" s="5" t="s">
        <v>6</v>
      </c>
    </row>
    <row r="21" spans="1:11" x14ac:dyDescent="0.35">
      <c r="A21" s="29" t="s">
        <v>109</v>
      </c>
      <c r="B21" s="5" t="s">
        <v>33</v>
      </c>
      <c r="C21" s="5" t="s">
        <v>104</v>
      </c>
      <c r="D21" s="25">
        <v>7627.1186459999999</v>
      </c>
      <c r="E21" s="25"/>
      <c r="F21" s="28">
        <v>1</v>
      </c>
      <c r="G21" s="5">
        <v>0.1</v>
      </c>
      <c r="H21" s="30"/>
      <c r="I21" s="30"/>
      <c r="J21" s="5" t="s">
        <v>4</v>
      </c>
      <c r="K21" s="5" t="s">
        <v>6</v>
      </c>
    </row>
    <row r="22" spans="1:11" x14ac:dyDescent="0.35">
      <c r="A22" s="29" t="s">
        <v>118</v>
      </c>
      <c r="B22" s="5" t="s">
        <v>104</v>
      </c>
      <c r="C22" s="5" t="s">
        <v>33</v>
      </c>
      <c r="D22" s="25">
        <v>7627.1186459999999</v>
      </c>
      <c r="E22" s="25"/>
      <c r="F22" s="28">
        <v>1</v>
      </c>
      <c r="G22" s="5">
        <v>0.1</v>
      </c>
      <c r="H22" s="30"/>
      <c r="I22" s="30"/>
      <c r="J22" s="5" t="s">
        <v>4</v>
      </c>
      <c r="K22" s="5" t="s">
        <v>6</v>
      </c>
    </row>
    <row r="23" spans="1:11" x14ac:dyDescent="0.35">
      <c r="A23" s="29" t="s">
        <v>111</v>
      </c>
      <c r="B23" s="5" t="s">
        <v>105</v>
      </c>
      <c r="C23" s="5" t="s">
        <v>104</v>
      </c>
      <c r="D23" s="25">
        <v>1553.672292</v>
      </c>
      <c r="E23" s="25"/>
      <c r="F23" s="28">
        <v>1</v>
      </c>
      <c r="G23" s="5">
        <v>0.1</v>
      </c>
      <c r="H23" s="30"/>
      <c r="I23" s="30"/>
      <c r="J23" s="5" t="s">
        <v>4</v>
      </c>
      <c r="K23" s="5" t="s">
        <v>6</v>
      </c>
    </row>
    <row r="24" spans="1:11" x14ac:dyDescent="0.35">
      <c r="A24" s="29" t="s">
        <v>112</v>
      </c>
      <c r="B24" s="5" t="s">
        <v>104</v>
      </c>
      <c r="C24" s="5" t="s">
        <v>86</v>
      </c>
      <c r="D24" s="25">
        <v>6780.6610170000004</v>
      </c>
      <c r="E24" s="25"/>
      <c r="F24" s="28">
        <v>1</v>
      </c>
      <c r="G24" s="5">
        <v>0.1</v>
      </c>
      <c r="H24" s="30"/>
      <c r="I24" s="30"/>
      <c r="J24" s="5" t="s">
        <v>4</v>
      </c>
      <c r="K24" s="5" t="s">
        <v>6</v>
      </c>
    </row>
    <row r="25" spans="1:11" x14ac:dyDescent="0.35">
      <c r="A25" s="29" t="s">
        <v>113</v>
      </c>
      <c r="B25" s="5" t="s">
        <v>86</v>
      </c>
      <c r="C25" s="5" t="s">
        <v>104</v>
      </c>
      <c r="D25" s="25">
        <v>6780.6610170000004</v>
      </c>
      <c r="E25" s="25"/>
      <c r="F25" s="28">
        <v>1</v>
      </c>
      <c r="G25" s="5">
        <v>0.1</v>
      </c>
      <c r="H25" s="30"/>
      <c r="I25" s="30"/>
      <c r="J25" s="5" t="s">
        <v>4</v>
      </c>
      <c r="K25" s="5" t="s">
        <v>6</v>
      </c>
    </row>
    <row r="26" spans="1:11" x14ac:dyDescent="0.35">
      <c r="A26" s="31" t="s">
        <v>102</v>
      </c>
      <c r="B26" s="5" t="s">
        <v>99</v>
      </c>
      <c r="C26" s="5" t="s">
        <v>33</v>
      </c>
      <c r="D26" s="25">
        <v>3742.94</v>
      </c>
      <c r="E26" s="25">
        <v>0.4</v>
      </c>
      <c r="F26" s="28">
        <v>1</v>
      </c>
      <c r="G26" s="28">
        <v>0</v>
      </c>
      <c r="J26" s="5" t="s">
        <v>4</v>
      </c>
      <c r="K26" s="5" t="s">
        <v>6</v>
      </c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10"/>
  <sheetViews>
    <sheetView workbookViewId="0">
      <selection activeCell="I39" sqref="I39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9.08984375" style="5" bestFit="1" customWidth="1"/>
    <col min="4" max="16384" width="10.90625" style="5"/>
  </cols>
  <sheetData>
    <row r="1" spans="1:4" x14ac:dyDescent="0.35">
      <c r="A1" s="32" t="s">
        <v>5</v>
      </c>
      <c r="B1" s="5" t="s">
        <v>15</v>
      </c>
      <c r="C1" s="5" t="s">
        <v>0</v>
      </c>
      <c r="D1" s="5" t="s">
        <v>1</v>
      </c>
    </row>
    <row r="2" spans="1:4" x14ac:dyDescent="0.35">
      <c r="A2" s="6" t="s">
        <v>58</v>
      </c>
      <c r="B2" s="5" t="s">
        <v>30</v>
      </c>
      <c r="C2" s="5" t="s">
        <v>7</v>
      </c>
      <c r="D2" s="5" t="s">
        <v>6</v>
      </c>
    </row>
    <row r="3" spans="1:4" x14ac:dyDescent="0.35">
      <c r="A3" s="6" t="s">
        <v>59</v>
      </c>
      <c r="B3" s="5" t="s">
        <v>33</v>
      </c>
      <c r="C3" s="5" t="s">
        <v>4</v>
      </c>
      <c r="D3" s="5" t="s">
        <v>6</v>
      </c>
    </row>
    <row r="4" spans="1:4" x14ac:dyDescent="0.35">
      <c r="A4" s="8" t="s">
        <v>60</v>
      </c>
      <c r="B4" s="5" t="s">
        <v>34</v>
      </c>
      <c r="C4" s="5" t="s">
        <v>7</v>
      </c>
      <c r="D4" s="5" t="s">
        <v>6</v>
      </c>
    </row>
    <row r="5" spans="1:4" x14ac:dyDescent="0.35">
      <c r="A5" s="8" t="s">
        <v>61</v>
      </c>
      <c r="B5" s="5" t="s">
        <v>37</v>
      </c>
      <c r="C5" s="5" t="s">
        <v>4</v>
      </c>
      <c r="D5" s="5" t="s">
        <v>6</v>
      </c>
    </row>
    <row r="6" spans="1:4" x14ac:dyDescent="0.35">
      <c r="A6" s="14" t="s">
        <v>89</v>
      </c>
      <c r="B6" s="5" t="s">
        <v>85</v>
      </c>
      <c r="C6" s="5" t="s">
        <v>7</v>
      </c>
      <c r="D6" s="5" t="s">
        <v>6</v>
      </c>
    </row>
    <row r="7" spans="1:4" x14ac:dyDescent="0.35">
      <c r="A7" s="14" t="s">
        <v>90</v>
      </c>
      <c r="B7" s="5" t="s">
        <v>86</v>
      </c>
      <c r="C7" s="5" t="s">
        <v>4</v>
      </c>
      <c r="D7" s="5" t="s">
        <v>6</v>
      </c>
    </row>
    <row r="8" spans="1:4" x14ac:dyDescent="0.35">
      <c r="A8" s="14" t="s">
        <v>103</v>
      </c>
      <c r="B8" s="5" t="s">
        <v>105</v>
      </c>
      <c r="C8" s="5" t="s">
        <v>4</v>
      </c>
      <c r="D8" s="5" t="s">
        <v>6</v>
      </c>
    </row>
    <row r="9" spans="1:4" x14ac:dyDescent="0.35">
      <c r="A9" s="14" t="s">
        <v>129</v>
      </c>
      <c r="B9" s="5" t="s">
        <v>104</v>
      </c>
      <c r="C9" s="5" t="s">
        <v>4</v>
      </c>
      <c r="D9" s="5" t="s">
        <v>6</v>
      </c>
    </row>
    <row r="10" spans="1:4" x14ac:dyDescent="0.35">
      <c r="A10" s="14" t="s">
        <v>128</v>
      </c>
      <c r="B10" s="5" t="s">
        <v>105</v>
      </c>
      <c r="C10" s="5" t="s">
        <v>4</v>
      </c>
      <c r="D10" s="5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H11" sqref="H11"/>
    </sheetView>
  </sheetViews>
  <sheetFormatPr baseColWidth="10" defaultRowHeight="14.5" x14ac:dyDescent="0.35"/>
  <cols>
    <col min="1" max="1" width="5.7265625" style="36" bestFit="1" customWidth="1"/>
    <col min="2" max="2" width="20.26953125" style="37" bestFit="1" customWidth="1"/>
    <col min="3" max="3" width="20.26953125" style="38" bestFit="1" customWidth="1"/>
    <col min="4" max="4" width="18.81640625" style="37" customWidth="1"/>
    <col min="5" max="16384" width="10.90625" style="5"/>
  </cols>
  <sheetData>
    <row r="1" spans="1:4" s="33" customFormat="1" x14ac:dyDescent="0.35">
      <c r="A1" s="176" t="s">
        <v>132</v>
      </c>
      <c r="B1" s="177" t="s">
        <v>63</v>
      </c>
      <c r="C1" s="178" t="s">
        <v>64</v>
      </c>
      <c r="D1" s="179" t="s">
        <v>116</v>
      </c>
    </row>
    <row r="2" spans="1:4" x14ac:dyDescent="0.35">
      <c r="A2" s="180">
        <f>0</f>
        <v>0</v>
      </c>
      <c r="B2" s="34">
        <v>0.25493919022938366</v>
      </c>
      <c r="C2" s="35">
        <v>0.72203423175290182</v>
      </c>
      <c r="D2" s="35">
        <v>0.50275862068965516</v>
      </c>
    </row>
    <row r="3" spans="1:4" x14ac:dyDescent="0.35">
      <c r="A3" s="180">
        <f>A2+1</f>
        <v>1</v>
      </c>
      <c r="B3" s="34">
        <v>0.25493919022938366</v>
      </c>
      <c r="C3" s="35">
        <v>0.72203423175290182</v>
      </c>
      <c r="D3" s="35">
        <v>0.50275862068965516</v>
      </c>
    </row>
    <row r="4" spans="1:4" x14ac:dyDescent="0.35">
      <c r="A4" s="180">
        <f t="shared" ref="A4:A67" si="0">A3+1</f>
        <v>2</v>
      </c>
      <c r="B4" s="34">
        <v>0.25493919022938366</v>
      </c>
      <c r="C4" s="35">
        <v>0.72203423175290182</v>
      </c>
      <c r="D4" s="35">
        <v>0.50275862068965516</v>
      </c>
    </row>
    <row r="5" spans="1:4" x14ac:dyDescent="0.35">
      <c r="A5" s="180">
        <f t="shared" si="0"/>
        <v>3</v>
      </c>
      <c r="B5" s="34">
        <v>0.25493919022938366</v>
      </c>
      <c r="C5" s="35">
        <v>0.72203423175290182</v>
      </c>
      <c r="D5" s="35">
        <v>0.50275862068965516</v>
      </c>
    </row>
    <row r="6" spans="1:4" x14ac:dyDescent="0.35">
      <c r="A6" s="180">
        <f t="shared" si="0"/>
        <v>4</v>
      </c>
      <c r="B6" s="34">
        <v>0.25493919022938366</v>
      </c>
      <c r="C6" s="35">
        <v>0.72203423175290182</v>
      </c>
      <c r="D6" s="35">
        <v>0.50275862068965516</v>
      </c>
    </row>
    <row r="7" spans="1:4" x14ac:dyDescent="0.35">
      <c r="A7" s="180">
        <f t="shared" si="0"/>
        <v>5</v>
      </c>
      <c r="B7" s="34">
        <v>0.25493919022938366</v>
      </c>
      <c r="C7" s="35">
        <v>0.72203423175290182</v>
      </c>
      <c r="D7" s="35">
        <v>0.50275862068965516</v>
      </c>
    </row>
    <row r="8" spans="1:4" x14ac:dyDescent="0.35">
      <c r="A8" s="180">
        <f t="shared" si="0"/>
        <v>6</v>
      </c>
      <c r="B8" s="34">
        <v>0.25493919022938366</v>
      </c>
      <c r="C8" s="35">
        <v>0.72203423175290182</v>
      </c>
      <c r="D8" s="35">
        <v>0.50275862068965516</v>
      </c>
    </row>
    <row r="9" spans="1:4" x14ac:dyDescent="0.35">
      <c r="A9" s="180">
        <f t="shared" si="0"/>
        <v>7</v>
      </c>
      <c r="B9" s="34">
        <v>0.25493919022938366</v>
      </c>
      <c r="C9" s="35">
        <v>0.72203423175290182</v>
      </c>
      <c r="D9" s="35">
        <v>0.50275862068965516</v>
      </c>
    </row>
    <row r="10" spans="1:4" x14ac:dyDescent="0.35">
      <c r="A10" s="180">
        <f t="shared" si="0"/>
        <v>8</v>
      </c>
      <c r="B10" s="34">
        <v>0.25493919022938366</v>
      </c>
      <c r="C10" s="35">
        <v>0.72203423175290182</v>
      </c>
      <c r="D10" s="35">
        <v>0.50275862068965516</v>
      </c>
    </row>
    <row r="11" spans="1:4" x14ac:dyDescent="0.35">
      <c r="A11" s="180">
        <f t="shared" si="0"/>
        <v>9</v>
      </c>
      <c r="B11" s="34">
        <v>0.25493919022938366</v>
      </c>
      <c r="C11" s="35">
        <v>0.72203423175290182</v>
      </c>
      <c r="D11" s="35">
        <v>0.50275862068965516</v>
      </c>
    </row>
    <row r="12" spans="1:4" x14ac:dyDescent="0.35">
      <c r="A12" s="180">
        <f t="shared" si="0"/>
        <v>10</v>
      </c>
      <c r="B12" s="34">
        <v>0.25493919022938366</v>
      </c>
      <c r="C12" s="35">
        <v>0.72203423175290182</v>
      </c>
      <c r="D12" s="35">
        <v>0.50275862068965516</v>
      </c>
    </row>
    <row r="13" spans="1:4" x14ac:dyDescent="0.35">
      <c r="A13" s="180">
        <f t="shared" si="0"/>
        <v>11</v>
      </c>
      <c r="B13" s="34">
        <v>0.25493919022938366</v>
      </c>
      <c r="C13" s="35">
        <v>0.72203423175290182</v>
      </c>
      <c r="D13" s="35">
        <v>0.50275862068965516</v>
      </c>
    </row>
    <row r="14" spans="1:4" x14ac:dyDescent="0.35">
      <c r="A14" s="180">
        <f t="shared" si="0"/>
        <v>12</v>
      </c>
      <c r="B14" s="34">
        <v>0.25493919022938366</v>
      </c>
      <c r="C14" s="35">
        <v>0.72203423175290182</v>
      </c>
      <c r="D14" s="35">
        <v>0.50275862068965516</v>
      </c>
    </row>
    <row r="15" spans="1:4" x14ac:dyDescent="0.35">
      <c r="A15" s="180">
        <f t="shared" si="0"/>
        <v>13</v>
      </c>
      <c r="B15" s="34">
        <v>0.25493919022938366</v>
      </c>
      <c r="C15" s="35">
        <v>0.72203423175290182</v>
      </c>
      <c r="D15" s="35">
        <v>0.50275862068965516</v>
      </c>
    </row>
    <row r="16" spans="1:4" x14ac:dyDescent="0.35">
      <c r="A16" s="180">
        <f t="shared" si="0"/>
        <v>14</v>
      </c>
      <c r="B16" s="34">
        <v>0.25493919022938366</v>
      </c>
      <c r="C16" s="35">
        <v>0.72203423175290182</v>
      </c>
      <c r="D16" s="35">
        <v>0.50275862068965516</v>
      </c>
    </row>
    <row r="17" spans="1:4" x14ac:dyDescent="0.35">
      <c r="A17" s="180">
        <f t="shared" si="0"/>
        <v>15</v>
      </c>
      <c r="B17" s="34">
        <v>0.25493919022938366</v>
      </c>
      <c r="C17" s="35">
        <v>0.72203423175290182</v>
      </c>
      <c r="D17" s="35">
        <v>0.50275862068965516</v>
      </c>
    </row>
    <row r="18" spans="1:4" x14ac:dyDescent="0.35">
      <c r="A18" s="180">
        <f t="shared" si="0"/>
        <v>16</v>
      </c>
      <c r="B18" s="34">
        <v>0.25493919022938366</v>
      </c>
      <c r="C18" s="35">
        <v>0.72203423175290182</v>
      </c>
      <c r="D18" s="35">
        <v>0.50275862068965516</v>
      </c>
    </row>
    <row r="19" spans="1:4" x14ac:dyDescent="0.35">
      <c r="A19" s="180">
        <f t="shared" si="0"/>
        <v>17</v>
      </c>
      <c r="B19" s="34">
        <v>0.25493919022938366</v>
      </c>
      <c r="C19" s="35">
        <v>0.72203423175290182</v>
      </c>
      <c r="D19" s="35">
        <v>0.50275862068965516</v>
      </c>
    </row>
    <row r="20" spans="1:4" x14ac:dyDescent="0.35">
      <c r="A20" s="180">
        <f t="shared" si="0"/>
        <v>18</v>
      </c>
      <c r="B20" s="34">
        <v>0.25493919022938366</v>
      </c>
      <c r="C20" s="35">
        <v>0.72203423175290182</v>
      </c>
      <c r="D20" s="35">
        <v>0.50275862068965516</v>
      </c>
    </row>
    <row r="21" spans="1:4" x14ac:dyDescent="0.35">
      <c r="A21" s="180">
        <f t="shared" si="0"/>
        <v>19</v>
      </c>
      <c r="B21" s="34">
        <v>0.25493919022938366</v>
      </c>
      <c r="C21" s="35">
        <v>0.72203423175290182</v>
      </c>
      <c r="D21" s="35">
        <v>0.50275862068965516</v>
      </c>
    </row>
    <row r="22" spans="1:4" x14ac:dyDescent="0.35">
      <c r="A22" s="180">
        <f t="shared" si="0"/>
        <v>20</v>
      </c>
      <c r="B22" s="34">
        <v>0.25493919022938366</v>
      </c>
      <c r="C22" s="35">
        <v>0.72203423175290182</v>
      </c>
      <c r="D22" s="35">
        <v>0.50275862068965516</v>
      </c>
    </row>
    <row r="23" spans="1:4" x14ac:dyDescent="0.35">
      <c r="A23" s="180">
        <f t="shared" si="0"/>
        <v>21</v>
      </c>
      <c r="B23" s="34">
        <v>0.25493919022938366</v>
      </c>
      <c r="C23" s="35">
        <v>0.72203423175290182</v>
      </c>
      <c r="D23" s="35">
        <v>0.50275862068965516</v>
      </c>
    </row>
    <row r="24" spans="1:4" x14ac:dyDescent="0.35">
      <c r="A24" s="180">
        <f t="shared" si="0"/>
        <v>22</v>
      </c>
      <c r="B24" s="34">
        <v>0.25493919022938366</v>
      </c>
      <c r="C24" s="35">
        <v>0.72203423175290182</v>
      </c>
      <c r="D24" s="35">
        <v>0.50275862068965516</v>
      </c>
    </row>
    <row r="25" spans="1:4" x14ac:dyDescent="0.35">
      <c r="A25" s="180">
        <f t="shared" si="0"/>
        <v>23</v>
      </c>
      <c r="B25" s="34">
        <v>0.25493919022938366</v>
      </c>
      <c r="C25" s="35">
        <v>0.72203423175290182</v>
      </c>
      <c r="D25" s="35">
        <v>0.50275862068965516</v>
      </c>
    </row>
    <row r="26" spans="1:4" x14ac:dyDescent="0.35">
      <c r="A26" s="180">
        <f t="shared" si="0"/>
        <v>24</v>
      </c>
      <c r="B26" s="34">
        <v>0.25493919022938366</v>
      </c>
      <c r="C26" s="35">
        <v>0.72203423175290182</v>
      </c>
      <c r="D26" s="35">
        <v>0.50275862068965516</v>
      </c>
    </row>
    <row r="27" spans="1:4" x14ac:dyDescent="0.35">
      <c r="A27" s="180">
        <f t="shared" si="0"/>
        <v>25</v>
      </c>
      <c r="B27" s="34">
        <v>0.25493919022938366</v>
      </c>
      <c r="C27" s="35">
        <v>0.72203423175290182</v>
      </c>
      <c r="D27" s="35">
        <v>0.50275862068965516</v>
      </c>
    </row>
    <row r="28" spans="1:4" x14ac:dyDescent="0.35">
      <c r="A28" s="180">
        <f t="shared" si="0"/>
        <v>26</v>
      </c>
      <c r="B28" s="34">
        <v>0.25493919022938366</v>
      </c>
      <c r="C28" s="35">
        <v>0.72203423175290182</v>
      </c>
      <c r="D28" s="35">
        <v>0.50275862068965516</v>
      </c>
    </row>
    <row r="29" spans="1:4" x14ac:dyDescent="0.35">
      <c r="A29" s="180">
        <f t="shared" si="0"/>
        <v>27</v>
      </c>
      <c r="B29" s="34">
        <v>0.25493919022938366</v>
      </c>
      <c r="C29" s="35">
        <v>0.72203423175290182</v>
      </c>
      <c r="D29" s="35">
        <v>0.50275862068965516</v>
      </c>
    </row>
    <row r="30" spans="1:4" x14ac:dyDescent="0.35">
      <c r="A30" s="180">
        <f t="shared" si="0"/>
        <v>28</v>
      </c>
      <c r="B30" s="34">
        <v>0.25493919022938366</v>
      </c>
      <c r="C30" s="35">
        <v>0.72203423175290182</v>
      </c>
      <c r="D30" s="35">
        <v>0.50275862068965516</v>
      </c>
    </row>
    <row r="31" spans="1:4" x14ac:dyDescent="0.35">
      <c r="A31" s="180">
        <f t="shared" si="0"/>
        <v>29</v>
      </c>
      <c r="B31" s="34">
        <v>0.25493919022938366</v>
      </c>
      <c r="C31" s="35">
        <v>0.72203423175290182</v>
      </c>
      <c r="D31" s="35">
        <v>0.50275862068965516</v>
      </c>
    </row>
    <row r="32" spans="1:4" x14ac:dyDescent="0.35">
      <c r="A32" s="180">
        <f t="shared" si="0"/>
        <v>30</v>
      </c>
      <c r="B32" s="34">
        <v>0.25493919022938366</v>
      </c>
      <c r="C32" s="35">
        <v>0.72203423175290182</v>
      </c>
      <c r="D32" s="35">
        <v>0.50275862068965516</v>
      </c>
    </row>
    <row r="33" spans="1:4" x14ac:dyDescent="0.35">
      <c r="A33" s="180">
        <f t="shared" si="0"/>
        <v>31</v>
      </c>
      <c r="B33" s="34">
        <v>0.25493919022938366</v>
      </c>
      <c r="C33" s="35">
        <v>0.72203423175290182</v>
      </c>
      <c r="D33" s="35">
        <v>0.50275862068965516</v>
      </c>
    </row>
    <row r="34" spans="1:4" x14ac:dyDescent="0.35">
      <c r="A34" s="180">
        <f t="shared" si="0"/>
        <v>32</v>
      </c>
      <c r="B34" s="34">
        <v>0.25493919022938366</v>
      </c>
      <c r="C34" s="35">
        <v>0.72203423175290182</v>
      </c>
      <c r="D34" s="35">
        <v>0.50275862068965516</v>
      </c>
    </row>
    <row r="35" spans="1:4" x14ac:dyDescent="0.35">
      <c r="A35" s="180">
        <f t="shared" si="0"/>
        <v>33</v>
      </c>
      <c r="B35" s="34">
        <v>0.25493919022938366</v>
      </c>
      <c r="C35" s="35">
        <v>0.72203423175290182</v>
      </c>
      <c r="D35" s="35">
        <v>0.50275862068965516</v>
      </c>
    </row>
    <row r="36" spans="1:4" x14ac:dyDescent="0.35">
      <c r="A36" s="180">
        <f t="shared" si="0"/>
        <v>34</v>
      </c>
      <c r="B36" s="34">
        <v>0.25493919022938366</v>
      </c>
      <c r="C36" s="35">
        <v>0.72203423175290182</v>
      </c>
      <c r="D36" s="35">
        <v>0.50275862068965516</v>
      </c>
    </row>
    <row r="37" spans="1:4" x14ac:dyDescent="0.35">
      <c r="A37" s="180">
        <f t="shared" si="0"/>
        <v>35</v>
      </c>
      <c r="B37" s="34">
        <v>0.25493919022938366</v>
      </c>
      <c r="C37" s="35">
        <v>0.72203423175290182</v>
      </c>
      <c r="D37" s="35">
        <v>0.50275862068965516</v>
      </c>
    </row>
    <row r="38" spans="1:4" x14ac:dyDescent="0.35">
      <c r="A38" s="180">
        <f t="shared" si="0"/>
        <v>36</v>
      </c>
      <c r="B38" s="34">
        <v>0.25493919022938366</v>
      </c>
      <c r="C38" s="35">
        <v>0.72203423175290182</v>
      </c>
      <c r="D38" s="35">
        <v>0.50275862068965516</v>
      </c>
    </row>
    <row r="39" spans="1:4" x14ac:dyDescent="0.35">
      <c r="A39" s="180">
        <f t="shared" si="0"/>
        <v>37</v>
      </c>
      <c r="B39" s="34">
        <v>0.25493919022938366</v>
      </c>
      <c r="C39" s="35">
        <v>0.72203423175290182</v>
      </c>
      <c r="D39" s="35">
        <v>0.50275862068965516</v>
      </c>
    </row>
    <row r="40" spans="1:4" x14ac:dyDescent="0.35">
      <c r="A40" s="180">
        <f t="shared" si="0"/>
        <v>38</v>
      </c>
      <c r="B40" s="34">
        <v>0.25493919022938366</v>
      </c>
      <c r="C40" s="35">
        <v>0.72203423175290182</v>
      </c>
      <c r="D40" s="35">
        <v>0.50275862068965516</v>
      </c>
    </row>
    <row r="41" spans="1:4" x14ac:dyDescent="0.35">
      <c r="A41" s="180">
        <f t="shared" si="0"/>
        <v>39</v>
      </c>
      <c r="B41" s="34">
        <v>0.25493919022938366</v>
      </c>
      <c r="C41" s="35">
        <v>0.72203423175290182</v>
      </c>
      <c r="D41" s="35">
        <v>0.50275862068965516</v>
      </c>
    </row>
    <row r="42" spans="1:4" x14ac:dyDescent="0.35">
      <c r="A42" s="180">
        <f t="shared" si="0"/>
        <v>40</v>
      </c>
      <c r="B42" s="34">
        <v>0.25493919022938366</v>
      </c>
      <c r="C42" s="35">
        <v>0.72203423175290182</v>
      </c>
      <c r="D42" s="35">
        <v>0.50275862068965516</v>
      </c>
    </row>
    <row r="43" spans="1:4" x14ac:dyDescent="0.35">
      <c r="A43" s="180">
        <f t="shared" si="0"/>
        <v>41</v>
      </c>
      <c r="B43" s="34">
        <v>0.25493919022938366</v>
      </c>
      <c r="C43" s="35">
        <v>0.72203423175290182</v>
      </c>
      <c r="D43" s="35">
        <v>0.50275862068965516</v>
      </c>
    </row>
    <row r="44" spans="1:4" x14ac:dyDescent="0.35">
      <c r="A44" s="180">
        <f t="shared" si="0"/>
        <v>42</v>
      </c>
      <c r="B44" s="34">
        <v>0.25493919022938366</v>
      </c>
      <c r="C44" s="35">
        <v>0.72203423175290182</v>
      </c>
      <c r="D44" s="35">
        <v>0.50275862068965516</v>
      </c>
    </row>
    <row r="45" spans="1:4" x14ac:dyDescent="0.35">
      <c r="A45" s="180">
        <f t="shared" si="0"/>
        <v>43</v>
      </c>
      <c r="B45" s="34">
        <v>0.25493919022938366</v>
      </c>
      <c r="C45" s="35">
        <v>0.72203423175290182</v>
      </c>
      <c r="D45" s="35">
        <v>0.50275862068965516</v>
      </c>
    </row>
    <row r="46" spans="1:4" x14ac:dyDescent="0.35">
      <c r="A46" s="180">
        <f t="shared" si="0"/>
        <v>44</v>
      </c>
      <c r="B46" s="34">
        <v>0.25493919022938366</v>
      </c>
      <c r="C46" s="35">
        <v>0.72203423175290182</v>
      </c>
      <c r="D46" s="35">
        <v>0.50275862068965516</v>
      </c>
    </row>
    <row r="47" spans="1:4" x14ac:dyDescent="0.35">
      <c r="A47" s="180">
        <f t="shared" si="0"/>
        <v>45</v>
      </c>
      <c r="B47" s="34">
        <v>0.25493919022938366</v>
      </c>
      <c r="C47" s="35">
        <v>0.72203423175290182</v>
      </c>
      <c r="D47" s="35">
        <v>0.50275862068965516</v>
      </c>
    </row>
    <row r="48" spans="1:4" x14ac:dyDescent="0.35">
      <c r="A48" s="180">
        <f t="shared" si="0"/>
        <v>46</v>
      </c>
      <c r="B48" s="34">
        <v>0.25493919022938366</v>
      </c>
      <c r="C48" s="35">
        <v>0.72203423175290182</v>
      </c>
      <c r="D48" s="35">
        <v>0.50275862068965516</v>
      </c>
    </row>
    <row r="49" spans="1:4" x14ac:dyDescent="0.35">
      <c r="A49" s="180">
        <f t="shared" si="0"/>
        <v>47</v>
      </c>
      <c r="B49" s="34">
        <v>0.25493919022938366</v>
      </c>
      <c r="C49" s="35">
        <v>0.72203423175290182</v>
      </c>
      <c r="D49" s="35">
        <v>0.50275862068965516</v>
      </c>
    </row>
    <row r="50" spans="1:4" x14ac:dyDescent="0.35">
      <c r="A50" s="180">
        <f t="shared" si="0"/>
        <v>48</v>
      </c>
      <c r="B50" s="34">
        <v>0.25493919022938366</v>
      </c>
      <c r="C50" s="35">
        <v>0.72203423175290182</v>
      </c>
      <c r="D50" s="35">
        <v>0.50275862068965516</v>
      </c>
    </row>
    <row r="51" spans="1:4" x14ac:dyDescent="0.35">
      <c r="A51" s="180">
        <f t="shared" si="0"/>
        <v>49</v>
      </c>
      <c r="B51" s="34">
        <v>0.25493919022938366</v>
      </c>
      <c r="C51" s="35">
        <v>0.72203423175290182</v>
      </c>
      <c r="D51" s="35">
        <v>0.50275862068965516</v>
      </c>
    </row>
    <row r="52" spans="1:4" x14ac:dyDescent="0.35">
      <c r="A52" s="180">
        <f t="shared" si="0"/>
        <v>50</v>
      </c>
      <c r="B52" s="34">
        <v>0.25493919022938366</v>
      </c>
      <c r="C52" s="35">
        <v>0.72203423175290182</v>
      </c>
      <c r="D52" s="35">
        <v>0.50275862068965516</v>
      </c>
    </row>
    <row r="53" spans="1:4" x14ac:dyDescent="0.35">
      <c r="A53" s="180">
        <f t="shared" si="0"/>
        <v>51</v>
      </c>
      <c r="B53" s="34">
        <v>0.25493919022938366</v>
      </c>
      <c r="C53" s="35">
        <v>0.72203423175290182</v>
      </c>
      <c r="D53" s="35">
        <v>0.50275862068965516</v>
      </c>
    </row>
    <row r="54" spans="1:4" x14ac:dyDescent="0.35">
      <c r="A54" s="180">
        <f t="shared" si="0"/>
        <v>52</v>
      </c>
      <c r="B54" s="34">
        <v>0.25493919022938366</v>
      </c>
      <c r="C54" s="35">
        <v>0.72203423175290182</v>
      </c>
      <c r="D54" s="35">
        <v>0.50275862068965516</v>
      </c>
    </row>
    <row r="55" spans="1:4" x14ac:dyDescent="0.35">
      <c r="A55" s="180">
        <f t="shared" si="0"/>
        <v>53</v>
      </c>
      <c r="B55" s="34">
        <v>0.25493919022938366</v>
      </c>
      <c r="C55" s="35">
        <v>0.72203423175290182</v>
      </c>
      <c r="D55" s="35">
        <v>0.50275862068965516</v>
      </c>
    </row>
    <row r="56" spans="1:4" x14ac:dyDescent="0.35">
      <c r="A56" s="180">
        <f t="shared" si="0"/>
        <v>54</v>
      </c>
      <c r="B56" s="34">
        <v>0.25493919022938366</v>
      </c>
      <c r="C56" s="35">
        <v>0.72203423175290182</v>
      </c>
      <c r="D56" s="35">
        <v>0.50275862068965516</v>
      </c>
    </row>
    <row r="57" spans="1:4" x14ac:dyDescent="0.35">
      <c r="A57" s="180">
        <f t="shared" si="0"/>
        <v>55</v>
      </c>
      <c r="B57" s="34">
        <v>0.25493919022938366</v>
      </c>
      <c r="C57" s="35">
        <v>0.72203423175290182</v>
      </c>
      <c r="D57" s="35">
        <v>0.50275862068965516</v>
      </c>
    </row>
    <row r="58" spans="1:4" x14ac:dyDescent="0.35">
      <c r="A58" s="180">
        <f t="shared" si="0"/>
        <v>56</v>
      </c>
      <c r="B58" s="34">
        <v>0.25493919022938366</v>
      </c>
      <c r="C58" s="35">
        <v>0.72203423175290182</v>
      </c>
      <c r="D58" s="35">
        <v>0.50275862068965516</v>
      </c>
    </row>
    <row r="59" spans="1:4" x14ac:dyDescent="0.35">
      <c r="A59" s="180">
        <f t="shared" si="0"/>
        <v>57</v>
      </c>
      <c r="B59" s="34">
        <v>0.25493919022938366</v>
      </c>
      <c r="C59" s="35">
        <v>0.72203423175290182</v>
      </c>
      <c r="D59" s="35">
        <v>0.50275862068965516</v>
      </c>
    </row>
    <row r="60" spans="1:4" x14ac:dyDescent="0.35">
      <c r="A60" s="180">
        <f t="shared" si="0"/>
        <v>58</v>
      </c>
      <c r="B60" s="34">
        <v>0.25493919022938366</v>
      </c>
      <c r="C60" s="35">
        <v>0.72203423175290182</v>
      </c>
      <c r="D60" s="35">
        <v>0.50275862068965516</v>
      </c>
    </row>
    <row r="61" spans="1:4" x14ac:dyDescent="0.35">
      <c r="A61" s="180">
        <f t="shared" si="0"/>
        <v>59</v>
      </c>
      <c r="B61" s="34">
        <v>0.25493919022938366</v>
      </c>
      <c r="C61" s="35">
        <v>0.72203423175290182</v>
      </c>
      <c r="D61" s="35">
        <v>0.50275862068965516</v>
      </c>
    </row>
    <row r="62" spans="1:4" x14ac:dyDescent="0.35">
      <c r="A62" s="180">
        <f t="shared" si="0"/>
        <v>60</v>
      </c>
      <c r="B62" s="34">
        <v>0.25493919022938366</v>
      </c>
      <c r="C62" s="35">
        <v>0.72203423175290182</v>
      </c>
      <c r="D62" s="35">
        <v>0.50275862068965516</v>
      </c>
    </row>
    <row r="63" spans="1:4" x14ac:dyDescent="0.35">
      <c r="A63" s="180">
        <f t="shared" si="0"/>
        <v>61</v>
      </c>
      <c r="B63" s="34">
        <v>0.25493919022938366</v>
      </c>
      <c r="C63" s="35">
        <v>0.72203423175290182</v>
      </c>
      <c r="D63" s="35">
        <v>0.50275862068965516</v>
      </c>
    </row>
    <row r="64" spans="1:4" x14ac:dyDescent="0.35">
      <c r="A64" s="180">
        <f t="shared" si="0"/>
        <v>62</v>
      </c>
      <c r="B64" s="34">
        <v>0.25493919022938366</v>
      </c>
      <c r="C64" s="35">
        <v>0.72203423175290182</v>
      </c>
      <c r="D64" s="35">
        <v>0.50275862068965516</v>
      </c>
    </row>
    <row r="65" spans="1:4" x14ac:dyDescent="0.35">
      <c r="A65" s="180">
        <f t="shared" si="0"/>
        <v>63</v>
      </c>
      <c r="B65" s="34">
        <v>0.25493919022938366</v>
      </c>
      <c r="C65" s="35">
        <v>0.72203423175290182</v>
      </c>
      <c r="D65" s="35">
        <v>0.50275862068965516</v>
      </c>
    </row>
    <row r="66" spans="1:4" x14ac:dyDescent="0.35">
      <c r="A66" s="180">
        <f t="shared" si="0"/>
        <v>64</v>
      </c>
      <c r="B66" s="34">
        <v>0.25493919022938366</v>
      </c>
      <c r="C66" s="35">
        <v>0.72203423175290182</v>
      </c>
      <c r="D66" s="35">
        <v>0.50275862068965516</v>
      </c>
    </row>
    <row r="67" spans="1:4" x14ac:dyDescent="0.35">
      <c r="A67" s="180">
        <f t="shared" si="0"/>
        <v>65</v>
      </c>
      <c r="B67" s="34">
        <v>0.25493919022938366</v>
      </c>
      <c r="C67" s="35">
        <v>0.72203423175290182</v>
      </c>
      <c r="D67" s="35">
        <v>0.50275862068965516</v>
      </c>
    </row>
    <row r="68" spans="1:4" x14ac:dyDescent="0.35">
      <c r="A68" s="180">
        <f t="shared" ref="A68:A131" si="1">A67+1</f>
        <v>66</v>
      </c>
      <c r="B68" s="34">
        <v>0.25493919022938366</v>
      </c>
      <c r="C68" s="35">
        <v>0.72203423175290182</v>
      </c>
      <c r="D68" s="35">
        <v>0.50275862068965516</v>
      </c>
    </row>
    <row r="69" spans="1:4" x14ac:dyDescent="0.35">
      <c r="A69" s="180">
        <f t="shared" si="1"/>
        <v>67</v>
      </c>
      <c r="B69" s="34">
        <v>0.25493919022938366</v>
      </c>
      <c r="C69" s="35">
        <v>0.72203423175290182</v>
      </c>
      <c r="D69" s="35">
        <v>0.50275862068965516</v>
      </c>
    </row>
    <row r="70" spans="1:4" x14ac:dyDescent="0.35">
      <c r="A70" s="180">
        <f t="shared" si="1"/>
        <v>68</v>
      </c>
      <c r="B70" s="34">
        <v>0.25493919022938366</v>
      </c>
      <c r="C70" s="35">
        <v>0.72203423175290182</v>
      </c>
      <c r="D70" s="35">
        <v>0.50275862068965516</v>
      </c>
    </row>
    <row r="71" spans="1:4" x14ac:dyDescent="0.35">
      <c r="A71" s="180">
        <f t="shared" si="1"/>
        <v>69</v>
      </c>
      <c r="B71" s="34">
        <v>0.25493919022938366</v>
      </c>
      <c r="C71" s="35">
        <v>0.72203423175290182</v>
      </c>
      <c r="D71" s="35">
        <v>0.50275862068965516</v>
      </c>
    </row>
    <row r="72" spans="1:4" x14ac:dyDescent="0.35">
      <c r="A72" s="180">
        <f t="shared" si="1"/>
        <v>70</v>
      </c>
      <c r="B72" s="34">
        <v>0.25493919022938366</v>
      </c>
      <c r="C72" s="35">
        <v>0.72203423175290182</v>
      </c>
      <c r="D72" s="35">
        <v>0.50275862068965516</v>
      </c>
    </row>
    <row r="73" spans="1:4" x14ac:dyDescent="0.35">
      <c r="A73" s="180">
        <f t="shared" si="1"/>
        <v>71</v>
      </c>
      <c r="B73" s="34">
        <v>0.25493919022938366</v>
      </c>
      <c r="C73" s="35">
        <v>0.72203423175290182</v>
      </c>
      <c r="D73" s="35">
        <v>0.50275862068965516</v>
      </c>
    </row>
    <row r="74" spans="1:4" x14ac:dyDescent="0.35">
      <c r="A74" s="180">
        <f t="shared" si="1"/>
        <v>72</v>
      </c>
      <c r="B74" s="34">
        <v>0.25493919022938366</v>
      </c>
      <c r="C74" s="35">
        <v>0.72203423175290182</v>
      </c>
      <c r="D74" s="35">
        <v>0.50275862068965516</v>
      </c>
    </row>
    <row r="75" spans="1:4" x14ac:dyDescent="0.35">
      <c r="A75" s="180">
        <f t="shared" si="1"/>
        <v>73</v>
      </c>
      <c r="B75" s="34">
        <v>0.25493919022938366</v>
      </c>
      <c r="C75" s="35">
        <v>0.72203423175290182</v>
      </c>
      <c r="D75" s="35">
        <v>0.50275862068965516</v>
      </c>
    </row>
    <row r="76" spans="1:4" x14ac:dyDescent="0.35">
      <c r="A76" s="180">
        <f t="shared" si="1"/>
        <v>74</v>
      </c>
      <c r="B76" s="34">
        <v>0.25493919022938366</v>
      </c>
      <c r="C76" s="35">
        <v>0.72203423175290182</v>
      </c>
      <c r="D76" s="35">
        <v>0.50275862068965516</v>
      </c>
    </row>
    <row r="77" spans="1:4" x14ac:dyDescent="0.35">
      <c r="A77" s="180">
        <f t="shared" si="1"/>
        <v>75</v>
      </c>
      <c r="B77" s="34">
        <v>0.25493919022938366</v>
      </c>
      <c r="C77" s="35">
        <v>0.72203423175290182</v>
      </c>
      <c r="D77" s="35">
        <v>0.50275862068965516</v>
      </c>
    </row>
    <row r="78" spans="1:4" x14ac:dyDescent="0.35">
      <c r="A78" s="180">
        <f t="shared" si="1"/>
        <v>76</v>
      </c>
      <c r="B78" s="34">
        <v>0.25493919022938366</v>
      </c>
      <c r="C78" s="35">
        <v>0.72203423175290182</v>
      </c>
      <c r="D78" s="35">
        <v>0.50275862068965516</v>
      </c>
    </row>
    <row r="79" spans="1:4" x14ac:dyDescent="0.35">
      <c r="A79" s="180">
        <f t="shared" si="1"/>
        <v>77</v>
      </c>
      <c r="B79" s="34">
        <v>0.25493919022938366</v>
      </c>
      <c r="C79" s="35">
        <v>0.72203423175290182</v>
      </c>
      <c r="D79" s="35">
        <v>0.50275862068965516</v>
      </c>
    </row>
    <row r="80" spans="1:4" x14ac:dyDescent="0.35">
      <c r="A80" s="180">
        <f t="shared" si="1"/>
        <v>78</v>
      </c>
      <c r="B80" s="34">
        <v>0.25493919022938366</v>
      </c>
      <c r="C80" s="35">
        <v>0.72203423175290182</v>
      </c>
      <c r="D80" s="35">
        <v>0.50275862068965516</v>
      </c>
    </row>
    <row r="81" spans="1:4" x14ac:dyDescent="0.35">
      <c r="A81" s="180">
        <f t="shared" si="1"/>
        <v>79</v>
      </c>
      <c r="B81" s="34">
        <v>0.25493919022938366</v>
      </c>
      <c r="C81" s="35">
        <v>0.72203423175290182</v>
      </c>
      <c r="D81" s="35">
        <v>0.50275862068965516</v>
      </c>
    </row>
    <row r="82" spans="1:4" x14ac:dyDescent="0.35">
      <c r="A82" s="180">
        <f t="shared" si="1"/>
        <v>80</v>
      </c>
      <c r="B82" s="34">
        <v>0.25493919022938366</v>
      </c>
      <c r="C82" s="35">
        <v>0.72203423175290182</v>
      </c>
      <c r="D82" s="35">
        <v>0.50275862068965516</v>
      </c>
    </row>
    <row r="83" spans="1:4" x14ac:dyDescent="0.35">
      <c r="A83" s="180">
        <f t="shared" si="1"/>
        <v>81</v>
      </c>
      <c r="B83" s="34">
        <v>0.25493919022938366</v>
      </c>
      <c r="C83" s="35">
        <v>0.72203423175290182</v>
      </c>
      <c r="D83" s="35">
        <v>0.50275862068965516</v>
      </c>
    </row>
    <row r="84" spans="1:4" x14ac:dyDescent="0.35">
      <c r="A84" s="180">
        <f t="shared" si="1"/>
        <v>82</v>
      </c>
      <c r="B84" s="34">
        <v>0.25493919022938366</v>
      </c>
      <c r="C84" s="35">
        <v>0.72203423175290182</v>
      </c>
      <c r="D84" s="35">
        <v>0.50275862068965516</v>
      </c>
    </row>
    <row r="85" spans="1:4" x14ac:dyDescent="0.35">
      <c r="A85" s="180">
        <f t="shared" si="1"/>
        <v>83</v>
      </c>
      <c r="B85" s="34">
        <v>0.25493919022938366</v>
      </c>
      <c r="C85" s="35">
        <v>0.72203423175290182</v>
      </c>
      <c r="D85" s="35">
        <v>0.50275862068965516</v>
      </c>
    </row>
    <row r="86" spans="1:4" x14ac:dyDescent="0.35">
      <c r="A86" s="180">
        <f t="shared" si="1"/>
        <v>84</v>
      </c>
      <c r="B86" s="34">
        <v>0.25493919022938366</v>
      </c>
      <c r="C86" s="35">
        <v>0.72203423175290182</v>
      </c>
      <c r="D86" s="35">
        <v>0.50275862068965516</v>
      </c>
    </row>
    <row r="87" spans="1:4" x14ac:dyDescent="0.35">
      <c r="A87" s="180">
        <f t="shared" si="1"/>
        <v>85</v>
      </c>
      <c r="B87" s="34">
        <v>0.25493919022938366</v>
      </c>
      <c r="C87" s="35">
        <v>0.72203423175290182</v>
      </c>
      <c r="D87" s="35">
        <v>0.50275862068965516</v>
      </c>
    </row>
    <row r="88" spans="1:4" x14ac:dyDescent="0.35">
      <c r="A88" s="180">
        <f t="shared" si="1"/>
        <v>86</v>
      </c>
      <c r="B88" s="34">
        <v>0.25493919022938366</v>
      </c>
      <c r="C88" s="35">
        <v>0.72203423175290182</v>
      </c>
      <c r="D88" s="35">
        <v>0.50275862068965516</v>
      </c>
    </row>
    <row r="89" spans="1:4" x14ac:dyDescent="0.35">
      <c r="A89" s="180">
        <f t="shared" si="1"/>
        <v>87</v>
      </c>
      <c r="B89" s="34">
        <v>0.25493919022938366</v>
      </c>
      <c r="C89" s="35">
        <v>0.72203423175290182</v>
      </c>
      <c r="D89" s="35">
        <v>0.50275862068965516</v>
      </c>
    </row>
    <row r="90" spans="1:4" x14ac:dyDescent="0.35">
      <c r="A90" s="180">
        <f t="shared" si="1"/>
        <v>88</v>
      </c>
      <c r="B90" s="34">
        <v>0.25493919022938366</v>
      </c>
      <c r="C90" s="35">
        <v>0.72203423175290182</v>
      </c>
      <c r="D90" s="35">
        <v>0.50275862068965516</v>
      </c>
    </row>
    <row r="91" spans="1:4" x14ac:dyDescent="0.35">
      <c r="A91" s="180">
        <f t="shared" si="1"/>
        <v>89</v>
      </c>
      <c r="B91" s="34">
        <v>0.25493919022938366</v>
      </c>
      <c r="C91" s="35">
        <v>0.72203423175290182</v>
      </c>
      <c r="D91" s="35">
        <v>0.50275862068965516</v>
      </c>
    </row>
    <row r="92" spans="1:4" x14ac:dyDescent="0.35">
      <c r="A92" s="180">
        <f t="shared" si="1"/>
        <v>90</v>
      </c>
      <c r="B92" s="34">
        <v>0.25493919022938366</v>
      </c>
      <c r="C92" s="35">
        <v>0.72203423175290182</v>
      </c>
      <c r="D92" s="35">
        <v>0.50275862068965516</v>
      </c>
    </row>
    <row r="93" spans="1:4" x14ac:dyDescent="0.35">
      <c r="A93" s="180">
        <f t="shared" si="1"/>
        <v>91</v>
      </c>
      <c r="B93" s="34">
        <v>0.25493919022938366</v>
      </c>
      <c r="C93" s="35">
        <v>0.72203423175290182</v>
      </c>
      <c r="D93" s="35">
        <v>0.50275862068965516</v>
      </c>
    </row>
    <row r="94" spans="1:4" x14ac:dyDescent="0.35">
      <c r="A94" s="180">
        <f t="shared" si="1"/>
        <v>92</v>
      </c>
      <c r="B94" s="34">
        <v>0.25493919022938366</v>
      </c>
      <c r="C94" s="35">
        <v>0.72203423175290182</v>
      </c>
      <c r="D94" s="35">
        <v>0.50275862068965516</v>
      </c>
    </row>
    <row r="95" spans="1:4" x14ac:dyDescent="0.35">
      <c r="A95" s="180">
        <f t="shared" si="1"/>
        <v>93</v>
      </c>
      <c r="B95" s="34">
        <v>0.25493919022938366</v>
      </c>
      <c r="C95" s="35">
        <v>0.72203423175290182</v>
      </c>
      <c r="D95" s="35">
        <v>0.50275862068965516</v>
      </c>
    </row>
    <row r="96" spans="1:4" x14ac:dyDescent="0.35">
      <c r="A96" s="180">
        <f t="shared" si="1"/>
        <v>94</v>
      </c>
      <c r="B96" s="34">
        <v>0.25493919022938366</v>
      </c>
      <c r="C96" s="35">
        <v>0.72203423175290182</v>
      </c>
      <c r="D96" s="35">
        <v>0.50275862068965516</v>
      </c>
    </row>
    <row r="97" spans="1:4" x14ac:dyDescent="0.35">
      <c r="A97" s="180">
        <f t="shared" si="1"/>
        <v>95</v>
      </c>
      <c r="B97" s="34">
        <v>0.25493919022938366</v>
      </c>
      <c r="C97" s="35">
        <v>0.72203423175290182</v>
      </c>
      <c r="D97" s="35">
        <v>0.50275862068965516</v>
      </c>
    </row>
    <row r="98" spans="1:4" x14ac:dyDescent="0.35">
      <c r="A98" s="180">
        <f t="shared" si="1"/>
        <v>96</v>
      </c>
      <c r="B98" s="34">
        <v>0.25493919022938366</v>
      </c>
      <c r="C98" s="35">
        <v>0.72203423175290182</v>
      </c>
      <c r="D98" s="35">
        <v>0.50275862068965516</v>
      </c>
    </row>
    <row r="99" spans="1:4" x14ac:dyDescent="0.35">
      <c r="A99" s="180">
        <f t="shared" si="1"/>
        <v>97</v>
      </c>
      <c r="B99" s="34">
        <v>0.25493919022938366</v>
      </c>
      <c r="C99" s="35">
        <v>0.72203423175290182</v>
      </c>
      <c r="D99" s="35">
        <v>0.50275862068965516</v>
      </c>
    </row>
    <row r="100" spans="1:4" x14ac:dyDescent="0.35">
      <c r="A100" s="180">
        <f t="shared" si="1"/>
        <v>98</v>
      </c>
      <c r="B100" s="34">
        <v>0.25493919022938366</v>
      </c>
      <c r="C100" s="35">
        <v>0.72203423175290182</v>
      </c>
      <c r="D100" s="35">
        <v>0.50275862068965516</v>
      </c>
    </row>
    <row r="101" spans="1:4" x14ac:dyDescent="0.35">
      <c r="A101" s="180">
        <f t="shared" si="1"/>
        <v>99</v>
      </c>
      <c r="B101" s="34">
        <v>0.25493919022938366</v>
      </c>
      <c r="C101" s="35">
        <v>0.72203423175290182</v>
      </c>
      <c r="D101" s="35">
        <v>0.50275862068965516</v>
      </c>
    </row>
    <row r="102" spans="1:4" x14ac:dyDescent="0.35">
      <c r="A102" s="180">
        <f t="shared" si="1"/>
        <v>100</v>
      </c>
      <c r="B102" s="34">
        <v>0.25493919022938366</v>
      </c>
      <c r="C102" s="35">
        <v>0.72203423175290182</v>
      </c>
      <c r="D102" s="35">
        <v>0.50275862068965516</v>
      </c>
    </row>
    <row r="103" spans="1:4" x14ac:dyDescent="0.35">
      <c r="A103" s="180">
        <f t="shared" si="1"/>
        <v>101</v>
      </c>
      <c r="B103" s="34">
        <v>0.25493919022938366</v>
      </c>
      <c r="C103" s="35">
        <v>0.72203423175290182</v>
      </c>
      <c r="D103" s="35">
        <v>0.50275862068965516</v>
      </c>
    </row>
    <row r="104" spans="1:4" x14ac:dyDescent="0.35">
      <c r="A104" s="180">
        <f t="shared" si="1"/>
        <v>102</v>
      </c>
      <c r="B104" s="34">
        <v>0.25493919022938366</v>
      </c>
      <c r="C104" s="35">
        <v>0.72203423175290182</v>
      </c>
      <c r="D104" s="35">
        <v>0.50275862068965516</v>
      </c>
    </row>
    <row r="105" spans="1:4" x14ac:dyDescent="0.35">
      <c r="A105" s="180">
        <f t="shared" si="1"/>
        <v>103</v>
      </c>
      <c r="B105" s="34">
        <v>0.25493919022938366</v>
      </c>
      <c r="C105" s="35">
        <v>0.72203423175290182</v>
      </c>
      <c r="D105" s="35">
        <v>0.50275862068965516</v>
      </c>
    </row>
    <row r="106" spans="1:4" x14ac:dyDescent="0.35">
      <c r="A106" s="180">
        <f t="shared" si="1"/>
        <v>104</v>
      </c>
      <c r="B106" s="34">
        <v>0.25493919022938366</v>
      </c>
      <c r="C106" s="35">
        <v>0.72203423175290182</v>
      </c>
      <c r="D106" s="35">
        <v>0.50275862068965516</v>
      </c>
    </row>
    <row r="107" spans="1:4" x14ac:dyDescent="0.35">
      <c r="A107" s="180">
        <f t="shared" si="1"/>
        <v>105</v>
      </c>
      <c r="B107" s="34">
        <v>0.25493919022938366</v>
      </c>
      <c r="C107" s="35">
        <v>0.72203423175290182</v>
      </c>
      <c r="D107" s="35">
        <v>0.50275862068965516</v>
      </c>
    </row>
    <row r="108" spans="1:4" x14ac:dyDescent="0.35">
      <c r="A108" s="180">
        <f t="shared" si="1"/>
        <v>106</v>
      </c>
      <c r="B108" s="34">
        <v>0.25493919022938366</v>
      </c>
      <c r="C108" s="35">
        <v>0.72203423175290182</v>
      </c>
      <c r="D108" s="35">
        <v>0.50275862068965516</v>
      </c>
    </row>
    <row r="109" spans="1:4" x14ac:dyDescent="0.35">
      <c r="A109" s="180">
        <f t="shared" si="1"/>
        <v>107</v>
      </c>
      <c r="B109" s="34">
        <v>0.25493919022938366</v>
      </c>
      <c r="C109" s="35">
        <v>0.72203423175290182</v>
      </c>
      <c r="D109" s="35">
        <v>0.50275862068965516</v>
      </c>
    </row>
    <row r="110" spans="1:4" x14ac:dyDescent="0.35">
      <c r="A110" s="180">
        <f t="shared" si="1"/>
        <v>108</v>
      </c>
      <c r="B110" s="34">
        <v>0</v>
      </c>
      <c r="C110" s="35">
        <v>0.72203423175290182</v>
      </c>
      <c r="D110" s="35">
        <v>0.50275862068965516</v>
      </c>
    </row>
    <row r="111" spans="1:4" x14ac:dyDescent="0.35">
      <c r="A111" s="180">
        <f t="shared" si="1"/>
        <v>109</v>
      </c>
      <c r="B111" s="34">
        <v>0.25493919022938366</v>
      </c>
      <c r="C111" s="35">
        <v>0.72203423175290182</v>
      </c>
      <c r="D111" s="35">
        <v>0.50275862068965516</v>
      </c>
    </row>
    <row r="112" spans="1:4" x14ac:dyDescent="0.35">
      <c r="A112" s="180">
        <f t="shared" si="1"/>
        <v>110</v>
      </c>
      <c r="B112" s="34">
        <v>0</v>
      </c>
      <c r="C112" s="35">
        <v>0.72203423175290182</v>
      </c>
      <c r="D112" s="35">
        <v>0.50275862068965516</v>
      </c>
    </row>
    <row r="113" spans="1:4" x14ac:dyDescent="0.35">
      <c r="A113" s="180">
        <f t="shared" si="1"/>
        <v>111</v>
      </c>
      <c r="B113" s="34">
        <v>0</v>
      </c>
      <c r="C113" s="35">
        <v>0.72203423175290182</v>
      </c>
      <c r="D113" s="35">
        <v>0.50275862068965516</v>
      </c>
    </row>
    <row r="114" spans="1:4" x14ac:dyDescent="0.35">
      <c r="A114" s="180">
        <f t="shared" si="1"/>
        <v>112</v>
      </c>
      <c r="B114" s="34">
        <v>0.25493919022938366</v>
      </c>
      <c r="C114" s="35">
        <v>0.72203423175290182</v>
      </c>
      <c r="D114" s="35">
        <v>0.50275862068965516</v>
      </c>
    </row>
    <row r="115" spans="1:4" x14ac:dyDescent="0.35">
      <c r="A115" s="180">
        <f t="shared" si="1"/>
        <v>113</v>
      </c>
      <c r="B115" s="34">
        <v>0.25493919022938366</v>
      </c>
      <c r="C115" s="35">
        <v>0.72203423175290182</v>
      </c>
      <c r="D115" s="35">
        <v>0.50275862068965516</v>
      </c>
    </row>
    <row r="116" spans="1:4" x14ac:dyDescent="0.35">
      <c r="A116" s="180">
        <f t="shared" si="1"/>
        <v>114</v>
      </c>
      <c r="B116" s="34">
        <v>0.25493919022938366</v>
      </c>
      <c r="C116" s="35">
        <v>0.72203423175290182</v>
      </c>
      <c r="D116" s="35">
        <v>0.50275862068965516</v>
      </c>
    </row>
    <row r="117" spans="1:4" x14ac:dyDescent="0.35">
      <c r="A117" s="180">
        <f t="shared" si="1"/>
        <v>115</v>
      </c>
      <c r="B117" s="34">
        <v>0.25493919022938366</v>
      </c>
      <c r="C117" s="35">
        <v>0.72203423175290182</v>
      </c>
      <c r="D117" s="35">
        <v>0.50275862068965516</v>
      </c>
    </row>
    <row r="118" spans="1:4" x14ac:dyDescent="0.35">
      <c r="A118" s="180">
        <f t="shared" si="1"/>
        <v>116</v>
      </c>
      <c r="B118" s="34">
        <v>0.25493919022938366</v>
      </c>
      <c r="C118" s="35">
        <v>0.72203423175290182</v>
      </c>
      <c r="D118" s="35">
        <v>0.50275862068965516</v>
      </c>
    </row>
    <row r="119" spans="1:4" x14ac:dyDescent="0.35">
      <c r="A119" s="180">
        <f t="shared" si="1"/>
        <v>117</v>
      </c>
      <c r="B119" s="34">
        <v>0.25493919022938366</v>
      </c>
      <c r="C119" s="35">
        <v>0.72203423175290182</v>
      </c>
      <c r="D119" s="35">
        <v>0.50275862068965516</v>
      </c>
    </row>
    <row r="120" spans="1:4" x14ac:dyDescent="0.35">
      <c r="A120" s="180">
        <f t="shared" si="1"/>
        <v>118</v>
      </c>
      <c r="B120" s="34">
        <v>0.25493919022938366</v>
      </c>
      <c r="C120" s="35">
        <v>0.72203423175290182</v>
      </c>
      <c r="D120" s="35">
        <v>0.50275862068965516</v>
      </c>
    </row>
    <row r="121" spans="1:4" x14ac:dyDescent="0.35">
      <c r="A121" s="180">
        <f t="shared" si="1"/>
        <v>119</v>
      </c>
      <c r="B121" s="34">
        <v>0.25493919022938366</v>
      </c>
      <c r="C121" s="35">
        <v>0.72203423175290182</v>
      </c>
      <c r="D121" s="35">
        <v>0.50275862068965516</v>
      </c>
    </row>
    <row r="122" spans="1:4" x14ac:dyDescent="0.35">
      <c r="A122" s="180">
        <f t="shared" si="1"/>
        <v>120</v>
      </c>
      <c r="B122" s="34">
        <v>0.25493919022938366</v>
      </c>
      <c r="C122" s="35">
        <v>0.72203423175290182</v>
      </c>
      <c r="D122" s="35">
        <v>0.50275862068965516</v>
      </c>
    </row>
    <row r="123" spans="1:4" x14ac:dyDescent="0.35">
      <c r="A123" s="180">
        <f t="shared" si="1"/>
        <v>121</v>
      </c>
      <c r="B123" s="34">
        <v>0.25493919022938366</v>
      </c>
      <c r="C123" s="35">
        <v>0.72203423175290182</v>
      </c>
      <c r="D123" s="35">
        <v>0.50275862068965516</v>
      </c>
    </row>
    <row r="124" spans="1:4" x14ac:dyDescent="0.35">
      <c r="A124" s="180">
        <f t="shared" si="1"/>
        <v>122</v>
      </c>
      <c r="B124" s="34">
        <v>0.25493919022938366</v>
      </c>
      <c r="C124" s="35">
        <v>0.72203423175290182</v>
      </c>
      <c r="D124" s="35">
        <v>0.50275862068965516</v>
      </c>
    </row>
    <row r="125" spans="1:4" x14ac:dyDescent="0.35">
      <c r="A125" s="180">
        <f t="shared" si="1"/>
        <v>123</v>
      </c>
      <c r="B125" s="34">
        <v>0.25493919022938366</v>
      </c>
      <c r="C125" s="35">
        <v>0.72203423175290182</v>
      </c>
      <c r="D125" s="35">
        <v>0.50275862068965516</v>
      </c>
    </row>
    <row r="126" spans="1:4" x14ac:dyDescent="0.35">
      <c r="A126" s="180">
        <f t="shared" si="1"/>
        <v>124</v>
      </c>
      <c r="B126" s="34">
        <v>0.25493919022938366</v>
      </c>
      <c r="C126" s="35">
        <v>0.72203423175290182</v>
      </c>
      <c r="D126" s="35">
        <v>0.50275862068965516</v>
      </c>
    </row>
    <row r="127" spans="1:4" x14ac:dyDescent="0.35">
      <c r="A127" s="180">
        <f t="shared" si="1"/>
        <v>125</v>
      </c>
      <c r="B127" s="34">
        <v>0.25493919022938366</v>
      </c>
      <c r="C127" s="35">
        <v>0.72203423175290182</v>
      </c>
      <c r="D127" s="35">
        <v>0.50275862068965516</v>
      </c>
    </row>
    <row r="128" spans="1:4" x14ac:dyDescent="0.35">
      <c r="A128" s="180">
        <f t="shared" si="1"/>
        <v>126</v>
      </c>
      <c r="B128" s="34">
        <v>0.25493919022938366</v>
      </c>
      <c r="C128" s="35">
        <v>0.72203423175290182</v>
      </c>
      <c r="D128" s="35">
        <v>0.50275862068965516</v>
      </c>
    </row>
    <row r="129" spans="1:4" x14ac:dyDescent="0.35">
      <c r="A129" s="180">
        <f t="shared" si="1"/>
        <v>127</v>
      </c>
      <c r="B129" s="34">
        <v>0.25493919022938366</v>
      </c>
      <c r="C129" s="35">
        <v>0.72203423175290182</v>
      </c>
      <c r="D129" s="35">
        <v>0.50275862068965516</v>
      </c>
    </row>
    <row r="130" spans="1:4" x14ac:dyDescent="0.35">
      <c r="A130" s="180">
        <f t="shared" si="1"/>
        <v>128</v>
      </c>
      <c r="B130" s="34">
        <v>0.25493919022938366</v>
      </c>
      <c r="C130" s="35">
        <v>0.72203423175290182</v>
      </c>
      <c r="D130" s="35">
        <v>0.50275862068965516</v>
      </c>
    </row>
    <row r="131" spans="1:4" x14ac:dyDescent="0.35">
      <c r="A131" s="180">
        <f t="shared" si="1"/>
        <v>129</v>
      </c>
      <c r="B131" s="34">
        <v>0.25493919022938366</v>
      </c>
      <c r="C131" s="35">
        <v>0.72203423175290182</v>
      </c>
      <c r="D131" s="35">
        <v>0.50275862068965516</v>
      </c>
    </row>
    <row r="132" spans="1:4" x14ac:dyDescent="0.35">
      <c r="A132" s="180">
        <f t="shared" ref="A132:A169" si="2">A131+1</f>
        <v>130</v>
      </c>
      <c r="B132" s="34">
        <v>0.25493919022938366</v>
      </c>
      <c r="C132" s="35">
        <v>0.72203423175290182</v>
      </c>
      <c r="D132" s="35">
        <v>0.50275862068965516</v>
      </c>
    </row>
    <row r="133" spans="1:4" x14ac:dyDescent="0.35">
      <c r="A133" s="180">
        <f t="shared" si="2"/>
        <v>131</v>
      </c>
      <c r="B133" s="34">
        <v>0.25493919022938366</v>
      </c>
      <c r="C133" s="35">
        <v>0.72203423175290182</v>
      </c>
      <c r="D133" s="35">
        <v>0.50275862068965516</v>
      </c>
    </row>
    <row r="134" spans="1:4" x14ac:dyDescent="0.35">
      <c r="A134" s="180">
        <f t="shared" si="2"/>
        <v>132</v>
      </c>
      <c r="B134" s="34">
        <v>0.25493919022938366</v>
      </c>
      <c r="C134" s="35">
        <v>0.72203423175290182</v>
      </c>
      <c r="D134" s="35">
        <v>0.50275862068965516</v>
      </c>
    </row>
    <row r="135" spans="1:4" x14ac:dyDescent="0.35">
      <c r="A135" s="180">
        <f t="shared" si="2"/>
        <v>133</v>
      </c>
      <c r="B135" s="34">
        <v>0.25493919022938366</v>
      </c>
      <c r="C135" s="35">
        <v>0.72203423175290182</v>
      </c>
      <c r="D135" s="35">
        <v>0.50275862068965516</v>
      </c>
    </row>
    <row r="136" spans="1:4" x14ac:dyDescent="0.35">
      <c r="A136" s="180">
        <f t="shared" si="2"/>
        <v>134</v>
      </c>
      <c r="B136" s="34">
        <v>0.25493919022938366</v>
      </c>
      <c r="C136" s="35">
        <v>0.72203423175290182</v>
      </c>
      <c r="D136" s="35">
        <v>0.50275862068965516</v>
      </c>
    </row>
    <row r="137" spans="1:4" x14ac:dyDescent="0.35">
      <c r="A137" s="180">
        <f t="shared" si="2"/>
        <v>135</v>
      </c>
      <c r="B137" s="34">
        <v>0.25493919022938366</v>
      </c>
      <c r="C137" s="35">
        <v>0.72203423175290182</v>
      </c>
      <c r="D137" s="35">
        <v>0.50275862068965516</v>
      </c>
    </row>
    <row r="138" spans="1:4" x14ac:dyDescent="0.35">
      <c r="A138" s="180">
        <f t="shared" si="2"/>
        <v>136</v>
      </c>
      <c r="B138" s="34">
        <v>0.25493919022938366</v>
      </c>
      <c r="C138" s="35">
        <v>0.72203423175290182</v>
      </c>
      <c r="D138" s="35">
        <v>0.50275862068965516</v>
      </c>
    </row>
    <row r="139" spans="1:4" x14ac:dyDescent="0.35">
      <c r="A139" s="180">
        <f t="shared" si="2"/>
        <v>137</v>
      </c>
      <c r="B139" s="34">
        <v>0.25493919022938366</v>
      </c>
      <c r="C139" s="35">
        <v>0.72203423175290182</v>
      </c>
      <c r="D139" s="35">
        <v>0.50275862068965516</v>
      </c>
    </row>
    <row r="140" spans="1:4" x14ac:dyDescent="0.35">
      <c r="A140" s="180">
        <f t="shared" si="2"/>
        <v>138</v>
      </c>
      <c r="B140" s="34">
        <v>0.25493919022938366</v>
      </c>
      <c r="C140" s="35">
        <v>0.72203423175290182</v>
      </c>
      <c r="D140" s="35">
        <v>0.50275862068965516</v>
      </c>
    </row>
    <row r="141" spans="1:4" x14ac:dyDescent="0.35">
      <c r="A141" s="180">
        <f t="shared" si="2"/>
        <v>139</v>
      </c>
      <c r="B141" s="34">
        <v>0.25493919022938366</v>
      </c>
      <c r="C141" s="35">
        <v>0.72203423175290182</v>
      </c>
      <c r="D141" s="35">
        <v>0.50275862068965516</v>
      </c>
    </row>
    <row r="142" spans="1:4" x14ac:dyDescent="0.35">
      <c r="A142" s="180">
        <f t="shared" si="2"/>
        <v>140</v>
      </c>
      <c r="B142" s="34">
        <v>0.25493919022938366</v>
      </c>
      <c r="C142" s="35">
        <v>0.72203423175290182</v>
      </c>
      <c r="D142" s="35">
        <v>0.50275862068965516</v>
      </c>
    </row>
    <row r="143" spans="1:4" x14ac:dyDescent="0.35">
      <c r="A143" s="180">
        <f t="shared" si="2"/>
        <v>141</v>
      </c>
      <c r="B143" s="34">
        <v>0.25493919022938366</v>
      </c>
      <c r="C143" s="35">
        <v>0.72203423175290182</v>
      </c>
      <c r="D143" s="35">
        <v>0.50275862068965516</v>
      </c>
    </row>
    <row r="144" spans="1:4" x14ac:dyDescent="0.35">
      <c r="A144" s="180">
        <f t="shared" si="2"/>
        <v>142</v>
      </c>
      <c r="B144" s="34">
        <v>0.25493919022938366</v>
      </c>
      <c r="C144" s="35">
        <v>0.72203423175290182</v>
      </c>
      <c r="D144" s="35">
        <v>0.50275862068965516</v>
      </c>
    </row>
    <row r="145" spans="1:4" x14ac:dyDescent="0.35">
      <c r="A145" s="180">
        <f t="shared" si="2"/>
        <v>143</v>
      </c>
      <c r="B145" s="34">
        <v>0.25493919022938366</v>
      </c>
      <c r="C145" s="35">
        <v>0.72203423175290182</v>
      </c>
      <c r="D145" s="35">
        <v>0.50275862068965516</v>
      </c>
    </row>
    <row r="146" spans="1:4" x14ac:dyDescent="0.35">
      <c r="A146" s="180">
        <f t="shared" si="2"/>
        <v>144</v>
      </c>
      <c r="B146" s="34">
        <v>0.25493919022938366</v>
      </c>
      <c r="C146" s="35">
        <v>0.72203423175290182</v>
      </c>
      <c r="D146" s="35">
        <v>0.50275862068965516</v>
      </c>
    </row>
    <row r="147" spans="1:4" x14ac:dyDescent="0.35">
      <c r="A147" s="180">
        <f t="shared" si="2"/>
        <v>145</v>
      </c>
      <c r="B147" s="34">
        <v>0.25493919022938366</v>
      </c>
      <c r="C147" s="35">
        <v>0.72203423175290182</v>
      </c>
      <c r="D147" s="35">
        <v>0.50275862068965516</v>
      </c>
    </row>
    <row r="148" spans="1:4" x14ac:dyDescent="0.35">
      <c r="A148" s="180">
        <f t="shared" si="2"/>
        <v>146</v>
      </c>
      <c r="B148" s="34">
        <v>0.25493919022938366</v>
      </c>
      <c r="C148" s="35">
        <v>0.72203423175290182</v>
      </c>
      <c r="D148" s="35">
        <v>0.50275862068965516</v>
      </c>
    </row>
    <row r="149" spans="1:4" x14ac:dyDescent="0.35">
      <c r="A149" s="180">
        <f t="shared" si="2"/>
        <v>147</v>
      </c>
      <c r="B149" s="34">
        <v>0.25493919022938366</v>
      </c>
      <c r="C149" s="35">
        <v>0.72203423175290182</v>
      </c>
      <c r="D149" s="35">
        <v>0.50275862068965516</v>
      </c>
    </row>
    <row r="150" spans="1:4" x14ac:dyDescent="0.35">
      <c r="A150" s="180">
        <f t="shared" si="2"/>
        <v>148</v>
      </c>
      <c r="B150" s="34">
        <v>0.25493919022938366</v>
      </c>
      <c r="C150" s="35">
        <v>0.72203423175290182</v>
      </c>
      <c r="D150" s="35">
        <v>0.50275862068965516</v>
      </c>
    </row>
    <row r="151" spans="1:4" x14ac:dyDescent="0.35">
      <c r="A151" s="180">
        <f t="shared" si="2"/>
        <v>149</v>
      </c>
      <c r="B151" s="34">
        <v>0.25493919022938366</v>
      </c>
      <c r="C151" s="35">
        <v>0.72203423175290182</v>
      </c>
      <c r="D151" s="35">
        <v>0.50275862068965516</v>
      </c>
    </row>
    <row r="152" spans="1:4" x14ac:dyDescent="0.35">
      <c r="A152" s="180">
        <f t="shared" si="2"/>
        <v>150</v>
      </c>
      <c r="B152" s="34">
        <v>0.25493919022938366</v>
      </c>
      <c r="C152" s="35">
        <v>0.72203423175290182</v>
      </c>
      <c r="D152" s="35">
        <v>0.50275862068965516</v>
      </c>
    </row>
    <row r="153" spans="1:4" x14ac:dyDescent="0.35">
      <c r="A153" s="180">
        <f t="shared" si="2"/>
        <v>151</v>
      </c>
      <c r="B153" s="34">
        <v>0.25493919022938366</v>
      </c>
      <c r="C153" s="35">
        <v>0.72203423175290182</v>
      </c>
      <c r="D153" s="35">
        <v>0.50275862068965516</v>
      </c>
    </row>
    <row r="154" spans="1:4" x14ac:dyDescent="0.35">
      <c r="A154" s="180">
        <f t="shared" si="2"/>
        <v>152</v>
      </c>
      <c r="B154" s="34">
        <v>0.25493919022938366</v>
      </c>
      <c r="C154" s="35">
        <v>0.72203423175290182</v>
      </c>
      <c r="D154" s="35">
        <v>0.50275862068965516</v>
      </c>
    </row>
    <row r="155" spans="1:4" x14ac:dyDescent="0.35">
      <c r="A155" s="180">
        <f t="shared" si="2"/>
        <v>153</v>
      </c>
      <c r="B155" s="34">
        <v>0.25493919022938366</v>
      </c>
      <c r="C155" s="35">
        <v>0.72203423175290182</v>
      </c>
      <c r="D155" s="35">
        <v>0.50275862068965516</v>
      </c>
    </row>
    <row r="156" spans="1:4" x14ac:dyDescent="0.35">
      <c r="A156" s="180">
        <f t="shared" si="2"/>
        <v>154</v>
      </c>
      <c r="B156" s="34">
        <v>0.25493919022938366</v>
      </c>
      <c r="C156" s="35">
        <v>0.72203423175290182</v>
      </c>
      <c r="D156" s="35">
        <v>0.50275862068965516</v>
      </c>
    </row>
    <row r="157" spans="1:4" x14ac:dyDescent="0.35">
      <c r="A157" s="180">
        <f t="shared" si="2"/>
        <v>155</v>
      </c>
      <c r="B157" s="34">
        <v>0.25493919022938366</v>
      </c>
      <c r="C157" s="35">
        <v>0.72203423175290182</v>
      </c>
      <c r="D157" s="35">
        <v>0.50275862068965516</v>
      </c>
    </row>
    <row r="158" spans="1:4" x14ac:dyDescent="0.35">
      <c r="A158" s="180">
        <f t="shared" si="2"/>
        <v>156</v>
      </c>
      <c r="B158" s="34">
        <v>0.25493919022938366</v>
      </c>
      <c r="C158" s="35">
        <v>0.72203423175290182</v>
      </c>
      <c r="D158" s="35">
        <v>0.50275862068965516</v>
      </c>
    </row>
    <row r="159" spans="1:4" x14ac:dyDescent="0.35">
      <c r="A159" s="180">
        <f t="shared" si="2"/>
        <v>157</v>
      </c>
      <c r="B159" s="34">
        <v>0.25493919022938366</v>
      </c>
      <c r="C159" s="35">
        <v>0.72203423175290182</v>
      </c>
      <c r="D159" s="35">
        <v>0.50275862068965516</v>
      </c>
    </row>
    <row r="160" spans="1:4" x14ac:dyDescent="0.35">
      <c r="A160" s="180">
        <f t="shared" si="2"/>
        <v>158</v>
      </c>
      <c r="B160" s="34">
        <v>0.25493919022938366</v>
      </c>
      <c r="C160" s="35">
        <v>0.72203423175290182</v>
      </c>
      <c r="D160" s="35">
        <v>0.50275862068965516</v>
      </c>
    </row>
    <row r="161" spans="1:4" x14ac:dyDescent="0.35">
      <c r="A161" s="180">
        <f t="shared" si="2"/>
        <v>159</v>
      </c>
      <c r="B161" s="34">
        <v>0</v>
      </c>
      <c r="C161" s="35">
        <v>0.72203423175290182</v>
      </c>
      <c r="D161" s="35">
        <v>0.50275862068965516</v>
      </c>
    </row>
    <row r="162" spans="1:4" x14ac:dyDescent="0.35">
      <c r="A162" s="180">
        <f t="shared" si="2"/>
        <v>160</v>
      </c>
      <c r="B162" s="34">
        <v>0</v>
      </c>
      <c r="C162" s="35">
        <v>0.72203423175290182</v>
      </c>
      <c r="D162" s="35">
        <v>0.50275862068965516</v>
      </c>
    </row>
    <row r="163" spans="1:4" x14ac:dyDescent="0.35">
      <c r="A163" s="180">
        <f t="shared" si="2"/>
        <v>161</v>
      </c>
      <c r="B163" s="34">
        <v>0.25493919022938366</v>
      </c>
      <c r="C163" s="35">
        <v>0.72203423175290182</v>
      </c>
      <c r="D163" s="35">
        <v>0.50275862068965516</v>
      </c>
    </row>
    <row r="164" spans="1:4" x14ac:dyDescent="0.35">
      <c r="A164" s="180">
        <f t="shared" si="2"/>
        <v>162</v>
      </c>
      <c r="B164" s="34">
        <v>0.25493919022938366</v>
      </c>
      <c r="C164" s="35">
        <v>0.72203423175290182</v>
      </c>
      <c r="D164" s="35">
        <v>0.50275862068965516</v>
      </c>
    </row>
    <row r="165" spans="1:4" x14ac:dyDescent="0.35">
      <c r="A165" s="180">
        <f t="shared" si="2"/>
        <v>163</v>
      </c>
      <c r="B165" s="34">
        <v>0.25493919022938366</v>
      </c>
      <c r="C165" s="35">
        <v>0.72203423175290182</v>
      </c>
      <c r="D165" s="35">
        <v>0.50275862068965516</v>
      </c>
    </row>
    <row r="166" spans="1:4" x14ac:dyDescent="0.35">
      <c r="A166" s="180">
        <f t="shared" si="2"/>
        <v>164</v>
      </c>
      <c r="B166" s="34">
        <v>0.25493919022938366</v>
      </c>
      <c r="C166" s="35">
        <v>0.72203423175290182</v>
      </c>
      <c r="D166" s="35">
        <v>0.50275862068965516</v>
      </c>
    </row>
    <row r="167" spans="1:4" x14ac:dyDescent="0.35">
      <c r="A167" s="180">
        <f t="shared" si="2"/>
        <v>165</v>
      </c>
      <c r="B167" s="34">
        <v>0.25493919022938366</v>
      </c>
      <c r="C167" s="35">
        <v>0.72203423175290182</v>
      </c>
      <c r="D167" s="35">
        <v>0.50275862068965516</v>
      </c>
    </row>
    <row r="168" spans="1:4" x14ac:dyDescent="0.35">
      <c r="A168" s="180">
        <f t="shared" si="2"/>
        <v>166</v>
      </c>
      <c r="B168" s="34">
        <v>0.25493919022938366</v>
      </c>
      <c r="C168" s="35">
        <v>0.72203423175290182</v>
      </c>
      <c r="D168" s="35">
        <v>0.50275862068965516</v>
      </c>
    </row>
    <row r="169" spans="1:4" x14ac:dyDescent="0.35">
      <c r="A169" s="181">
        <f t="shared" si="2"/>
        <v>167</v>
      </c>
      <c r="B169" s="182">
        <v>0.25493919022938366</v>
      </c>
      <c r="C169" s="183">
        <v>0.72203423175290182</v>
      </c>
      <c r="D169" s="183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K14"/>
  <sheetViews>
    <sheetView workbookViewId="0">
      <selection activeCell="F8" sqref="F8"/>
    </sheetView>
  </sheetViews>
  <sheetFormatPr baseColWidth="10" defaultRowHeight="14.5" x14ac:dyDescent="0.35"/>
  <cols>
    <col min="1" max="1" width="17.453125" style="39" customWidth="1"/>
    <col min="2" max="2" width="12.81640625" style="39" bestFit="1" customWidth="1"/>
    <col min="3" max="3" width="12.54296875" style="39" bestFit="1" customWidth="1"/>
    <col min="4" max="6" width="10.90625" style="39"/>
    <col min="7" max="7" width="20" style="39" bestFit="1" customWidth="1"/>
    <col min="8" max="8" width="10.90625" style="39"/>
    <col min="9" max="9" width="12.6328125" style="39" customWidth="1"/>
    <col min="10" max="16384" width="10.90625" style="39"/>
  </cols>
  <sheetData>
    <row r="1" spans="1:11" x14ac:dyDescent="0.35">
      <c r="A1" s="20" t="s">
        <v>5</v>
      </c>
      <c r="B1" s="20" t="s">
        <v>15</v>
      </c>
      <c r="C1" s="20" t="s">
        <v>24</v>
      </c>
      <c r="D1" s="20" t="s">
        <v>25</v>
      </c>
      <c r="E1" s="20" t="s">
        <v>26</v>
      </c>
      <c r="F1" s="20" t="s">
        <v>27</v>
      </c>
      <c r="G1" s="20" t="s">
        <v>23</v>
      </c>
      <c r="H1" s="20" t="s">
        <v>13</v>
      </c>
      <c r="I1" s="20" t="s">
        <v>14</v>
      </c>
      <c r="J1" s="20" t="s">
        <v>0</v>
      </c>
      <c r="K1" s="20" t="s">
        <v>1</v>
      </c>
    </row>
    <row r="2" spans="1:11" x14ac:dyDescent="0.35">
      <c r="A2" s="40" t="s">
        <v>56</v>
      </c>
      <c r="B2" s="39" t="s">
        <v>31</v>
      </c>
      <c r="C2" s="25">
        <f>20414989</f>
        <v>20414989</v>
      </c>
      <c r="D2" s="5">
        <f>C2*F2</f>
        <v>18373490.100000001</v>
      </c>
      <c r="E2" s="39">
        <v>0.2</v>
      </c>
      <c r="F2" s="39">
        <v>0.9</v>
      </c>
      <c r="G2" s="39" t="s">
        <v>29</v>
      </c>
      <c r="I2" s="39">
        <v>1</v>
      </c>
      <c r="J2" s="39" t="s">
        <v>8</v>
      </c>
      <c r="K2" s="39" t="s">
        <v>6</v>
      </c>
    </row>
    <row r="3" spans="1:11" x14ac:dyDescent="0.35">
      <c r="A3" s="41" t="s">
        <v>57</v>
      </c>
      <c r="B3" s="39" t="s">
        <v>35</v>
      </c>
      <c r="C3" s="25">
        <f>3307600</f>
        <v>3307600</v>
      </c>
      <c r="D3" s="5">
        <f>C3*F3</f>
        <v>2976840</v>
      </c>
      <c r="E3" s="39">
        <v>0.2</v>
      </c>
      <c r="F3" s="39">
        <v>0.9</v>
      </c>
      <c r="G3" s="39" t="s">
        <v>29</v>
      </c>
      <c r="I3" s="39">
        <v>1</v>
      </c>
      <c r="J3" s="39" t="s">
        <v>8</v>
      </c>
      <c r="K3" s="39" t="s">
        <v>6</v>
      </c>
    </row>
    <row r="12" spans="1:11" x14ac:dyDescent="0.35">
      <c r="D12" s="25"/>
    </row>
    <row r="13" spans="1:11" x14ac:dyDescent="0.35">
      <c r="F13"/>
    </row>
    <row r="14" spans="1:11" x14ac:dyDescent="0.35">
      <c r="F1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4"/>
  <sheetViews>
    <sheetView tabSelected="1" workbookViewId="0">
      <selection activeCell="D8" sqref="D8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24" t="s">
        <v>5</v>
      </c>
      <c r="B1" s="24" t="s">
        <v>15</v>
      </c>
      <c r="C1" s="24" t="s">
        <v>12</v>
      </c>
      <c r="D1" s="24" t="s">
        <v>20</v>
      </c>
      <c r="E1" s="24" t="s">
        <v>21</v>
      </c>
      <c r="F1" s="24" t="s">
        <v>22</v>
      </c>
      <c r="G1" s="24" t="s">
        <v>13</v>
      </c>
      <c r="H1" s="24" t="s">
        <v>23</v>
      </c>
      <c r="I1" s="24" t="s">
        <v>14</v>
      </c>
      <c r="J1" s="24" t="s">
        <v>0</v>
      </c>
      <c r="K1" s="24" t="s">
        <v>1</v>
      </c>
    </row>
    <row r="2" spans="1:11" x14ac:dyDescent="0.35">
      <c r="A2" s="6" t="s">
        <v>53</v>
      </c>
      <c r="B2" s="5" t="s">
        <v>30</v>
      </c>
      <c r="C2" s="42">
        <f>54031</f>
        <v>54031</v>
      </c>
      <c r="D2" s="43">
        <v>4</v>
      </c>
      <c r="E2" s="42">
        <v>0.89658206299999998</v>
      </c>
      <c r="F2" s="42">
        <v>0.89658206299999998</v>
      </c>
      <c r="G2" s="43"/>
      <c r="H2" s="5" t="s">
        <v>29</v>
      </c>
      <c r="I2" s="5">
        <v>0.1</v>
      </c>
      <c r="J2" s="5" t="s">
        <v>7</v>
      </c>
      <c r="K2" s="5" t="s">
        <v>6</v>
      </c>
    </row>
    <row r="3" spans="1:11" x14ac:dyDescent="0.35">
      <c r="A3" s="6" t="s">
        <v>54</v>
      </c>
      <c r="B3" s="5" t="s">
        <v>33</v>
      </c>
      <c r="C3" s="2">
        <f>1528</f>
        <v>1528</v>
      </c>
      <c r="D3" s="43">
        <v>1000</v>
      </c>
      <c r="E3" s="43">
        <v>0.99</v>
      </c>
      <c r="F3" s="43">
        <v>0.99</v>
      </c>
      <c r="G3" s="43"/>
      <c r="H3" s="5" t="s">
        <v>29</v>
      </c>
      <c r="I3" s="5">
        <v>2</v>
      </c>
      <c r="J3" s="5" t="s">
        <v>4</v>
      </c>
      <c r="K3" s="5" t="s">
        <v>6</v>
      </c>
    </row>
    <row r="4" spans="1:11" x14ac:dyDescent="0.35">
      <c r="A4" s="8" t="s">
        <v>55</v>
      </c>
      <c r="B4" s="5" t="s">
        <v>34</v>
      </c>
      <c r="C4" s="2">
        <f>12000</f>
        <v>12000</v>
      </c>
      <c r="D4" s="43">
        <v>4</v>
      </c>
      <c r="E4" s="42">
        <v>0.92</v>
      </c>
      <c r="F4" s="42">
        <v>0.92</v>
      </c>
      <c r="G4" s="43"/>
      <c r="H4" s="5" t="s">
        <v>29</v>
      </c>
      <c r="I4" s="5">
        <v>0.1</v>
      </c>
      <c r="J4" s="5" t="s">
        <v>7</v>
      </c>
      <c r="K4" s="5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I169"/>
  <sheetViews>
    <sheetView zoomScale="90" workbookViewId="0">
      <selection activeCell="E5" sqref="E5"/>
    </sheetView>
  </sheetViews>
  <sheetFormatPr baseColWidth="10" defaultRowHeight="14.5" x14ac:dyDescent="0.35"/>
  <cols>
    <col min="1" max="6" width="22" style="37" customWidth="1"/>
    <col min="7" max="7" width="28.1796875" style="37" customWidth="1"/>
    <col min="8" max="8" width="22" style="37" customWidth="1"/>
    <col min="9" max="9" width="23.7265625" style="37" bestFit="1" customWidth="1"/>
    <col min="10" max="16384" width="10.90625" style="37"/>
  </cols>
  <sheetData>
    <row r="1" spans="1:9" s="47" customFormat="1" x14ac:dyDescent="0.35">
      <c r="A1" s="44" t="s">
        <v>58</v>
      </c>
      <c r="B1" s="44" t="s">
        <v>59</v>
      </c>
      <c r="C1" s="45" t="s">
        <v>60</v>
      </c>
      <c r="D1" s="45" t="s">
        <v>61</v>
      </c>
      <c r="E1" s="46" t="s">
        <v>89</v>
      </c>
      <c r="F1" s="46" t="s">
        <v>90</v>
      </c>
      <c r="G1" s="46" t="s">
        <v>103</v>
      </c>
      <c r="H1" s="46" t="s">
        <v>129</v>
      </c>
      <c r="I1" s="46" t="s">
        <v>128</v>
      </c>
    </row>
    <row r="2" spans="1:9" x14ac:dyDescent="0.35">
      <c r="A2" s="48">
        <v>31741.699000000001</v>
      </c>
      <c r="B2" s="48">
        <v>11835.47284307454</v>
      </c>
      <c r="C2" s="49">
        <v>7726.7179999999998</v>
      </c>
      <c r="D2" s="49">
        <v>1194.729528534212</v>
      </c>
      <c r="E2" s="49">
        <v>0</v>
      </c>
      <c r="F2" s="49">
        <v>6779.6610170000004</v>
      </c>
      <c r="G2" s="49">
        <v>0</v>
      </c>
      <c r="H2" s="49">
        <v>0</v>
      </c>
      <c r="I2" s="49">
        <v>0</v>
      </c>
    </row>
    <row r="3" spans="1:9" x14ac:dyDescent="0.35">
      <c r="A3" s="48">
        <v>30099.562999999998</v>
      </c>
      <c r="B3" s="48">
        <v>11835.47284307454</v>
      </c>
      <c r="C3" s="49">
        <v>7402.4830000000002</v>
      </c>
      <c r="D3" s="49">
        <v>1194.729528534212</v>
      </c>
      <c r="E3" s="49">
        <v>0</v>
      </c>
      <c r="F3" s="49">
        <v>6779.6610170000004</v>
      </c>
      <c r="G3" s="49">
        <v>0</v>
      </c>
      <c r="H3" s="49">
        <v>0</v>
      </c>
      <c r="I3" s="49">
        <v>0</v>
      </c>
    </row>
    <row r="4" spans="1:9" x14ac:dyDescent="0.35">
      <c r="A4" s="48">
        <v>28885.16</v>
      </c>
      <c r="B4" s="48">
        <v>11835.47284307454</v>
      </c>
      <c r="C4" s="49">
        <v>7034.8829999999998</v>
      </c>
      <c r="D4" s="49">
        <v>1194.729528534212</v>
      </c>
      <c r="E4" s="49">
        <v>0</v>
      </c>
      <c r="F4" s="49">
        <v>6779.6610170000004</v>
      </c>
      <c r="G4" s="49">
        <v>0</v>
      </c>
      <c r="H4" s="49">
        <v>0</v>
      </c>
      <c r="I4" s="49">
        <v>0</v>
      </c>
    </row>
    <row r="5" spans="1:9" x14ac:dyDescent="0.35">
      <c r="A5" s="48">
        <v>28278.066000000003</v>
      </c>
      <c r="B5" s="48">
        <v>11835.47284307454</v>
      </c>
      <c r="C5" s="49">
        <v>6846.2240000000002</v>
      </c>
      <c r="D5" s="49">
        <v>1194.729528534212</v>
      </c>
      <c r="E5" s="49">
        <v>0</v>
      </c>
      <c r="F5" s="49">
        <v>6779.6610170000004</v>
      </c>
      <c r="G5" s="49">
        <v>0</v>
      </c>
      <c r="H5" s="49">
        <v>0</v>
      </c>
      <c r="I5" s="49">
        <v>0</v>
      </c>
    </row>
    <row r="6" spans="1:9" x14ac:dyDescent="0.35">
      <c r="A6" s="48">
        <v>28514.219000000001</v>
      </c>
      <c r="B6" s="48">
        <v>11851.182843924889</v>
      </c>
      <c r="C6" s="49">
        <v>6811.5410000000002</v>
      </c>
      <c r="D6" s="49">
        <v>1194.729528534212</v>
      </c>
      <c r="E6" s="49">
        <v>0</v>
      </c>
      <c r="F6" s="49">
        <v>6779.6610170000004</v>
      </c>
      <c r="G6" s="49">
        <v>0</v>
      </c>
      <c r="H6" s="49">
        <v>0</v>
      </c>
      <c r="I6" s="49">
        <v>0</v>
      </c>
    </row>
    <row r="7" spans="1:9" x14ac:dyDescent="0.35">
      <c r="A7" s="48">
        <v>29517.690000000002</v>
      </c>
      <c r="B7" s="48">
        <v>11882.602845625599</v>
      </c>
      <c r="C7" s="49">
        <v>6946.607</v>
      </c>
      <c r="D7" s="49">
        <v>1292.686005011112</v>
      </c>
      <c r="E7" s="49">
        <v>0</v>
      </c>
      <c r="F7" s="49">
        <v>6779.6610170000004</v>
      </c>
      <c r="G7" s="49">
        <v>0</v>
      </c>
      <c r="H7" s="49">
        <v>0</v>
      </c>
      <c r="I7" s="49">
        <v>0</v>
      </c>
    </row>
    <row r="8" spans="1:9" x14ac:dyDescent="0.35">
      <c r="A8" s="48">
        <v>31303.323</v>
      </c>
      <c r="B8" s="48">
        <v>11898.312846475948</v>
      </c>
      <c r="C8" s="49">
        <v>7154.4179999999997</v>
      </c>
      <c r="D8" s="49">
        <v>1390.642481488012</v>
      </c>
      <c r="E8" s="49">
        <v>0</v>
      </c>
      <c r="F8" s="49">
        <v>6779.6610170000004</v>
      </c>
      <c r="G8" s="49">
        <v>0</v>
      </c>
      <c r="H8" s="49">
        <v>0</v>
      </c>
      <c r="I8" s="49">
        <v>0</v>
      </c>
    </row>
    <row r="9" spans="1:9" x14ac:dyDescent="0.35">
      <c r="A9" s="48">
        <v>33072.214</v>
      </c>
      <c r="B9" s="48">
        <v>11914.022847326309</v>
      </c>
      <c r="C9" s="49">
        <v>7300.0959999999995</v>
      </c>
      <c r="D9" s="49">
        <v>1483.443353939811</v>
      </c>
      <c r="E9" s="49">
        <v>0</v>
      </c>
      <c r="F9" s="49">
        <v>6779.6610170000004</v>
      </c>
      <c r="G9" s="49">
        <v>0</v>
      </c>
      <c r="H9" s="49">
        <v>0</v>
      </c>
      <c r="I9" s="49">
        <v>0</v>
      </c>
    </row>
    <row r="10" spans="1:9" x14ac:dyDescent="0.35">
      <c r="A10" s="48">
        <v>34068.637999999999</v>
      </c>
      <c r="B10" s="48">
        <v>11914.022847326309</v>
      </c>
      <c r="C10" s="49">
        <v>7380.4189999999999</v>
      </c>
      <c r="D10" s="49">
        <v>1581.399830416711</v>
      </c>
      <c r="E10" s="49">
        <v>0</v>
      </c>
      <c r="F10" s="49">
        <v>6779.6610170000004</v>
      </c>
      <c r="G10" s="49">
        <v>0</v>
      </c>
      <c r="H10" s="49">
        <v>0</v>
      </c>
      <c r="I10" s="49">
        <v>0</v>
      </c>
    </row>
    <row r="11" spans="1:9" x14ac:dyDescent="0.35">
      <c r="A11" s="48">
        <v>35359.433000000005</v>
      </c>
      <c r="B11" s="48">
        <v>11914.022847326309</v>
      </c>
      <c r="C11" s="49">
        <v>8177.7539999999999</v>
      </c>
      <c r="D11" s="49">
        <v>1581.399830416711</v>
      </c>
      <c r="E11" s="49">
        <v>0</v>
      </c>
      <c r="F11" s="49">
        <v>6779.6610170000004</v>
      </c>
      <c r="G11" s="49">
        <v>0</v>
      </c>
      <c r="H11" s="49">
        <v>0</v>
      </c>
      <c r="I11" s="49">
        <v>0</v>
      </c>
    </row>
    <row r="12" spans="1:9" x14ac:dyDescent="0.35">
      <c r="A12" s="48">
        <v>35771.871999999996</v>
      </c>
      <c r="B12" s="48">
        <v>11914.022847326309</v>
      </c>
      <c r="C12" s="49">
        <v>9857.1650000000009</v>
      </c>
      <c r="D12" s="49">
        <v>1632.955870667711</v>
      </c>
      <c r="E12" s="49">
        <v>578.16100895</v>
      </c>
      <c r="F12" s="49">
        <v>6779.6610170000004</v>
      </c>
      <c r="G12" s="49">
        <v>651.21892933000004</v>
      </c>
      <c r="H12" s="49">
        <v>0</v>
      </c>
      <c r="I12" s="49">
        <v>0</v>
      </c>
    </row>
    <row r="13" spans="1:9" x14ac:dyDescent="0.35">
      <c r="A13" s="48">
        <v>36558.857000000004</v>
      </c>
      <c r="B13" s="48">
        <v>11898.312846475948</v>
      </c>
      <c r="C13" s="49">
        <v>11506.75</v>
      </c>
      <c r="D13" s="49">
        <v>1632.955870667711</v>
      </c>
      <c r="E13" s="49">
        <v>5000</v>
      </c>
      <c r="F13" s="49">
        <v>6779.6610170000004</v>
      </c>
      <c r="G13" s="49">
        <v>948.49916551000001</v>
      </c>
      <c r="H13" s="49">
        <v>818</v>
      </c>
      <c r="I13" s="49">
        <v>0</v>
      </c>
    </row>
    <row r="14" spans="1:9" x14ac:dyDescent="0.35">
      <c r="A14" s="48">
        <v>37443.359000000004</v>
      </c>
      <c r="B14" s="48">
        <v>11882.602845625599</v>
      </c>
      <c r="C14" s="49">
        <v>12788.484</v>
      </c>
      <c r="D14" s="49">
        <v>1581.399830416711</v>
      </c>
      <c r="E14" s="49">
        <v>5000</v>
      </c>
      <c r="F14" s="49">
        <v>6779.6610170000004</v>
      </c>
      <c r="G14" s="49">
        <v>261.55916551000001</v>
      </c>
      <c r="H14" s="49">
        <v>818</v>
      </c>
      <c r="I14" s="49">
        <v>330</v>
      </c>
    </row>
    <row r="15" spans="1:9" x14ac:dyDescent="0.35">
      <c r="A15" s="48">
        <v>37784.136999999995</v>
      </c>
      <c r="B15" s="48">
        <v>11882.602845625599</v>
      </c>
      <c r="C15" s="49">
        <v>12777.052</v>
      </c>
      <c r="D15" s="49">
        <v>1607.177850542211</v>
      </c>
      <c r="E15" s="49">
        <v>5000</v>
      </c>
      <c r="F15" s="49">
        <v>6779.6610170000004</v>
      </c>
      <c r="G15" s="49">
        <v>261.55916551000001</v>
      </c>
      <c r="H15" s="49">
        <v>818</v>
      </c>
      <c r="I15" s="49">
        <v>77.210303929999995</v>
      </c>
    </row>
    <row r="16" spans="1:9" x14ac:dyDescent="0.35">
      <c r="A16" s="48">
        <v>37011.836000000003</v>
      </c>
      <c r="B16" s="48">
        <v>11898.312846475948</v>
      </c>
      <c r="C16" s="49">
        <v>12124.716</v>
      </c>
      <c r="D16" s="49">
        <v>1581.399830416711</v>
      </c>
      <c r="E16" s="49">
        <v>5000</v>
      </c>
      <c r="F16" s="49">
        <v>6779.6610170000004</v>
      </c>
      <c r="G16" s="49">
        <v>948.49916551000001</v>
      </c>
      <c r="H16" s="49">
        <v>818</v>
      </c>
      <c r="I16" s="49">
        <v>0</v>
      </c>
    </row>
    <row r="17" spans="1:9" x14ac:dyDescent="0.35">
      <c r="A17" s="48">
        <v>36719.424999999996</v>
      </c>
      <c r="B17" s="48">
        <v>11914.022847326309</v>
      </c>
      <c r="C17" s="49">
        <v>11305.368</v>
      </c>
      <c r="D17" s="49">
        <v>1581.399830416711</v>
      </c>
      <c r="E17" s="49">
        <v>5000</v>
      </c>
      <c r="F17" s="49">
        <v>6779.6610170000004</v>
      </c>
      <c r="G17" s="49">
        <v>981.21892933000004</v>
      </c>
      <c r="H17" s="49">
        <v>0</v>
      </c>
      <c r="I17" s="49">
        <v>0</v>
      </c>
    </row>
    <row r="18" spans="1:9" x14ac:dyDescent="0.35">
      <c r="A18" s="48">
        <v>37509.415000000001</v>
      </c>
      <c r="B18" s="48">
        <v>11914.022847326309</v>
      </c>
      <c r="C18" s="49">
        <v>10324.808000000001</v>
      </c>
      <c r="D18" s="49">
        <v>1581.399830416711</v>
      </c>
      <c r="E18" s="49">
        <v>0</v>
      </c>
      <c r="F18" s="49">
        <v>6779.6610170000004</v>
      </c>
      <c r="G18" s="49">
        <v>294.27892932999998</v>
      </c>
      <c r="H18" s="49">
        <v>0</v>
      </c>
      <c r="I18" s="49">
        <v>0</v>
      </c>
    </row>
    <row r="19" spans="1:9" x14ac:dyDescent="0.35">
      <c r="A19" s="48">
        <v>40018.881000000001</v>
      </c>
      <c r="B19" s="48">
        <v>10571.615847326309</v>
      </c>
      <c r="C19" s="49">
        <v>9622.509</v>
      </c>
      <c r="D19" s="49">
        <v>1581.399830416711</v>
      </c>
      <c r="E19" s="49">
        <v>0</v>
      </c>
      <c r="F19" s="49">
        <v>5734.7610169999998</v>
      </c>
      <c r="G19" s="49">
        <v>0</v>
      </c>
      <c r="H19" s="49">
        <v>0</v>
      </c>
      <c r="I19" s="49">
        <v>0</v>
      </c>
    </row>
    <row r="20" spans="1:9" x14ac:dyDescent="0.35">
      <c r="A20" s="48">
        <v>41819.241000000002</v>
      </c>
      <c r="B20" s="48">
        <v>10555.905846475949</v>
      </c>
      <c r="C20" s="49">
        <v>9376.7790000000005</v>
      </c>
      <c r="D20" s="49">
        <v>1581.399830416711</v>
      </c>
      <c r="E20" s="49">
        <v>0</v>
      </c>
      <c r="F20" s="49">
        <v>4690.3208989100003</v>
      </c>
      <c r="G20" s="49">
        <v>0</v>
      </c>
      <c r="H20" s="49">
        <v>0</v>
      </c>
      <c r="I20" s="49">
        <v>0</v>
      </c>
    </row>
    <row r="21" spans="1:9" x14ac:dyDescent="0.35">
      <c r="A21" s="48">
        <v>42276.455999999998</v>
      </c>
      <c r="B21" s="48">
        <v>10540.1958456256</v>
      </c>
      <c r="C21" s="49">
        <v>9472</v>
      </c>
      <c r="D21" s="49">
        <v>1426.7317096637109</v>
      </c>
      <c r="E21" s="49">
        <v>0</v>
      </c>
      <c r="F21" s="49">
        <v>3645.8807808299998</v>
      </c>
      <c r="G21" s="49">
        <v>0</v>
      </c>
      <c r="H21" s="49">
        <v>0</v>
      </c>
      <c r="I21" s="49">
        <v>0</v>
      </c>
    </row>
    <row r="22" spans="1:9" x14ac:dyDescent="0.35">
      <c r="A22" s="48">
        <v>41687.913999999997</v>
      </c>
      <c r="B22" s="48">
        <v>10524.485844775239</v>
      </c>
      <c r="C22" s="49">
        <v>9191.0499999999993</v>
      </c>
      <c r="D22" s="49">
        <v>1323.6196291617121</v>
      </c>
      <c r="E22" s="49">
        <v>0</v>
      </c>
      <c r="F22" s="49">
        <v>2601.4406627399999</v>
      </c>
      <c r="G22" s="49">
        <v>0</v>
      </c>
      <c r="H22" s="49">
        <v>0</v>
      </c>
      <c r="I22" s="49">
        <v>0</v>
      </c>
    </row>
    <row r="23" spans="1:9" x14ac:dyDescent="0.35">
      <c r="A23" s="48">
        <v>40136.485999999997</v>
      </c>
      <c r="B23" s="48">
        <v>10508.77584392489</v>
      </c>
      <c r="C23" s="49">
        <v>8729.9030000000002</v>
      </c>
      <c r="D23" s="49">
        <v>1246.285568785212</v>
      </c>
      <c r="E23" s="49">
        <v>0</v>
      </c>
      <c r="F23" s="49">
        <v>1557.0005446499999</v>
      </c>
      <c r="G23" s="49">
        <v>0</v>
      </c>
      <c r="H23" s="49">
        <v>0</v>
      </c>
      <c r="I23" s="49">
        <v>0</v>
      </c>
    </row>
    <row r="24" spans="1:9" x14ac:dyDescent="0.35">
      <c r="A24" s="48">
        <v>37779.918000000005</v>
      </c>
      <c r="B24" s="48">
        <v>10493.065843074541</v>
      </c>
      <c r="C24" s="49">
        <v>8735.6959999999999</v>
      </c>
      <c r="D24" s="49">
        <v>1194.729528534212</v>
      </c>
      <c r="E24" s="49">
        <v>0</v>
      </c>
      <c r="F24" s="49">
        <v>2412.11279491</v>
      </c>
      <c r="G24" s="49">
        <v>0</v>
      </c>
      <c r="H24" s="49">
        <v>0</v>
      </c>
      <c r="I24" s="49">
        <v>0</v>
      </c>
    </row>
    <row r="25" spans="1:9" x14ac:dyDescent="0.35">
      <c r="A25" s="48">
        <v>35192.712</v>
      </c>
      <c r="B25" s="48">
        <v>10493.065843074541</v>
      </c>
      <c r="C25" s="49">
        <v>8425.4889999999996</v>
      </c>
      <c r="D25" s="49">
        <v>1194.729528534212</v>
      </c>
      <c r="E25" s="49">
        <v>0</v>
      </c>
      <c r="F25" s="49">
        <v>3457.0127949100001</v>
      </c>
      <c r="G25" s="49">
        <v>0</v>
      </c>
      <c r="H25" s="49">
        <v>0</v>
      </c>
      <c r="I25" s="49">
        <v>0</v>
      </c>
    </row>
    <row r="26" spans="1:9" x14ac:dyDescent="0.35">
      <c r="A26" s="48">
        <v>33864.518000000004</v>
      </c>
      <c r="B26" s="48">
        <v>10493.065843074541</v>
      </c>
      <c r="C26" s="49">
        <v>8278.491</v>
      </c>
      <c r="D26" s="49">
        <v>1184.791349728639</v>
      </c>
      <c r="E26" s="49">
        <v>0</v>
      </c>
      <c r="F26" s="49">
        <v>4501.9137809599997</v>
      </c>
      <c r="G26" s="49">
        <v>0</v>
      </c>
      <c r="H26" s="49">
        <v>0</v>
      </c>
      <c r="I26" s="49">
        <v>0</v>
      </c>
    </row>
    <row r="27" spans="1:9" x14ac:dyDescent="0.35">
      <c r="A27" s="48">
        <v>32008.525000000001</v>
      </c>
      <c r="B27" s="48">
        <v>10493.065843074541</v>
      </c>
      <c r="C27" s="49">
        <v>7875.8549999999996</v>
      </c>
      <c r="D27" s="49">
        <v>1184.791349728639</v>
      </c>
      <c r="E27" s="49">
        <v>0</v>
      </c>
      <c r="F27" s="49">
        <v>5546.8137809600003</v>
      </c>
      <c r="G27" s="49">
        <v>0</v>
      </c>
      <c r="H27" s="49">
        <v>0</v>
      </c>
      <c r="I27" s="49">
        <v>0</v>
      </c>
    </row>
    <row r="28" spans="1:9" x14ac:dyDescent="0.35">
      <c r="A28" s="48">
        <v>30957.318000000003</v>
      </c>
      <c r="B28" s="48">
        <v>10493.065843074541</v>
      </c>
      <c r="C28" s="49">
        <v>7514.9930000000004</v>
      </c>
      <c r="D28" s="49">
        <v>1184.791349728639</v>
      </c>
      <c r="E28" s="49">
        <v>0</v>
      </c>
      <c r="F28" s="49">
        <v>5747.0736735</v>
      </c>
      <c r="G28" s="49">
        <v>0</v>
      </c>
      <c r="H28" s="49">
        <v>0</v>
      </c>
      <c r="I28" s="49">
        <v>0</v>
      </c>
    </row>
    <row r="29" spans="1:9" x14ac:dyDescent="0.35">
      <c r="A29" s="48">
        <v>30600.280999999999</v>
      </c>
      <c r="B29" s="48">
        <v>10493.065843074541</v>
      </c>
      <c r="C29" s="49">
        <v>7359.5990000000002</v>
      </c>
      <c r="D29" s="49">
        <v>1184.791349728639</v>
      </c>
      <c r="E29" s="49">
        <v>0</v>
      </c>
      <c r="F29" s="49">
        <v>4702.1736735000004</v>
      </c>
      <c r="G29" s="49">
        <v>0</v>
      </c>
      <c r="H29" s="49">
        <v>0</v>
      </c>
      <c r="I29" s="49">
        <v>0</v>
      </c>
    </row>
    <row r="30" spans="1:9" x14ac:dyDescent="0.35">
      <c r="A30" s="48">
        <v>31411.432999999997</v>
      </c>
      <c r="B30" s="48">
        <v>10508.77584392489</v>
      </c>
      <c r="C30" s="49">
        <v>7340.9269999999997</v>
      </c>
      <c r="D30" s="49">
        <v>1184.791349728639</v>
      </c>
      <c r="E30" s="49">
        <v>0</v>
      </c>
      <c r="F30" s="49">
        <v>3656.8137915900002</v>
      </c>
      <c r="G30" s="49">
        <v>0</v>
      </c>
      <c r="H30" s="49">
        <v>0</v>
      </c>
      <c r="I30" s="49">
        <v>0</v>
      </c>
    </row>
    <row r="31" spans="1:9" x14ac:dyDescent="0.35">
      <c r="A31" s="48">
        <v>33624.99</v>
      </c>
      <c r="B31" s="48">
        <v>10540.1958456256</v>
      </c>
      <c r="C31" s="49">
        <v>7482.491</v>
      </c>
      <c r="D31" s="49">
        <v>1282.747826205539</v>
      </c>
      <c r="E31" s="49">
        <v>0</v>
      </c>
      <c r="F31" s="49">
        <v>2610.9940277599999</v>
      </c>
      <c r="G31" s="49">
        <v>0</v>
      </c>
      <c r="H31" s="49">
        <v>0</v>
      </c>
      <c r="I31" s="49">
        <v>0</v>
      </c>
    </row>
    <row r="32" spans="1:9" x14ac:dyDescent="0.35">
      <c r="A32" s="48">
        <v>36794.512000000002</v>
      </c>
      <c r="B32" s="48">
        <v>10555.905846475949</v>
      </c>
      <c r="C32" s="49">
        <v>7854.13</v>
      </c>
      <c r="D32" s="49">
        <v>1380.7043026824381</v>
      </c>
      <c r="E32" s="49">
        <v>0</v>
      </c>
      <c r="F32" s="49">
        <v>2600.5208989100001</v>
      </c>
      <c r="G32" s="49">
        <v>0</v>
      </c>
      <c r="H32" s="49">
        <v>0</v>
      </c>
      <c r="I32" s="49">
        <v>0</v>
      </c>
    </row>
    <row r="33" spans="1:9" x14ac:dyDescent="0.35">
      <c r="A33" s="48">
        <v>39619.316999999995</v>
      </c>
      <c r="B33" s="48">
        <v>10571.615847326309</v>
      </c>
      <c r="C33" s="49">
        <v>8412.1229999999996</v>
      </c>
      <c r="D33" s="49">
        <v>1473.505175134238</v>
      </c>
      <c r="E33" s="49">
        <v>0</v>
      </c>
      <c r="F33" s="49">
        <v>3644.9610170000001</v>
      </c>
      <c r="G33" s="49">
        <v>0</v>
      </c>
      <c r="H33" s="49">
        <v>0</v>
      </c>
      <c r="I33" s="49">
        <v>0</v>
      </c>
    </row>
    <row r="34" spans="1:9" x14ac:dyDescent="0.35">
      <c r="A34" s="48">
        <v>41470.403000000006</v>
      </c>
      <c r="B34" s="48">
        <v>10571.615847326309</v>
      </c>
      <c r="C34" s="49">
        <v>8948.1659999999993</v>
      </c>
      <c r="D34" s="49">
        <v>1571.461651611138</v>
      </c>
      <c r="E34" s="49">
        <v>0</v>
      </c>
      <c r="F34" s="49">
        <v>4689.8610170000002</v>
      </c>
      <c r="G34" s="49">
        <v>0</v>
      </c>
      <c r="H34" s="49">
        <v>0</v>
      </c>
      <c r="I34" s="49">
        <v>0</v>
      </c>
    </row>
    <row r="35" spans="1:9" x14ac:dyDescent="0.35">
      <c r="A35" s="48">
        <v>42656.406999999999</v>
      </c>
      <c r="B35" s="48">
        <v>10571.615847326309</v>
      </c>
      <c r="C35" s="49">
        <v>9701.9639999999999</v>
      </c>
      <c r="D35" s="49">
        <v>1571.461651611138</v>
      </c>
      <c r="E35" s="49">
        <v>0</v>
      </c>
      <c r="F35" s="49">
        <v>5734.7610169999998</v>
      </c>
      <c r="G35" s="49">
        <v>0</v>
      </c>
      <c r="H35" s="49">
        <v>0</v>
      </c>
      <c r="I35" s="49">
        <v>0</v>
      </c>
    </row>
    <row r="36" spans="1:9" x14ac:dyDescent="0.35">
      <c r="A36" s="48">
        <v>42575.571000000004</v>
      </c>
      <c r="B36" s="48">
        <v>11914.022847326309</v>
      </c>
      <c r="C36" s="49">
        <v>11043.945</v>
      </c>
      <c r="D36" s="49">
        <v>1623.017691862138</v>
      </c>
      <c r="E36" s="49">
        <v>0</v>
      </c>
      <c r="F36" s="49">
        <v>6779.6610170000004</v>
      </c>
      <c r="G36" s="49">
        <v>0</v>
      </c>
      <c r="H36" s="49">
        <v>0</v>
      </c>
      <c r="I36" s="49">
        <v>0</v>
      </c>
    </row>
    <row r="37" spans="1:9" x14ac:dyDescent="0.35">
      <c r="A37" s="48">
        <v>42837.446000000004</v>
      </c>
      <c r="B37" s="48">
        <v>11898.312846475948</v>
      </c>
      <c r="C37" s="49">
        <v>12487.821</v>
      </c>
      <c r="D37" s="49">
        <v>1623.017691862138</v>
      </c>
      <c r="E37" s="49">
        <v>0</v>
      </c>
      <c r="F37" s="49">
        <v>6779.6610170000004</v>
      </c>
      <c r="G37" s="49">
        <v>0</v>
      </c>
      <c r="H37" s="49">
        <v>0</v>
      </c>
      <c r="I37" s="49">
        <v>0</v>
      </c>
    </row>
    <row r="38" spans="1:9" x14ac:dyDescent="0.35">
      <c r="A38" s="48">
        <v>43054.642</v>
      </c>
      <c r="B38" s="48">
        <v>11882.602845625599</v>
      </c>
      <c r="C38" s="49">
        <v>13561.127</v>
      </c>
      <c r="D38" s="49">
        <v>1571.461651611138</v>
      </c>
      <c r="E38" s="49">
        <v>0</v>
      </c>
      <c r="F38" s="49">
        <v>6779.6610170000004</v>
      </c>
      <c r="G38" s="49">
        <v>0</v>
      </c>
      <c r="H38" s="49">
        <v>0</v>
      </c>
      <c r="I38" s="49">
        <v>0</v>
      </c>
    </row>
    <row r="39" spans="1:9" x14ac:dyDescent="0.35">
      <c r="A39" s="48">
        <v>42919.839</v>
      </c>
      <c r="B39" s="48">
        <v>11882.602845625599</v>
      </c>
      <c r="C39" s="49">
        <v>13657.120999999999</v>
      </c>
      <c r="D39" s="49">
        <v>1597.239671736638</v>
      </c>
      <c r="E39" s="49">
        <v>0</v>
      </c>
      <c r="F39" s="49">
        <v>6779.6610170000004</v>
      </c>
      <c r="G39" s="49">
        <v>588.96592054999996</v>
      </c>
      <c r="H39" s="49">
        <v>0</v>
      </c>
      <c r="I39" s="49">
        <v>0</v>
      </c>
    </row>
    <row r="40" spans="1:9" x14ac:dyDescent="0.35">
      <c r="A40" s="48">
        <v>42174.104999999996</v>
      </c>
      <c r="B40" s="48">
        <v>11898.312846475948</v>
      </c>
      <c r="C40" s="49">
        <v>13323.157999999999</v>
      </c>
      <c r="D40" s="49">
        <v>1571.461651611138</v>
      </c>
      <c r="E40" s="49">
        <v>0</v>
      </c>
      <c r="F40" s="49">
        <v>6779.6610170000004</v>
      </c>
      <c r="G40" s="49">
        <v>650.75806136999995</v>
      </c>
      <c r="H40" s="49">
        <v>0</v>
      </c>
      <c r="I40" s="49">
        <v>0</v>
      </c>
    </row>
    <row r="41" spans="1:9" x14ac:dyDescent="0.35">
      <c r="A41" s="48">
        <v>42199.495000000003</v>
      </c>
      <c r="B41" s="48">
        <v>11914.022847326309</v>
      </c>
      <c r="C41" s="49">
        <v>12518.2</v>
      </c>
      <c r="D41" s="49">
        <v>1571.461651611138</v>
      </c>
      <c r="E41" s="49">
        <v>0</v>
      </c>
      <c r="F41" s="49">
        <v>5990.2735120899997</v>
      </c>
      <c r="G41" s="49">
        <v>651.21794327999999</v>
      </c>
      <c r="H41" s="49">
        <v>0</v>
      </c>
      <c r="I41" s="49">
        <v>0</v>
      </c>
    </row>
    <row r="42" spans="1:9" x14ac:dyDescent="0.35">
      <c r="A42" s="48">
        <v>42908.385000000002</v>
      </c>
      <c r="B42" s="48">
        <v>11914.022847326309</v>
      </c>
      <c r="C42" s="49">
        <v>11559.325999999999</v>
      </c>
      <c r="D42" s="49">
        <v>1571.461651611138</v>
      </c>
      <c r="E42" s="49">
        <v>0</v>
      </c>
      <c r="F42" s="49">
        <v>4945.3735120900001</v>
      </c>
      <c r="G42" s="49">
        <v>0</v>
      </c>
      <c r="H42" s="49">
        <v>0</v>
      </c>
      <c r="I42" s="49">
        <v>0</v>
      </c>
    </row>
    <row r="43" spans="1:9" x14ac:dyDescent="0.35">
      <c r="A43" s="48">
        <v>45100.183999999994</v>
      </c>
      <c r="B43" s="48">
        <v>10571.615847326309</v>
      </c>
      <c r="C43" s="49">
        <v>10723.933999999999</v>
      </c>
      <c r="D43" s="49">
        <v>1571.461651611138</v>
      </c>
      <c r="E43" s="49">
        <v>0</v>
      </c>
      <c r="F43" s="49">
        <v>3900.47351209</v>
      </c>
      <c r="G43" s="49">
        <v>0</v>
      </c>
      <c r="H43" s="49">
        <v>0</v>
      </c>
      <c r="I43" s="49">
        <v>0</v>
      </c>
    </row>
    <row r="44" spans="1:9" x14ac:dyDescent="0.35">
      <c r="A44" s="48">
        <v>46450.087</v>
      </c>
      <c r="B44" s="48">
        <v>10555.905846475949</v>
      </c>
      <c r="C44" s="49">
        <v>10372.995999999999</v>
      </c>
      <c r="D44" s="49">
        <v>1571.461651611138</v>
      </c>
      <c r="E44" s="49">
        <v>0</v>
      </c>
      <c r="F44" s="49">
        <v>2856.033394</v>
      </c>
      <c r="G44" s="49">
        <v>0</v>
      </c>
      <c r="H44" s="49">
        <v>0</v>
      </c>
      <c r="I44" s="49">
        <v>0</v>
      </c>
    </row>
    <row r="45" spans="1:9" x14ac:dyDescent="0.35">
      <c r="A45" s="48">
        <v>46119.771000000001</v>
      </c>
      <c r="B45" s="48">
        <v>10540.1958456256</v>
      </c>
      <c r="C45" s="49">
        <v>10446.505999999999</v>
      </c>
      <c r="D45" s="49">
        <v>1416.7935308581391</v>
      </c>
      <c r="E45" s="49">
        <v>0</v>
      </c>
      <c r="F45" s="49">
        <v>1811.5932759100001</v>
      </c>
      <c r="G45" s="49">
        <v>0</v>
      </c>
      <c r="H45" s="49">
        <v>0</v>
      </c>
      <c r="I45" s="49">
        <v>0</v>
      </c>
    </row>
    <row r="46" spans="1:9" x14ac:dyDescent="0.35">
      <c r="A46" s="48">
        <v>44509.570999999996</v>
      </c>
      <c r="B46" s="48">
        <v>10524.485844775239</v>
      </c>
      <c r="C46" s="49">
        <v>10079.548000000001</v>
      </c>
      <c r="D46" s="49">
        <v>1313.6814503561391</v>
      </c>
      <c r="E46" s="49">
        <v>0</v>
      </c>
      <c r="F46" s="49">
        <v>767.15315782000005</v>
      </c>
      <c r="G46" s="49">
        <v>0</v>
      </c>
      <c r="H46" s="49">
        <v>0</v>
      </c>
      <c r="I46" s="49">
        <v>0</v>
      </c>
    </row>
    <row r="47" spans="1:9" x14ac:dyDescent="0.35">
      <c r="A47" s="48">
        <v>41916.962999999996</v>
      </c>
      <c r="B47" s="48">
        <v>10508.77584392489</v>
      </c>
      <c r="C47" s="49">
        <v>9557.1360000000004</v>
      </c>
      <c r="D47" s="49">
        <v>1236.347389979639</v>
      </c>
      <c r="E47" s="49">
        <v>0</v>
      </c>
      <c r="F47" s="49">
        <v>422.70993096000001</v>
      </c>
      <c r="G47" s="49">
        <v>0</v>
      </c>
      <c r="H47" s="49">
        <v>0</v>
      </c>
      <c r="I47" s="49">
        <v>0</v>
      </c>
    </row>
    <row r="48" spans="1:9" x14ac:dyDescent="0.35">
      <c r="A48" s="48">
        <v>39305.498999999996</v>
      </c>
      <c r="B48" s="48">
        <v>10493.065843074541</v>
      </c>
      <c r="C48" s="49">
        <v>9466.4089999999997</v>
      </c>
      <c r="D48" s="49">
        <v>1184.791349728639</v>
      </c>
      <c r="E48" s="49">
        <v>0</v>
      </c>
      <c r="F48" s="49">
        <v>323.07465397999999</v>
      </c>
      <c r="G48" s="49">
        <v>0</v>
      </c>
      <c r="H48" s="49">
        <v>0</v>
      </c>
      <c r="I48" s="49">
        <v>0</v>
      </c>
    </row>
    <row r="49" spans="1:9" x14ac:dyDescent="0.35">
      <c r="A49" s="48">
        <v>36822.039000000004</v>
      </c>
      <c r="B49" s="48">
        <v>10493.065843074541</v>
      </c>
      <c r="C49" s="49">
        <v>9021.4459999999999</v>
      </c>
      <c r="D49" s="49">
        <v>1184.791349728639</v>
      </c>
      <c r="E49" s="49">
        <v>0</v>
      </c>
      <c r="F49" s="49">
        <v>164.34492398</v>
      </c>
      <c r="G49" s="49">
        <v>0</v>
      </c>
      <c r="H49" s="49">
        <v>0</v>
      </c>
      <c r="I49" s="49">
        <v>0</v>
      </c>
    </row>
    <row r="50" spans="1:9" x14ac:dyDescent="0.35">
      <c r="A50" s="48">
        <v>34041.472999999998</v>
      </c>
      <c r="B50" s="48">
        <v>10493.065843074541</v>
      </c>
      <c r="C50" s="49">
        <v>8308.8960000000006</v>
      </c>
      <c r="D50" s="49">
        <v>1235.3721215036271</v>
      </c>
      <c r="E50" s="49">
        <v>0</v>
      </c>
      <c r="F50" s="49">
        <v>174.87043702</v>
      </c>
      <c r="G50" s="49">
        <v>0</v>
      </c>
      <c r="H50" s="49">
        <v>0</v>
      </c>
      <c r="I50" s="49">
        <v>0</v>
      </c>
    </row>
    <row r="51" spans="1:9" x14ac:dyDescent="0.35">
      <c r="A51" s="48">
        <v>32186.687000000002</v>
      </c>
      <c r="B51" s="48">
        <v>10493.065843074541</v>
      </c>
      <c r="C51" s="49">
        <v>7904.4809999999998</v>
      </c>
      <c r="D51" s="49">
        <v>1235.3721215036271</v>
      </c>
      <c r="E51" s="49">
        <v>0</v>
      </c>
      <c r="F51" s="49">
        <v>266.18921702</v>
      </c>
      <c r="G51" s="49">
        <v>0</v>
      </c>
      <c r="H51" s="49">
        <v>0</v>
      </c>
      <c r="I51" s="49">
        <v>0</v>
      </c>
    </row>
    <row r="52" spans="1:9" x14ac:dyDescent="0.35">
      <c r="A52" s="48">
        <v>31139.749</v>
      </c>
      <c r="B52" s="48">
        <v>10493.065843074541</v>
      </c>
      <c r="C52" s="49">
        <v>7541.9350000000004</v>
      </c>
      <c r="D52" s="49">
        <v>1235.3721215036271</v>
      </c>
      <c r="E52" s="49">
        <v>0</v>
      </c>
      <c r="F52" s="49">
        <v>358.58648701999999</v>
      </c>
      <c r="G52" s="49">
        <v>0</v>
      </c>
      <c r="H52" s="49">
        <v>0</v>
      </c>
      <c r="I52" s="49">
        <v>0</v>
      </c>
    </row>
    <row r="53" spans="1:9" x14ac:dyDescent="0.35">
      <c r="A53" s="48">
        <v>30786.334999999999</v>
      </c>
      <c r="B53" s="48">
        <v>10493.065843074541</v>
      </c>
      <c r="C53" s="49">
        <v>7383.3540000000003</v>
      </c>
      <c r="D53" s="49">
        <v>1235.3721215036271</v>
      </c>
      <c r="E53" s="49">
        <v>0</v>
      </c>
      <c r="F53" s="49">
        <v>263.65451702000001</v>
      </c>
      <c r="G53" s="49">
        <v>0</v>
      </c>
      <c r="H53" s="49">
        <v>0</v>
      </c>
      <c r="I53" s="49">
        <v>0</v>
      </c>
    </row>
    <row r="54" spans="1:9" x14ac:dyDescent="0.35">
      <c r="A54" s="48">
        <v>31563.398999999998</v>
      </c>
      <c r="B54" s="48">
        <v>10508.77584392489</v>
      </c>
      <c r="C54" s="49">
        <v>7362.8010000000004</v>
      </c>
      <c r="D54" s="49">
        <v>1235.3721215036271</v>
      </c>
      <c r="E54" s="49">
        <v>0</v>
      </c>
      <c r="F54" s="49">
        <v>138.12049425999999</v>
      </c>
      <c r="G54" s="49">
        <v>0</v>
      </c>
      <c r="H54" s="49">
        <v>0</v>
      </c>
      <c r="I54" s="49">
        <v>0</v>
      </c>
    </row>
    <row r="55" spans="1:9" x14ac:dyDescent="0.35">
      <c r="A55" s="48">
        <v>33761.370999999999</v>
      </c>
      <c r="B55" s="48">
        <v>10540.1958456256</v>
      </c>
      <c r="C55" s="49">
        <v>7505.5879999999997</v>
      </c>
      <c r="D55" s="49">
        <v>1333.3285979805271</v>
      </c>
      <c r="E55" s="49">
        <v>0</v>
      </c>
      <c r="F55" s="49">
        <v>0</v>
      </c>
      <c r="G55" s="49">
        <v>0</v>
      </c>
      <c r="H55" s="49">
        <v>0</v>
      </c>
      <c r="I55" s="49">
        <v>0</v>
      </c>
    </row>
    <row r="56" spans="1:9" x14ac:dyDescent="0.35">
      <c r="A56" s="48">
        <v>36898.642</v>
      </c>
      <c r="B56" s="48">
        <v>10555.905846475949</v>
      </c>
      <c r="C56" s="49">
        <v>7883.3639999999996</v>
      </c>
      <c r="D56" s="49">
        <v>1431.2850744574271</v>
      </c>
      <c r="E56" s="49">
        <v>0</v>
      </c>
      <c r="F56" s="49">
        <v>517.83283323000001</v>
      </c>
      <c r="G56" s="49">
        <v>0</v>
      </c>
      <c r="H56" s="49">
        <v>0</v>
      </c>
      <c r="I56" s="49">
        <v>0</v>
      </c>
    </row>
    <row r="57" spans="1:9" x14ac:dyDescent="0.35">
      <c r="A57" s="48">
        <v>39710.42</v>
      </c>
      <c r="B57" s="48">
        <v>10571.615847326309</v>
      </c>
      <c r="C57" s="49">
        <v>8443.4159999999993</v>
      </c>
      <c r="D57" s="49">
        <v>1524.0859469092261</v>
      </c>
      <c r="E57" s="49">
        <v>0</v>
      </c>
      <c r="F57" s="49">
        <v>1562.2729513199999</v>
      </c>
      <c r="G57" s="49">
        <v>0</v>
      </c>
      <c r="H57" s="49">
        <v>0</v>
      </c>
      <c r="I57" s="49">
        <v>0</v>
      </c>
    </row>
    <row r="58" spans="1:9" x14ac:dyDescent="0.35">
      <c r="A58" s="48">
        <v>41635.459000000003</v>
      </c>
      <c r="B58" s="48">
        <v>10571.615847326309</v>
      </c>
      <c r="C58" s="49">
        <v>8981.4220000000005</v>
      </c>
      <c r="D58" s="49">
        <v>1622.0424233861261</v>
      </c>
      <c r="E58" s="49">
        <v>0</v>
      </c>
      <c r="F58" s="49">
        <v>2607.1729513199998</v>
      </c>
      <c r="G58" s="49">
        <v>0</v>
      </c>
      <c r="H58" s="49">
        <v>0</v>
      </c>
      <c r="I58" s="49">
        <v>0</v>
      </c>
    </row>
    <row r="59" spans="1:9" x14ac:dyDescent="0.35">
      <c r="A59" s="48">
        <v>43017.055999999997</v>
      </c>
      <c r="B59" s="48">
        <v>10571.615847326309</v>
      </c>
      <c r="C59" s="49">
        <v>9643.5229999999992</v>
      </c>
      <c r="D59" s="49">
        <v>1622.0424233861261</v>
      </c>
      <c r="E59" s="49">
        <v>0</v>
      </c>
      <c r="F59" s="49">
        <v>3652.0729513199999</v>
      </c>
      <c r="G59" s="49">
        <v>0</v>
      </c>
      <c r="H59" s="49">
        <v>0</v>
      </c>
      <c r="I59" s="49">
        <v>0</v>
      </c>
    </row>
    <row r="60" spans="1:9" x14ac:dyDescent="0.35">
      <c r="A60" s="48">
        <v>42980.409</v>
      </c>
      <c r="B60" s="48">
        <v>11914.022847326309</v>
      </c>
      <c r="C60" s="49">
        <v>10830.951999999999</v>
      </c>
      <c r="D60" s="49">
        <v>1673.5984636371261</v>
      </c>
      <c r="E60" s="49">
        <v>0</v>
      </c>
      <c r="F60" s="49">
        <v>4696.97295132</v>
      </c>
      <c r="G60" s="49">
        <v>0</v>
      </c>
      <c r="H60" s="49">
        <v>0</v>
      </c>
      <c r="I60" s="49">
        <v>0</v>
      </c>
    </row>
    <row r="61" spans="1:9" x14ac:dyDescent="0.35">
      <c r="A61" s="48">
        <v>42961.798999999999</v>
      </c>
      <c r="B61" s="48">
        <v>11898.312846475948</v>
      </c>
      <c r="C61" s="49">
        <v>12183.69</v>
      </c>
      <c r="D61" s="49">
        <v>1673.5984636371261</v>
      </c>
      <c r="E61" s="49">
        <v>0</v>
      </c>
      <c r="F61" s="49">
        <v>5742.3328332299998</v>
      </c>
      <c r="G61" s="49">
        <v>165.50463893</v>
      </c>
      <c r="H61" s="49">
        <v>0</v>
      </c>
      <c r="I61" s="49">
        <v>0</v>
      </c>
    </row>
    <row r="62" spans="1:9" x14ac:dyDescent="0.35">
      <c r="A62" s="48">
        <v>43064.267999999996</v>
      </c>
      <c r="B62" s="48">
        <v>11882.602845625599</v>
      </c>
      <c r="C62" s="49">
        <v>13204.603999999999</v>
      </c>
      <c r="D62" s="49">
        <v>1622.0424233861261</v>
      </c>
      <c r="E62" s="49">
        <v>0</v>
      </c>
      <c r="F62" s="49">
        <v>6779.6610170000004</v>
      </c>
      <c r="G62" s="49">
        <v>650.29719340999998</v>
      </c>
      <c r="H62" s="49">
        <v>0</v>
      </c>
      <c r="I62" s="49">
        <v>0</v>
      </c>
    </row>
    <row r="63" spans="1:9" x14ac:dyDescent="0.35">
      <c r="A63" s="48">
        <v>42777.860999999997</v>
      </c>
      <c r="B63" s="48">
        <v>11882.602845625599</v>
      </c>
      <c r="C63" s="49">
        <v>13282.134</v>
      </c>
      <c r="D63" s="49">
        <v>1647.8204435116261</v>
      </c>
      <c r="E63" s="49">
        <v>0</v>
      </c>
      <c r="F63" s="49">
        <v>6779.6610170000004</v>
      </c>
      <c r="G63" s="49">
        <v>650.29719340999998</v>
      </c>
      <c r="H63" s="49">
        <v>0</v>
      </c>
      <c r="I63" s="49">
        <v>0</v>
      </c>
    </row>
    <row r="64" spans="1:9" x14ac:dyDescent="0.35">
      <c r="A64" s="48">
        <v>42145.585999999996</v>
      </c>
      <c r="B64" s="48">
        <v>11898.312846475948</v>
      </c>
      <c r="C64" s="49">
        <v>12964.388000000001</v>
      </c>
      <c r="D64" s="49">
        <v>1622.0424233861261</v>
      </c>
      <c r="E64" s="49">
        <v>0</v>
      </c>
      <c r="F64" s="49">
        <v>6093.3312093699997</v>
      </c>
      <c r="G64" s="49">
        <v>650.75707532000001</v>
      </c>
      <c r="H64" s="49">
        <v>0</v>
      </c>
      <c r="I64" s="49">
        <v>0</v>
      </c>
    </row>
    <row r="65" spans="1:9" x14ac:dyDescent="0.35">
      <c r="A65" s="48">
        <v>42152.854000000007</v>
      </c>
      <c r="B65" s="48">
        <v>11914.022847326309</v>
      </c>
      <c r="C65" s="49">
        <v>12244.002</v>
      </c>
      <c r="D65" s="49">
        <v>1622.0424233861261</v>
      </c>
      <c r="E65" s="49">
        <v>0</v>
      </c>
      <c r="F65" s="49">
        <v>5047.9713274599999</v>
      </c>
      <c r="G65" s="49">
        <v>0</v>
      </c>
      <c r="H65" s="49">
        <v>0</v>
      </c>
      <c r="I65" s="49">
        <v>0</v>
      </c>
    </row>
    <row r="66" spans="1:9" x14ac:dyDescent="0.35">
      <c r="A66" s="48">
        <v>42840.685999999994</v>
      </c>
      <c r="B66" s="48">
        <v>10571.615847326309</v>
      </c>
      <c r="C66" s="49">
        <v>11416.52</v>
      </c>
      <c r="D66" s="49">
        <v>1622.0424233861261</v>
      </c>
      <c r="E66" s="49">
        <v>0</v>
      </c>
      <c r="F66" s="49">
        <v>4003.0713274599998</v>
      </c>
      <c r="G66" s="49">
        <v>0</v>
      </c>
      <c r="H66" s="49">
        <v>0</v>
      </c>
      <c r="I66" s="49">
        <v>0</v>
      </c>
    </row>
    <row r="67" spans="1:9" x14ac:dyDescent="0.35">
      <c r="A67" s="48">
        <v>44969.057000000001</v>
      </c>
      <c r="B67" s="48">
        <v>10571.615847326309</v>
      </c>
      <c r="C67" s="49">
        <v>10732.584999999999</v>
      </c>
      <c r="D67" s="49">
        <v>1622.0424233861261</v>
      </c>
      <c r="E67" s="49">
        <v>0</v>
      </c>
      <c r="F67" s="49">
        <v>2958.1713274600002</v>
      </c>
      <c r="G67" s="49">
        <v>0</v>
      </c>
      <c r="H67" s="49">
        <v>0</v>
      </c>
      <c r="I67" s="49">
        <v>0</v>
      </c>
    </row>
    <row r="68" spans="1:9" x14ac:dyDescent="0.35">
      <c r="A68" s="48">
        <v>46147.664999999994</v>
      </c>
      <c r="B68" s="48">
        <v>10555.905846475949</v>
      </c>
      <c r="C68" s="49">
        <v>10391.522000000001</v>
      </c>
      <c r="D68" s="49">
        <v>1622.0424233861261</v>
      </c>
      <c r="E68" s="49">
        <v>0</v>
      </c>
      <c r="F68" s="49">
        <v>1262.97413405</v>
      </c>
      <c r="G68" s="49">
        <v>0</v>
      </c>
      <c r="H68" s="49">
        <v>0</v>
      </c>
      <c r="I68" s="49">
        <v>0</v>
      </c>
    </row>
    <row r="69" spans="1:9" x14ac:dyDescent="0.35">
      <c r="A69" s="48">
        <v>45745.038999999997</v>
      </c>
      <c r="B69" s="48">
        <v>10540.1958456256</v>
      </c>
      <c r="C69" s="49">
        <v>10445.103999999999</v>
      </c>
      <c r="D69" s="49">
        <v>1467.3743026331269</v>
      </c>
      <c r="E69" s="49">
        <v>0</v>
      </c>
      <c r="F69" s="49">
        <v>285.00377354</v>
      </c>
      <c r="G69" s="49">
        <v>0</v>
      </c>
      <c r="H69" s="49">
        <v>0</v>
      </c>
      <c r="I69" s="49">
        <v>0</v>
      </c>
    </row>
    <row r="70" spans="1:9" x14ac:dyDescent="0.35">
      <c r="A70" s="48">
        <v>44156.023999999998</v>
      </c>
      <c r="B70" s="48">
        <v>10524.485844775239</v>
      </c>
      <c r="C70" s="49">
        <v>10074.316999999999</v>
      </c>
      <c r="D70" s="49">
        <v>1364.2622221311269</v>
      </c>
      <c r="E70" s="49">
        <v>0</v>
      </c>
      <c r="F70" s="49">
        <v>0</v>
      </c>
      <c r="G70" s="49">
        <v>0</v>
      </c>
      <c r="H70" s="49">
        <v>0</v>
      </c>
      <c r="I70" s="49">
        <v>0</v>
      </c>
    </row>
    <row r="71" spans="1:9" x14ac:dyDescent="0.35">
      <c r="A71" s="48">
        <v>41586.962</v>
      </c>
      <c r="B71" s="48">
        <v>10508.77584392489</v>
      </c>
      <c r="C71" s="49">
        <v>9552.4509999999991</v>
      </c>
      <c r="D71" s="49">
        <v>1286.9281617546269</v>
      </c>
      <c r="E71" s="49">
        <v>0</v>
      </c>
      <c r="F71" s="49">
        <v>0</v>
      </c>
      <c r="G71" s="49">
        <v>0</v>
      </c>
      <c r="H71" s="49">
        <v>0</v>
      </c>
      <c r="I71" s="49">
        <v>0</v>
      </c>
    </row>
    <row r="72" spans="1:9" x14ac:dyDescent="0.35">
      <c r="A72" s="48">
        <v>38994.726999999999</v>
      </c>
      <c r="B72" s="48">
        <v>10493.065843074541</v>
      </c>
      <c r="C72" s="49">
        <v>9466.8449999999993</v>
      </c>
      <c r="D72" s="49">
        <v>1235.3721215036271</v>
      </c>
      <c r="E72" s="49">
        <v>0</v>
      </c>
      <c r="F72" s="49">
        <v>0</v>
      </c>
      <c r="G72" s="49">
        <v>0</v>
      </c>
      <c r="H72" s="49">
        <v>0</v>
      </c>
      <c r="I72" s="49">
        <v>0</v>
      </c>
    </row>
    <row r="73" spans="1:9" x14ac:dyDescent="0.35">
      <c r="A73" s="48">
        <v>36572.055999999997</v>
      </c>
      <c r="B73" s="48">
        <v>10493.065843074541</v>
      </c>
      <c r="C73" s="49">
        <v>9017.3680000000004</v>
      </c>
      <c r="D73" s="49">
        <v>1235.3721215036271</v>
      </c>
      <c r="E73" s="49">
        <v>0</v>
      </c>
      <c r="F73" s="49">
        <v>0</v>
      </c>
      <c r="G73" s="49">
        <v>0</v>
      </c>
      <c r="H73" s="49">
        <v>0</v>
      </c>
      <c r="I73" s="49">
        <v>0</v>
      </c>
    </row>
    <row r="74" spans="1:9" x14ac:dyDescent="0.35">
      <c r="A74" s="48">
        <v>33950.953999999998</v>
      </c>
      <c r="B74" s="48">
        <v>10493.065843074541</v>
      </c>
      <c r="C74" s="49">
        <v>8306.5280000000002</v>
      </c>
      <c r="D74" s="49">
        <v>1169.3240409390189</v>
      </c>
      <c r="E74" s="49">
        <v>0</v>
      </c>
      <c r="F74" s="49">
        <v>0</v>
      </c>
      <c r="G74" s="49">
        <v>0</v>
      </c>
      <c r="H74" s="49">
        <v>0</v>
      </c>
      <c r="I74" s="49">
        <v>0</v>
      </c>
    </row>
    <row r="75" spans="1:9" x14ac:dyDescent="0.35">
      <c r="A75" s="48">
        <v>32148.978000000003</v>
      </c>
      <c r="B75" s="48">
        <v>10493.065843074541</v>
      </c>
      <c r="C75" s="49">
        <v>7898.0619999999999</v>
      </c>
      <c r="D75" s="49">
        <v>1169.3240409390189</v>
      </c>
      <c r="E75" s="49">
        <v>0</v>
      </c>
      <c r="F75" s="49">
        <v>0</v>
      </c>
      <c r="G75" s="49">
        <v>0</v>
      </c>
      <c r="H75" s="49">
        <v>0</v>
      </c>
      <c r="I75" s="49">
        <v>0</v>
      </c>
    </row>
    <row r="76" spans="1:9" x14ac:dyDescent="0.35">
      <c r="A76" s="48">
        <v>31138.452000000001</v>
      </c>
      <c r="B76" s="48">
        <v>10493.065843074541</v>
      </c>
      <c r="C76" s="49">
        <v>7535.4129999999996</v>
      </c>
      <c r="D76" s="49">
        <v>1169.3240409390189</v>
      </c>
      <c r="E76" s="49">
        <v>0</v>
      </c>
      <c r="F76" s="49">
        <v>0</v>
      </c>
      <c r="G76" s="49">
        <v>0</v>
      </c>
      <c r="H76" s="49">
        <v>0</v>
      </c>
      <c r="I76" s="49">
        <v>0</v>
      </c>
    </row>
    <row r="77" spans="1:9" x14ac:dyDescent="0.35">
      <c r="A77" s="48">
        <v>30792.75</v>
      </c>
      <c r="B77" s="48">
        <v>10493.065843074541</v>
      </c>
      <c r="C77" s="49">
        <v>7377.8919999999998</v>
      </c>
      <c r="D77" s="49">
        <v>1169.3240409390189</v>
      </c>
      <c r="E77" s="49">
        <v>0</v>
      </c>
      <c r="F77" s="49">
        <v>0</v>
      </c>
      <c r="G77" s="49">
        <v>0</v>
      </c>
      <c r="H77" s="49">
        <v>0</v>
      </c>
      <c r="I77" s="49">
        <v>0</v>
      </c>
    </row>
    <row r="78" spans="1:9" x14ac:dyDescent="0.35">
      <c r="A78" s="48">
        <v>31541.613999999998</v>
      </c>
      <c r="B78" s="48">
        <v>10508.77584392489</v>
      </c>
      <c r="C78" s="49">
        <v>7355.5519999999997</v>
      </c>
      <c r="D78" s="49">
        <v>1169.3240409390189</v>
      </c>
      <c r="E78" s="49">
        <v>0</v>
      </c>
      <c r="F78" s="49">
        <v>0</v>
      </c>
      <c r="G78" s="49">
        <v>0</v>
      </c>
      <c r="H78" s="49">
        <v>0</v>
      </c>
      <c r="I78" s="49">
        <v>0</v>
      </c>
    </row>
    <row r="79" spans="1:9" x14ac:dyDescent="0.35">
      <c r="A79" s="48">
        <v>33680.780999999995</v>
      </c>
      <c r="B79" s="48">
        <v>10540.1958456256</v>
      </c>
      <c r="C79" s="49">
        <v>7492.3559999999998</v>
      </c>
      <c r="D79" s="49">
        <v>1267.2805174159189</v>
      </c>
      <c r="E79" s="49">
        <v>0</v>
      </c>
      <c r="F79" s="49">
        <v>0</v>
      </c>
      <c r="G79" s="49">
        <v>0</v>
      </c>
      <c r="H79" s="49">
        <v>0</v>
      </c>
      <c r="I79" s="49">
        <v>0</v>
      </c>
    </row>
    <row r="80" spans="1:9" x14ac:dyDescent="0.35">
      <c r="A80" s="48">
        <v>36758.305</v>
      </c>
      <c r="B80" s="48">
        <v>10555.905846475949</v>
      </c>
      <c r="C80" s="49">
        <v>7856.6260000000002</v>
      </c>
      <c r="D80" s="49">
        <v>1365.2369938928191</v>
      </c>
      <c r="E80" s="49">
        <v>0</v>
      </c>
      <c r="F80" s="49">
        <v>762.68383259999996</v>
      </c>
      <c r="G80" s="49">
        <v>0</v>
      </c>
      <c r="H80" s="49">
        <v>0</v>
      </c>
      <c r="I80" s="49">
        <v>0</v>
      </c>
    </row>
    <row r="81" spans="1:9" x14ac:dyDescent="0.35">
      <c r="A81" s="48">
        <v>39558.201000000001</v>
      </c>
      <c r="B81" s="48">
        <v>10571.615847326309</v>
      </c>
      <c r="C81" s="49">
        <v>8405.4380000000001</v>
      </c>
      <c r="D81" s="49">
        <v>1458.037866344619</v>
      </c>
      <c r="E81" s="49">
        <v>0</v>
      </c>
      <c r="F81" s="49">
        <v>1807.12395068</v>
      </c>
      <c r="G81" s="49">
        <v>0</v>
      </c>
      <c r="H81" s="49">
        <v>0</v>
      </c>
      <c r="I81" s="49">
        <v>0</v>
      </c>
    </row>
    <row r="82" spans="1:9" x14ac:dyDescent="0.35">
      <c r="A82" s="48">
        <v>41586.856999999996</v>
      </c>
      <c r="B82" s="48">
        <v>10571.615847326309</v>
      </c>
      <c r="C82" s="49">
        <v>8931.36</v>
      </c>
      <c r="D82" s="49">
        <v>1555.9943428215181</v>
      </c>
      <c r="E82" s="49">
        <v>0</v>
      </c>
      <c r="F82" s="49">
        <v>2852.0239506799999</v>
      </c>
      <c r="G82" s="49">
        <v>0</v>
      </c>
      <c r="H82" s="49">
        <v>0</v>
      </c>
      <c r="I82" s="49">
        <v>0</v>
      </c>
    </row>
    <row r="83" spans="1:9" x14ac:dyDescent="0.35">
      <c r="A83" s="48">
        <v>43111.647999999994</v>
      </c>
      <c r="B83" s="48">
        <v>10571.615847326309</v>
      </c>
      <c r="C83" s="49">
        <v>9390.7790000000005</v>
      </c>
      <c r="D83" s="49">
        <v>1555.9943428215181</v>
      </c>
      <c r="E83" s="49">
        <v>0</v>
      </c>
      <c r="F83" s="49">
        <v>3896.92395068</v>
      </c>
      <c r="G83" s="49">
        <v>0</v>
      </c>
      <c r="H83" s="49">
        <v>0</v>
      </c>
      <c r="I83" s="49">
        <v>0</v>
      </c>
    </row>
    <row r="84" spans="1:9" x14ac:dyDescent="0.35">
      <c r="A84" s="48">
        <v>42899.063000000002</v>
      </c>
      <c r="B84" s="48">
        <v>11914.022847326309</v>
      </c>
      <c r="C84" s="49">
        <v>10080.695</v>
      </c>
      <c r="D84" s="49">
        <v>1607.5503830725179</v>
      </c>
      <c r="E84" s="49">
        <v>0</v>
      </c>
      <c r="F84" s="49">
        <v>4941.8239506800001</v>
      </c>
      <c r="G84" s="49">
        <v>0</v>
      </c>
      <c r="H84" s="49">
        <v>0</v>
      </c>
      <c r="I84" s="49">
        <v>0</v>
      </c>
    </row>
    <row r="85" spans="1:9" x14ac:dyDescent="0.35">
      <c r="A85" s="48">
        <v>43329.032999999996</v>
      </c>
      <c r="B85" s="48">
        <v>11898.312846475948</v>
      </c>
      <c r="C85" s="49">
        <v>11007.325999999999</v>
      </c>
      <c r="D85" s="49">
        <v>1607.5503830725179</v>
      </c>
      <c r="E85" s="49">
        <v>0</v>
      </c>
      <c r="F85" s="49">
        <v>5987.1838325999997</v>
      </c>
      <c r="G85" s="49">
        <v>0</v>
      </c>
      <c r="H85" s="49">
        <v>0</v>
      </c>
      <c r="I85" s="49">
        <v>0</v>
      </c>
    </row>
    <row r="86" spans="1:9" x14ac:dyDescent="0.35">
      <c r="A86" s="48">
        <v>43728.13</v>
      </c>
      <c r="B86" s="48">
        <v>11882.602845625599</v>
      </c>
      <c r="C86" s="49">
        <v>11847.392</v>
      </c>
      <c r="D86" s="49">
        <v>1555.9943428215181</v>
      </c>
      <c r="E86" s="49">
        <v>0</v>
      </c>
      <c r="F86" s="49">
        <v>6779.6610170000004</v>
      </c>
      <c r="G86" s="49">
        <v>650.29620736000004</v>
      </c>
      <c r="H86" s="49">
        <v>0</v>
      </c>
      <c r="I86" s="49">
        <v>0</v>
      </c>
    </row>
    <row r="87" spans="1:9" x14ac:dyDescent="0.35">
      <c r="A87" s="48">
        <v>43650.438000000002</v>
      </c>
      <c r="B87" s="48">
        <v>11882.602845625599</v>
      </c>
      <c r="C87" s="49">
        <v>11933.457</v>
      </c>
      <c r="D87" s="49">
        <v>1581.7723629470181</v>
      </c>
      <c r="E87" s="49">
        <v>0</v>
      </c>
      <c r="F87" s="49">
        <v>6779.6610170000004</v>
      </c>
      <c r="G87" s="49">
        <v>592.51350984999999</v>
      </c>
      <c r="H87" s="49">
        <v>0</v>
      </c>
      <c r="I87" s="49">
        <v>0</v>
      </c>
    </row>
    <row r="88" spans="1:9" x14ac:dyDescent="0.35">
      <c r="A88" s="48">
        <v>42943.040000000001</v>
      </c>
      <c r="B88" s="48">
        <v>11898.312846475948</v>
      </c>
      <c r="C88" s="49">
        <v>11761.205</v>
      </c>
      <c r="D88" s="49">
        <v>1555.9943428215181</v>
      </c>
      <c r="E88" s="49">
        <v>0</v>
      </c>
      <c r="F88" s="49">
        <v>6779.6610170000004</v>
      </c>
      <c r="G88" s="49">
        <v>0</v>
      </c>
      <c r="H88" s="49">
        <v>0</v>
      </c>
      <c r="I88" s="49">
        <v>0</v>
      </c>
    </row>
    <row r="89" spans="1:9" x14ac:dyDescent="0.35">
      <c r="A89" s="48">
        <v>42826.260999999999</v>
      </c>
      <c r="B89" s="48">
        <v>11914.022847326309</v>
      </c>
      <c r="C89" s="49">
        <v>11129.707</v>
      </c>
      <c r="D89" s="49">
        <v>1555.9943428215181</v>
      </c>
      <c r="E89" s="49">
        <v>0</v>
      </c>
      <c r="F89" s="49">
        <v>6779.6610170000004</v>
      </c>
      <c r="G89" s="49">
        <v>0</v>
      </c>
      <c r="H89" s="49">
        <v>0</v>
      </c>
      <c r="I89" s="49">
        <v>0</v>
      </c>
    </row>
    <row r="90" spans="1:9" x14ac:dyDescent="0.35">
      <c r="A90" s="48">
        <v>43600.136000000006</v>
      </c>
      <c r="B90" s="48">
        <v>11914.022847326309</v>
      </c>
      <c r="C90" s="49">
        <v>10524.421</v>
      </c>
      <c r="D90" s="49">
        <v>1555.9943428215181</v>
      </c>
      <c r="E90" s="49">
        <v>0</v>
      </c>
      <c r="F90" s="49">
        <v>6779.6610170000004</v>
      </c>
      <c r="G90" s="49">
        <v>0</v>
      </c>
      <c r="H90" s="49">
        <v>0</v>
      </c>
      <c r="I90" s="49">
        <v>0</v>
      </c>
    </row>
    <row r="91" spans="1:9" x14ac:dyDescent="0.35">
      <c r="A91" s="48">
        <v>45774.112000000001</v>
      </c>
      <c r="B91" s="48">
        <v>11914.022847326309</v>
      </c>
      <c r="C91" s="49">
        <v>10307.888000000001</v>
      </c>
      <c r="D91" s="49">
        <v>1555.9943428215181</v>
      </c>
      <c r="E91" s="49">
        <v>0</v>
      </c>
      <c r="F91" s="49">
        <v>6779.6610170000004</v>
      </c>
      <c r="G91" s="49">
        <v>0</v>
      </c>
      <c r="H91" s="49">
        <v>0</v>
      </c>
      <c r="I91" s="49">
        <v>0</v>
      </c>
    </row>
    <row r="92" spans="1:9" x14ac:dyDescent="0.35">
      <c r="A92" s="48">
        <v>46985.129000000001</v>
      </c>
      <c r="B92" s="48">
        <v>11898.312846475948</v>
      </c>
      <c r="C92" s="49">
        <v>10366.234</v>
      </c>
      <c r="D92" s="49">
        <v>1555.9943428215181</v>
      </c>
      <c r="E92" s="49">
        <v>0</v>
      </c>
      <c r="F92" s="49">
        <v>6779.6610170000004</v>
      </c>
      <c r="G92" s="49">
        <v>0</v>
      </c>
      <c r="H92" s="49">
        <v>0</v>
      </c>
      <c r="I92" s="49">
        <v>0</v>
      </c>
    </row>
    <row r="93" spans="1:9" x14ac:dyDescent="0.35">
      <c r="A93" s="48">
        <v>46543.966999999997</v>
      </c>
      <c r="B93" s="48">
        <v>11882.602845625599</v>
      </c>
      <c r="C93" s="49">
        <v>10407.528</v>
      </c>
      <c r="D93" s="49">
        <v>1401.326222068519</v>
      </c>
      <c r="E93" s="49">
        <v>0</v>
      </c>
      <c r="F93" s="49">
        <v>6779.6610170000004</v>
      </c>
      <c r="G93" s="49">
        <v>0</v>
      </c>
      <c r="H93" s="49">
        <v>0</v>
      </c>
      <c r="I93" s="49">
        <v>0</v>
      </c>
    </row>
    <row r="94" spans="1:9" x14ac:dyDescent="0.35">
      <c r="A94" s="48">
        <v>44908.347000000002</v>
      </c>
      <c r="B94" s="48">
        <v>11866.892844775239</v>
      </c>
      <c r="C94" s="49">
        <v>10046.245000000001</v>
      </c>
      <c r="D94" s="49">
        <v>1298.2141415665189</v>
      </c>
      <c r="E94" s="49">
        <v>0</v>
      </c>
      <c r="F94" s="49">
        <v>6779.6610170000004</v>
      </c>
      <c r="G94" s="49">
        <v>0</v>
      </c>
      <c r="H94" s="49">
        <v>0</v>
      </c>
      <c r="I94" s="49">
        <v>0</v>
      </c>
    </row>
    <row r="95" spans="1:9" x14ac:dyDescent="0.35">
      <c r="A95" s="48">
        <v>42329.292999999998</v>
      </c>
      <c r="B95" s="48">
        <v>11851.182843924889</v>
      </c>
      <c r="C95" s="49">
        <v>9538.8009999999995</v>
      </c>
      <c r="D95" s="49">
        <v>1220.8800811900189</v>
      </c>
      <c r="E95" s="49">
        <v>0</v>
      </c>
      <c r="F95" s="49">
        <v>6779.6610170000004</v>
      </c>
      <c r="G95" s="49">
        <v>0</v>
      </c>
      <c r="H95" s="49">
        <v>0</v>
      </c>
      <c r="I95" s="49">
        <v>0</v>
      </c>
    </row>
    <row r="96" spans="1:9" x14ac:dyDescent="0.35">
      <c r="A96" s="48">
        <v>39693.309000000001</v>
      </c>
      <c r="B96" s="48">
        <v>11835.47284307454</v>
      </c>
      <c r="C96" s="49">
        <v>9461.5969999999998</v>
      </c>
      <c r="D96" s="49">
        <v>1169.3240409390189</v>
      </c>
      <c r="E96" s="49">
        <v>0</v>
      </c>
      <c r="F96" s="49">
        <v>6779.6610170000004</v>
      </c>
      <c r="G96" s="49">
        <v>0</v>
      </c>
      <c r="H96" s="49">
        <v>0</v>
      </c>
      <c r="I96" s="49">
        <v>0</v>
      </c>
    </row>
    <row r="97" spans="1:9" x14ac:dyDescent="0.35">
      <c r="A97" s="48">
        <v>37196.329000000005</v>
      </c>
      <c r="B97" s="48">
        <v>11835.47284307454</v>
      </c>
      <c r="C97" s="49">
        <v>9024.4539999999997</v>
      </c>
      <c r="D97" s="49">
        <v>1169.3240409390189</v>
      </c>
      <c r="E97" s="49">
        <v>0</v>
      </c>
      <c r="F97" s="49">
        <v>6779.6610170000004</v>
      </c>
      <c r="G97" s="49">
        <v>0</v>
      </c>
      <c r="H97" s="49">
        <v>0</v>
      </c>
      <c r="I97" s="49">
        <v>0</v>
      </c>
    </row>
    <row r="98" spans="1:9" x14ac:dyDescent="0.35">
      <c r="A98" s="48">
        <v>34480.929000000004</v>
      </c>
      <c r="B98" s="48">
        <v>11835.47284307454</v>
      </c>
      <c r="C98" s="49">
        <v>8311.9560000000001</v>
      </c>
      <c r="D98" s="49">
        <v>1260.738922991665</v>
      </c>
      <c r="E98" s="49">
        <v>0</v>
      </c>
      <c r="F98" s="49">
        <v>6779.6610170000004</v>
      </c>
      <c r="G98" s="49">
        <v>0</v>
      </c>
      <c r="H98" s="49">
        <v>0</v>
      </c>
      <c r="I98" s="49">
        <v>0</v>
      </c>
    </row>
    <row r="99" spans="1:9" x14ac:dyDescent="0.35">
      <c r="A99" s="48">
        <v>32526.065999999999</v>
      </c>
      <c r="B99" s="48">
        <v>11835.47284307454</v>
      </c>
      <c r="C99" s="49">
        <v>7901.4470000000001</v>
      </c>
      <c r="D99" s="49">
        <v>1260.738922991665</v>
      </c>
      <c r="E99" s="49">
        <v>353.90529597</v>
      </c>
      <c r="F99" s="49">
        <v>6779.6610170000004</v>
      </c>
      <c r="G99" s="49">
        <v>0</v>
      </c>
      <c r="H99" s="49">
        <v>0</v>
      </c>
      <c r="I99" s="49">
        <v>0</v>
      </c>
    </row>
    <row r="100" spans="1:9" x14ac:dyDescent="0.35">
      <c r="A100" s="48">
        <v>31404.126</v>
      </c>
      <c r="B100" s="48">
        <v>11835.47284307454</v>
      </c>
      <c r="C100" s="49">
        <v>7535.9009999999998</v>
      </c>
      <c r="D100" s="49">
        <v>1260.738922991665</v>
      </c>
      <c r="E100" s="49">
        <v>2858.6637063200001</v>
      </c>
      <c r="F100" s="49">
        <v>6779.6610170000004</v>
      </c>
      <c r="G100" s="49">
        <v>0</v>
      </c>
      <c r="H100" s="49">
        <v>0</v>
      </c>
      <c r="I100" s="49">
        <v>0</v>
      </c>
    </row>
    <row r="101" spans="1:9" x14ac:dyDescent="0.35">
      <c r="A101" s="48">
        <v>31010.085999999999</v>
      </c>
      <c r="B101" s="48">
        <v>11835.47284307454</v>
      </c>
      <c r="C101" s="49">
        <v>7375.9170000000004</v>
      </c>
      <c r="D101" s="49">
        <v>1260.738922991665</v>
      </c>
      <c r="E101" s="49">
        <v>0</v>
      </c>
      <c r="F101" s="49">
        <v>6779.6610170000004</v>
      </c>
      <c r="G101" s="49">
        <v>0</v>
      </c>
      <c r="H101" s="49">
        <v>0</v>
      </c>
      <c r="I101" s="49">
        <v>0</v>
      </c>
    </row>
    <row r="102" spans="1:9" x14ac:dyDescent="0.35">
      <c r="A102" s="48">
        <v>31779.829999999998</v>
      </c>
      <c r="B102" s="48">
        <v>11851.182843924889</v>
      </c>
      <c r="C102" s="49">
        <v>7356.6719999999996</v>
      </c>
      <c r="D102" s="49">
        <v>1260.738922991665</v>
      </c>
      <c r="E102" s="49">
        <v>0</v>
      </c>
      <c r="F102" s="49">
        <v>6779.6610170000004</v>
      </c>
      <c r="G102" s="49">
        <v>0</v>
      </c>
      <c r="H102" s="49">
        <v>0</v>
      </c>
      <c r="I102" s="49">
        <v>0</v>
      </c>
    </row>
    <row r="103" spans="1:9" x14ac:dyDescent="0.35">
      <c r="A103" s="48">
        <v>33941.966999999997</v>
      </c>
      <c r="B103" s="48">
        <v>11882.602845625599</v>
      </c>
      <c r="C103" s="49">
        <v>7499.22</v>
      </c>
      <c r="D103" s="49">
        <v>1358.695399468565</v>
      </c>
      <c r="E103" s="49">
        <v>1329.8327752099999</v>
      </c>
      <c r="F103" s="49">
        <v>6779.6610170000004</v>
      </c>
      <c r="G103" s="49">
        <v>0</v>
      </c>
      <c r="H103" s="49">
        <v>0</v>
      </c>
      <c r="I103" s="49">
        <v>0</v>
      </c>
    </row>
    <row r="104" spans="1:9" x14ac:dyDescent="0.35">
      <c r="A104" s="48">
        <v>37031.663</v>
      </c>
      <c r="B104" s="48">
        <v>11898.312846475948</v>
      </c>
      <c r="C104" s="49">
        <v>7871.585</v>
      </c>
      <c r="D104" s="49">
        <v>1456.651875945465</v>
      </c>
      <c r="E104" s="49">
        <v>3030.0808235099998</v>
      </c>
      <c r="F104" s="49">
        <v>6779.6610170000004</v>
      </c>
      <c r="G104" s="49">
        <v>0</v>
      </c>
      <c r="H104" s="49">
        <v>0</v>
      </c>
      <c r="I104" s="49">
        <v>0</v>
      </c>
    </row>
    <row r="105" spans="1:9" x14ac:dyDescent="0.35">
      <c r="A105" s="48">
        <v>39814.494999999995</v>
      </c>
      <c r="B105" s="48">
        <v>11914.022847326309</v>
      </c>
      <c r="C105" s="49">
        <v>8419.3709999999992</v>
      </c>
      <c r="D105" s="49">
        <v>1549.452748397264</v>
      </c>
      <c r="E105" s="49">
        <v>197.61554663999999</v>
      </c>
      <c r="F105" s="49">
        <v>6779.6610170000004</v>
      </c>
      <c r="G105" s="49">
        <v>0</v>
      </c>
      <c r="H105" s="49">
        <v>0</v>
      </c>
      <c r="I105" s="49">
        <v>0</v>
      </c>
    </row>
    <row r="106" spans="1:9" x14ac:dyDescent="0.35">
      <c r="A106" s="48">
        <v>41641.185999999994</v>
      </c>
      <c r="B106" s="48">
        <v>11914.022847326309</v>
      </c>
      <c r="C106" s="49">
        <v>8942.4040000000005</v>
      </c>
      <c r="D106" s="49">
        <v>1647.409224874164</v>
      </c>
      <c r="E106" s="49">
        <v>843.23938495000004</v>
      </c>
      <c r="F106" s="49">
        <v>6779.6610170000004</v>
      </c>
      <c r="G106" s="49">
        <v>0</v>
      </c>
      <c r="H106" s="49">
        <v>103.1</v>
      </c>
      <c r="I106" s="49">
        <v>0</v>
      </c>
    </row>
    <row r="107" spans="1:9" x14ac:dyDescent="0.35">
      <c r="A107" s="48">
        <v>42953.364999999998</v>
      </c>
      <c r="B107" s="48">
        <v>11914.022847326309</v>
      </c>
      <c r="C107" s="49">
        <v>9550.4279999999999</v>
      </c>
      <c r="D107" s="49">
        <v>1647.409224874164</v>
      </c>
      <c r="E107" s="49">
        <v>5000</v>
      </c>
      <c r="F107" s="49">
        <v>6779.6610170000004</v>
      </c>
      <c r="G107" s="49">
        <v>0</v>
      </c>
      <c r="H107" s="49">
        <v>818</v>
      </c>
      <c r="I107" s="49">
        <v>330</v>
      </c>
    </row>
    <row r="108" spans="1:9" x14ac:dyDescent="0.35">
      <c r="A108" s="48">
        <v>42971.335000000006</v>
      </c>
      <c r="B108" s="48">
        <v>11914.022847326309</v>
      </c>
      <c r="C108" s="49">
        <v>10680.032999999999</v>
      </c>
      <c r="D108" s="49">
        <v>1698.965265125164</v>
      </c>
      <c r="E108" s="49">
        <v>5000</v>
      </c>
      <c r="F108" s="49">
        <v>6779.6610170000004</v>
      </c>
      <c r="G108" s="49">
        <v>0</v>
      </c>
      <c r="H108" s="49">
        <v>818</v>
      </c>
      <c r="I108" s="49">
        <v>330</v>
      </c>
    </row>
    <row r="109" spans="1:9" x14ac:dyDescent="0.35">
      <c r="A109" s="48">
        <v>43535.763999999996</v>
      </c>
      <c r="B109" s="48">
        <v>11898.312846475948</v>
      </c>
      <c r="C109" s="49">
        <v>12047.626</v>
      </c>
      <c r="D109" s="49">
        <v>1698.965265125164</v>
      </c>
      <c r="E109" s="49">
        <v>5000</v>
      </c>
      <c r="F109" s="49">
        <v>6779.6610170000004</v>
      </c>
      <c r="G109" s="49">
        <v>0</v>
      </c>
      <c r="H109" s="49">
        <v>818</v>
      </c>
      <c r="I109" s="49">
        <v>330</v>
      </c>
    </row>
    <row r="110" spans="1:9" x14ac:dyDescent="0.35">
      <c r="A110" s="48">
        <v>44056.064999999995</v>
      </c>
      <c r="B110" s="48">
        <v>11882.602845625599</v>
      </c>
      <c r="C110" s="49">
        <v>13127.918</v>
      </c>
      <c r="D110" s="49">
        <v>1647.409224874164</v>
      </c>
      <c r="E110" s="49">
        <v>5000</v>
      </c>
      <c r="F110" s="49">
        <v>6779.6610170000004</v>
      </c>
      <c r="G110" s="49">
        <v>0</v>
      </c>
      <c r="H110" s="49">
        <v>818</v>
      </c>
      <c r="I110" s="49">
        <v>330</v>
      </c>
    </row>
    <row r="111" spans="1:9" x14ac:dyDescent="0.35">
      <c r="A111" s="48">
        <v>44045.721999999994</v>
      </c>
      <c r="B111" s="48">
        <v>11882.602845625599</v>
      </c>
      <c r="C111" s="49">
        <v>13274.036</v>
      </c>
      <c r="D111" s="49">
        <v>1673.187244999664</v>
      </c>
      <c r="E111" s="49">
        <v>5000</v>
      </c>
      <c r="F111" s="49">
        <v>6779.6610170000004</v>
      </c>
      <c r="G111" s="49">
        <v>0</v>
      </c>
      <c r="H111" s="49">
        <v>818</v>
      </c>
      <c r="I111" s="49">
        <v>330</v>
      </c>
    </row>
    <row r="112" spans="1:9" x14ac:dyDescent="0.35">
      <c r="A112" s="48">
        <v>43237.392</v>
      </c>
      <c r="B112" s="48">
        <v>11898.312846475948</v>
      </c>
      <c r="C112" s="49">
        <v>13002.319</v>
      </c>
      <c r="D112" s="49">
        <v>1647.409224874164</v>
      </c>
      <c r="E112" s="49">
        <v>5000</v>
      </c>
      <c r="F112" s="49">
        <v>6779.6610170000004</v>
      </c>
      <c r="G112" s="49">
        <v>0</v>
      </c>
      <c r="H112" s="49">
        <v>818</v>
      </c>
      <c r="I112" s="49">
        <v>330</v>
      </c>
    </row>
    <row r="113" spans="1:9" x14ac:dyDescent="0.35">
      <c r="A113" s="48">
        <v>43095.958999999995</v>
      </c>
      <c r="B113" s="48">
        <v>11914.022847326309</v>
      </c>
      <c r="C113" s="49">
        <v>12251.795</v>
      </c>
      <c r="D113" s="49">
        <v>1647.409224874164</v>
      </c>
      <c r="E113" s="49">
        <v>5000</v>
      </c>
      <c r="F113" s="49">
        <v>6779.6610170000004</v>
      </c>
      <c r="G113" s="49">
        <v>0</v>
      </c>
      <c r="H113" s="49">
        <v>818</v>
      </c>
      <c r="I113" s="49">
        <v>330</v>
      </c>
    </row>
    <row r="114" spans="1:9" x14ac:dyDescent="0.35">
      <c r="A114" s="48">
        <v>43820.275999999998</v>
      </c>
      <c r="B114" s="48">
        <v>11914.022847326309</v>
      </c>
      <c r="C114" s="49">
        <v>11383.609</v>
      </c>
      <c r="D114" s="49">
        <v>1647.409224874164</v>
      </c>
      <c r="E114" s="49">
        <v>5000</v>
      </c>
      <c r="F114" s="49">
        <v>6779.6610170000004</v>
      </c>
      <c r="G114" s="49">
        <v>0</v>
      </c>
      <c r="H114" s="49">
        <v>818</v>
      </c>
      <c r="I114" s="49">
        <v>330</v>
      </c>
    </row>
    <row r="115" spans="1:9" x14ac:dyDescent="0.35">
      <c r="A115" s="48">
        <v>46060.450000000004</v>
      </c>
      <c r="B115" s="48">
        <v>11914.022847326309</v>
      </c>
      <c r="C115" s="49">
        <v>10698.816999999999</v>
      </c>
      <c r="D115" s="49">
        <v>1647.409224874164</v>
      </c>
      <c r="E115" s="49">
        <v>5000</v>
      </c>
      <c r="F115" s="49">
        <v>6779.6610170000004</v>
      </c>
      <c r="G115" s="49">
        <v>0</v>
      </c>
      <c r="H115" s="49">
        <v>818</v>
      </c>
      <c r="I115" s="49">
        <v>0</v>
      </c>
    </row>
    <row r="116" spans="1:9" x14ac:dyDescent="0.35">
      <c r="A116" s="48">
        <v>47164.550999999999</v>
      </c>
      <c r="B116" s="48">
        <v>11898.312846475948</v>
      </c>
      <c r="C116" s="49">
        <v>10403.48</v>
      </c>
      <c r="D116" s="49">
        <v>1647.409224874164</v>
      </c>
      <c r="E116" s="49">
        <v>5000</v>
      </c>
      <c r="F116" s="49">
        <v>6779.6610170000004</v>
      </c>
      <c r="G116" s="49">
        <v>0</v>
      </c>
      <c r="H116" s="49">
        <v>167.00042579999999</v>
      </c>
      <c r="I116" s="49">
        <v>0</v>
      </c>
    </row>
    <row r="117" spans="1:9" x14ac:dyDescent="0.35">
      <c r="A117" s="48">
        <v>46362.289000000004</v>
      </c>
      <c r="B117" s="48">
        <v>11882.602845625599</v>
      </c>
      <c r="C117" s="49">
        <v>10403.647000000001</v>
      </c>
      <c r="D117" s="49">
        <v>1492.7411041211651</v>
      </c>
      <c r="E117" s="49">
        <v>5000</v>
      </c>
      <c r="F117" s="49">
        <v>6779.6610170000004</v>
      </c>
      <c r="G117" s="49">
        <v>0</v>
      </c>
      <c r="H117" s="49">
        <v>0</v>
      </c>
      <c r="I117" s="49">
        <v>0</v>
      </c>
    </row>
    <row r="118" spans="1:9" x14ac:dyDescent="0.35">
      <c r="A118" s="48">
        <v>44574.281000000003</v>
      </c>
      <c r="B118" s="48">
        <v>11866.892844775239</v>
      </c>
      <c r="C118" s="49">
        <v>10024.235000000001</v>
      </c>
      <c r="D118" s="49">
        <v>1389.6290236191651</v>
      </c>
      <c r="E118" s="49">
        <v>2797.6247696400001</v>
      </c>
      <c r="F118" s="49">
        <v>6779.6610170000004</v>
      </c>
      <c r="G118" s="49">
        <v>0</v>
      </c>
      <c r="H118" s="49">
        <v>0</v>
      </c>
      <c r="I118" s="49">
        <v>0</v>
      </c>
    </row>
    <row r="119" spans="1:9" x14ac:dyDescent="0.35">
      <c r="A119" s="48">
        <v>42176.116999999998</v>
      </c>
      <c r="B119" s="48">
        <v>11851.182843924889</v>
      </c>
      <c r="C119" s="49">
        <v>9508.4040000000005</v>
      </c>
      <c r="D119" s="49">
        <v>1312.2949632426651</v>
      </c>
      <c r="E119" s="49">
        <v>0</v>
      </c>
      <c r="F119" s="49">
        <v>6779.6610170000004</v>
      </c>
      <c r="G119" s="49">
        <v>0</v>
      </c>
      <c r="H119" s="49">
        <v>0</v>
      </c>
      <c r="I119" s="49">
        <v>0</v>
      </c>
    </row>
    <row r="120" spans="1:9" x14ac:dyDescent="0.35">
      <c r="A120" s="48">
        <v>39847.638999999996</v>
      </c>
      <c r="B120" s="48">
        <v>11835.47284307454</v>
      </c>
      <c r="C120" s="49">
        <v>9459.2720000000008</v>
      </c>
      <c r="D120" s="49">
        <v>1260.738922991665</v>
      </c>
      <c r="E120" s="49">
        <v>29.88274315</v>
      </c>
      <c r="F120" s="49">
        <v>6779.6610170000004</v>
      </c>
      <c r="G120" s="49">
        <v>0</v>
      </c>
      <c r="H120" s="49">
        <v>0</v>
      </c>
      <c r="I120" s="49">
        <v>0</v>
      </c>
    </row>
    <row r="121" spans="1:9" x14ac:dyDescent="0.35">
      <c r="A121" s="48">
        <v>37475.285000000003</v>
      </c>
      <c r="B121" s="48">
        <v>11835.47284307454</v>
      </c>
      <c r="C121" s="49">
        <v>9036.2420000000002</v>
      </c>
      <c r="D121" s="49">
        <v>1260.738922991665</v>
      </c>
      <c r="E121" s="49">
        <v>2244.1603927199999</v>
      </c>
      <c r="F121" s="49">
        <v>6779.6610170000004</v>
      </c>
      <c r="G121" s="49">
        <v>0</v>
      </c>
      <c r="H121" s="49">
        <v>0</v>
      </c>
      <c r="I121" s="49">
        <v>0</v>
      </c>
    </row>
    <row r="122" spans="1:9" x14ac:dyDescent="0.35">
      <c r="A122" s="48">
        <v>34403.582999999999</v>
      </c>
      <c r="B122" s="48">
        <v>11832.805577696799</v>
      </c>
      <c r="C122" s="49">
        <v>8261.5229999999992</v>
      </c>
      <c r="D122" s="49">
        <v>1601.956469328378</v>
      </c>
      <c r="E122" s="49">
        <v>5000</v>
      </c>
      <c r="F122" s="49">
        <v>6779.6610170000004</v>
      </c>
      <c r="G122" s="49">
        <v>0</v>
      </c>
      <c r="H122" s="49">
        <v>0</v>
      </c>
      <c r="I122" s="49">
        <v>330</v>
      </c>
    </row>
    <row r="123" spans="1:9" x14ac:dyDescent="0.35">
      <c r="A123" s="48">
        <v>32286.286</v>
      </c>
      <c r="B123" s="48">
        <v>11832.805577696799</v>
      </c>
      <c r="C123" s="49">
        <v>7829.38</v>
      </c>
      <c r="D123" s="49">
        <v>1601.956469328378</v>
      </c>
      <c r="E123" s="49">
        <v>5000</v>
      </c>
      <c r="F123" s="49">
        <v>6779.6610170000004</v>
      </c>
      <c r="G123" s="49">
        <v>0</v>
      </c>
      <c r="H123" s="49">
        <v>818</v>
      </c>
      <c r="I123" s="49">
        <v>292.82237085000003</v>
      </c>
    </row>
    <row r="124" spans="1:9" x14ac:dyDescent="0.35">
      <c r="A124" s="48">
        <v>30708.298999999999</v>
      </c>
      <c r="B124" s="48">
        <v>11832.805577696799</v>
      </c>
      <c r="C124" s="49">
        <v>7422.616</v>
      </c>
      <c r="D124" s="49">
        <v>1601.956469328378</v>
      </c>
      <c r="E124" s="49">
        <v>5000</v>
      </c>
      <c r="F124" s="49">
        <v>6779.6610170000004</v>
      </c>
      <c r="G124" s="49">
        <v>0</v>
      </c>
      <c r="H124" s="49">
        <v>818</v>
      </c>
      <c r="I124" s="49">
        <v>0</v>
      </c>
    </row>
    <row r="125" spans="1:9" x14ac:dyDescent="0.35">
      <c r="A125" s="48">
        <v>29613.284</v>
      </c>
      <c r="B125" s="48">
        <v>11832.805577696799</v>
      </c>
      <c r="C125" s="49">
        <v>7222.8249999999998</v>
      </c>
      <c r="D125" s="49">
        <v>1601.956469328378</v>
      </c>
      <c r="E125" s="49">
        <v>5000</v>
      </c>
      <c r="F125" s="49">
        <v>6779.6610170000004</v>
      </c>
      <c r="G125" s="49">
        <v>0</v>
      </c>
      <c r="H125" s="49">
        <v>818</v>
      </c>
      <c r="I125" s="49">
        <v>330</v>
      </c>
    </row>
    <row r="126" spans="1:9" x14ac:dyDescent="0.35">
      <c r="A126" s="48">
        <v>28629.774000000001</v>
      </c>
      <c r="B126" s="48">
        <v>11864.497845252949</v>
      </c>
      <c r="C126" s="49">
        <v>7161.9179999999997</v>
      </c>
      <c r="D126" s="49">
        <v>1601.956469328378</v>
      </c>
      <c r="E126" s="49">
        <v>5000</v>
      </c>
      <c r="F126" s="49">
        <v>6779.6610170000004</v>
      </c>
      <c r="G126" s="49">
        <v>0</v>
      </c>
      <c r="H126" s="49">
        <v>818</v>
      </c>
      <c r="I126" s="49">
        <v>330</v>
      </c>
    </row>
    <row r="127" spans="1:9" x14ac:dyDescent="0.35">
      <c r="A127" s="48">
        <v>27657.187000000002</v>
      </c>
      <c r="B127" s="48">
        <v>11896.190112809099</v>
      </c>
      <c r="C127" s="49">
        <v>7218.1629999999996</v>
      </c>
      <c r="D127" s="49">
        <v>1601.956469328378</v>
      </c>
      <c r="E127" s="49">
        <v>5000</v>
      </c>
      <c r="F127" s="49">
        <v>6779.6610170000004</v>
      </c>
      <c r="G127" s="49">
        <v>0</v>
      </c>
      <c r="H127" s="49">
        <v>0</v>
      </c>
      <c r="I127" s="49">
        <v>330</v>
      </c>
    </row>
    <row r="128" spans="1:9" x14ac:dyDescent="0.35">
      <c r="A128" s="48">
        <v>27583.936999999998</v>
      </c>
      <c r="B128" s="48">
        <v>11912.036246587169</v>
      </c>
      <c r="C128" s="49">
        <v>7347.2060000000001</v>
      </c>
      <c r="D128" s="49">
        <v>1601.956469328378</v>
      </c>
      <c r="E128" s="49">
        <v>5000</v>
      </c>
      <c r="F128" s="49">
        <v>6779.6610170000004</v>
      </c>
      <c r="G128" s="49">
        <v>0</v>
      </c>
      <c r="H128" s="49">
        <v>818</v>
      </c>
      <c r="I128" s="49">
        <v>330</v>
      </c>
    </row>
    <row r="129" spans="1:9" x14ac:dyDescent="0.35">
      <c r="A129" s="48">
        <v>28764.89</v>
      </c>
      <c r="B129" s="48">
        <v>11896.190112809099</v>
      </c>
      <c r="C129" s="49">
        <v>7433.34</v>
      </c>
      <c r="D129" s="49">
        <v>1601.956469328378</v>
      </c>
      <c r="E129" s="49">
        <v>5000</v>
      </c>
      <c r="F129" s="49">
        <v>6779.6610170000004</v>
      </c>
      <c r="G129" s="49">
        <v>0</v>
      </c>
      <c r="H129" s="49">
        <v>818</v>
      </c>
      <c r="I129" s="49">
        <v>0</v>
      </c>
    </row>
    <row r="130" spans="1:9" x14ac:dyDescent="0.35">
      <c r="A130" s="48">
        <v>30670.206000000002</v>
      </c>
      <c r="B130" s="48">
        <v>11896.190112809099</v>
      </c>
      <c r="C130" s="49">
        <v>7561.3940000000002</v>
      </c>
      <c r="D130" s="49">
        <v>1601.956469328378</v>
      </c>
      <c r="E130" s="49">
        <v>5000</v>
      </c>
      <c r="F130" s="49">
        <v>6779.6610170000004</v>
      </c>
      <c r="G130" s="49">
        <v>0</v>
      </c>
      <c r="H130" s="49">
        <v>818</v>
      </c>
      <c r="I130" s="49">
        <v>0</v>
      </c>
    </row>
    <row r="131" spans="1:9" x14ac:dyDescent="0.35">
      <c r="A131" s="48">
        <v>33008.887999999999</v>
      </c>
      <c r="B131" s="48">
        <v>11896.190112809099</v>
      </c>
      <c r="C131" s="49">
        <v>8265.2219999999998</v>
      </c>
      <c r="D131" s="49">
        <v>1601.956469328378</v>
      </c>
      <c r="E131" s="49">
        <v>5000</v>
      </c>
      <c r="F131" s="49">
        <v>6779.6610170000004</v>
      </c>
      <c r="G131" s="49">
        <v>0</v>
      </c>
      <c r="H131" s="49">
        <v>818</v>
      </c>
      <c r="I131" s="49">
        <v>330</v>
      </c>
    </row>
    <row r="132" spans="1:9" x14ac:dyDescent="0.35">
      <c r="A132" s="48">
        <v>33449.326000000001</v>
      </c>
      <c r="B132" s="48">
        <v>11896.190112809099</v>
      </c>
      <c r="C132" s="49">
        <v>9558.5589999999993</v>
      </c>
      <c r="D132" s="49">
        <v>1785.6763065217999</v>
      </c>
      <c r="E132" s="49">
        <v>5000</v>
      </c>
      <c r="F132" s="49">
        <v>6779.6610170000004</v>
      </c>
      <c r="G132" s="49">
        <v>0</v>
      </c>
      <c r="H132" s="49">
        <v>818</v>
      </c>
      <c r="I132" s="49">
        <v>330</v>
      </c>
    </row>
    <row r="133" spans="1:9" x14ac:dyDescent="0.35">
      <c r="A133" s="48">
        <v>34221.460999999996</v>
      </c>
      <c r="B133" s="48">
        <v>11912.036246587169</v>
      </c>
      <c r="C133" s="49">
        <v>10938.232</v>
      </c>
      <c r="D133" s="49">
        <v>1785.6763065217999</v>
      </c>
      <c r="E133" s="49">
        <v>5000</v>
      </c>
      <c r="F133" s="49">
        <v>6779.6610170000004</v>
      </c>
      <c r="G133" s="49">
        <v>0</v>
      </c>
      <c r="H133" s="49">
        <v>818</v>
      </c>
      <c r="I133" s="49">
        <v>330</v>
      </c>
    </row>
    <row r="134" spans="1:9" x14ac:dyDescent="0.35">
      <c r="A134" s="48">
        <v>35155.864999999998</v>
      </c>
      <c r="B134" s="48">
        <v>11896.190112809099</v>
      </c>
      <c r="C134" s="49">
        <v>11874.005999999999</v>
      </c>
      <c r="D134" s="49">
        <v>1785.6763065217999</v>
      </c>
      <c r="E134" s="49">
        <v>5000</v>
      </c>
      <c r="F134" s="49">
        <v>6779.6610170000004</v>
      </c>
      <c r="G134" s="49">
        <v>0</v>
      </c>
      <c r="H134" s="49">
        <v>818</v>
      </c>
      <c r="I134" s="49">
        <v>330</v>
      </c>
    </row>
    <row r="135" spans="1:9" x14ac:dyDescent="0.35">
      <c r="A135" s="48">
        <v>35486.675999999999</v>
      </c>
      <c r="B135" s="48">
        <v>11896.190112809099</v>
      </c>
      <c r="C135" s="49">
        <v>11630.675999999999</v>
      </c>
      <c r="D135" s="49">
        <v>1785.6763065217999</v>
      </c>
      <c r="E135" s="49">
        <v>5000</v>
      </c>
      <c r="F135" s="49">
        <v>6779.6610170000004</v>
      </c>
      <c r="G135" s="49">
        <v>0</v>
      </c>
      <c r="H135" s="49">
        <v>818</v>
      </c>
      <c r="I135" s="49">
        <v>330</v>
      </c>
    </row>
    <row r="136" spans="1:9" x14ac:dyDescent="0.35">
      <c r="A136" s="48">
        <v>34433.777999999998</v>
      </c>
      <c r="B136" s="48">
        <v>11912.036246587169</v>
      </c>
      <c r="C136" s="49">
        <v>10915.235000000001</v>
      </c>
      <c r="D136" s="49">
        <v>1785.6763065217999</v>
      </c>
      <c r="E136" s="49">
        <v>5000</v>
      </c>
      <c r="F136" s="49">
        <v>6779.6610170000004</v>
      </c>
      <c r="G136" s="49">
        <v>0</v>
      </c>
      <c r="H136" s="49">
        <v>818</v>
      </c>
      <c r="I136" s="49">
        <v>330</v>
      </c>
    </row>
    <row r="137" spans="1:9" x14ac:dyDescent="0.35">
      <c r="A137" s="48">
        <v>33882.572999999997</v>
      </c>
      <c r="B137" s="48">
        <v>11896.190112809099</v>
      </c>
      <c r="C137" s="49">
        <v>10276.374</v>
      </c>
      <c r="D137" s="49">
        <v>1601.956469328378</v>
      </c>
      <c r="E137" s="49">
        <v>5000</v>
      </c>
      <c r="F137" s="49">
        <v>6779.6610170000004</v>
      </c>
      <c r="G137" s="49">
        <v>0</v>
      </c>
      <c r="H137" s="49">
        <v>818</v>
      </c>
      <c r="I137" s="49">
        <v>330</v>
      </c>
    </row>
    <row r="138" spans="1:9" x14ac:dyDescent="0.35">
      <c r="A138" s="48">
        <v>34240.737000000001</v>
      </c>
      <c r="B138" s="48">
        <v>11896.190112809099</v>
      </c>
      <c r="C138" s="49">
        <v>9646.6149999999998</v>
      </c>
      <c r="D138" s="49">
        <v>1601.956469328378</v>
      </c>
      <c r="E138" s="49">
        <v>5000</v>
      </c>
      <c r="F138" s="49">
        <v>6779.6610170000004</v>
      </c>
      <c r="G138" s="49">
        <v>0</v>
      </c>
      <c r="H138" s="49">
        <v>818</v>
      </c>
      <c r="I138" s="49">
        <v>330</v>
      </c>
    </row>
    <row r="139" spans="1:9" x14ac:dyDescent="0.35">
      <c r="A139" s="48">
        <v>36876.286</v>
      </c>
      <c r="B139" s="48">
        <v>11896.190112809099</v>
      </c>
      <c r="C139" s="49">
        <v>9515.6929999999993</v>
      </c>
      <c r="D139" s="49">
        <v>1601.956469328378</v>
      </c>
      <c r="E139" s="49">
        <v>5000</v>
      </c>
      <c r="F139" s="49">
        <v>6779.6610170000004</v>
      </c>
      <c r="G139" s="49">
        <v>0</v>
      </c>
      <c r="H139" s="49">
        <v>0</v>
      </c>
      <c r="I139" s="49">
        <v>104.02773392</v>
      </c>
    </row>
    <row r="140" spans="1:9" x14ac:dyDescent="0.35">
      <c r="A140" s="48">
        <v>38816.682000000001</v>
      </c>
      <c r="B140" s="48">
        <v>11912.036246587169</v>
      </c>
      <c r="C140" s="49">
        <v>9696.7070000000003</v>
      </c>
      <c r="D140" s="49">
        <v>1601.956469328378</v>
      </c>
      <c r="E140" s="49">
        <v>5000</v>
      </c>
      <c r="F140" s="49">
        <v>6779.6610170000004</v>
      </c>
      <c r="G140" s="49">
        <v>0</v>
      </c>
      <c r="H140" s="49">
        <v>818</v>
      </c>
      <c r="I140" s="49">
        <v>330</v>
      </c>
    </row>
    <row r="141" spans="1:9" x14ac:dyDescent="0.35">
      <c r="A141" s="48">
        <v>39459.180999999997</v>
      </c>
      <c r="B141" s="48">
        <v>11896.190112809099</v>
      </c>
      <c r="C141" s="49">
        <v>9717.3829999999998</v>
      </c>
      <c r="D141" s="49">
        <v>1601.956469328378</v>
      </c>
      <c r="E141" s="49">
        <v>5000</v>
      </c>
      <c r="F141" s="49">
        <v>6779.6610170000004</v>
      </c>
      <c r="G141" s="49">
        <v>0</v>
      </c>
      <c r="H141" s="49">
        <v>818</v>
      </c>
      <c r="I141" s="49">
        <v>0</v>
      </c>
    </row>
    <row r="142" spans="1:9" x14ac:dyDescent="0.35">
      <c r="A142" s="48">
        <v>39457.144</v>
      </c>
      <c r="B142" s="48">
        <v>11880.343979031019</v>
      </c>
      <c r="C142" s="49">
        <v>9348.4760000000006</v>
      </c>
      <c r="D142" s="49">
        <v>1601.956469328378</v>
      </c>
      <c r="E142" s="49">
        <v>5000</v>
      </c>
      <c r="F142" s="49">
        <v>6779.6610170000004</v>
      </c>
      <c r="G142" s="49">
        <v>0</v>
      </c>
      <c r="H142" s="49">
        <v>818</v>
      </c>
      <c r="I142" s="49">
        <v>330</v>
      </c>
    </row>
    <row r="143" spans="1:9" x14ac:dyDescent="0.35">
      <c r="A143" s="48">
        <v>38604.329999999994</v>
      </c>
      <c r="B143" s="48">
        <v>11864.497845252949</v>
      </c>
      <c r="C143" s="49">
        <v>8831.4169999999995</v>
      </c>
      <c r="D143" s="49">
        <v>1601.956469328378</v>
      </c>
      <c r="E143" s="49">
        <v>5000</v>
      </c>
      <c r="F143" s="49">
        <v>6779.6610170000004</v>
      </c>
      <c r="G143" s="49">
        <v>0</v>
      </c>
      <c r="H143" s="49">
        <v>818</v>
      </c>
      <c r="I143" s="49">
        <v>0</v>
      </c>
    </row>
    <row r="144" spans="1:9" x14ac:dyDescent="0.35">
      <c r="A144" s="48">
        <v>36813.754999999997</v>
      </c>
      <c r="B144" s="48">
        <v>11832.805577696799</v>
      </c>
      <c r="C144" s="49">
        <v>8846.4850000000006</v>
      </c>
      <c r="D144" s="49">
        <v>1601.956469328378</v>
      </c>
      <c r="E144" s="49">
        <v>5000</v>
      </c>
      <c r="F144" s="49">
        <v>6779.6610170000004</v>
      </c>
      <c r="G144" s="49">
        <v>0</v>
      </c>
      <c r="H144" s="49">
        <v>0</v>
      </c>
      <c r="I144" s="49">
        <v>330</v>
      </c>
    </row>
    <row r="145" spans="1:9" x14ac:dyDescent="0.35">
      <c r="A145" s="48">
        <v>34282.080000000002</v>
      </c>
      <c r="B145" s="48">
        <v>11832.805577696799</v>
      </c>
      <c r="C145" s="49">
        <v>8546.5609999999997</v>
      </c>
      <c r="D145" s="49">
        <v>1601.956469328378</v>
      </c>
      <c r="E145" s="49">
        <v>5000</v>
      </c>
      <c r="F145" s="49">
        <v>6779.6610170000004</v>
      </c>
      <c r="G145" s="49">
        <v>0</v>
      </c>
      <c r="H145" s="49">
        <v>818</v>
      </c>
      <c r="I145" s="49">
        <v>0</v>
      </c>
    </row>
    <row r="146" spans="1:9" x14ac:dyDescent="0.35">
      <c r="A146" s="48">
        <v>32633.776000000002</v>
      </c>
      <c r="B146" s="48">
        <v>11832.805577696799</v>
      </c>
      <c r="C146" s="49">
        <v>7957.4250000000002</v>
      </c>
      <c r="D146" s="49">
        <v>1455.3989030504879</v>
      </c>
      <c r="E146" s="49">
        <v>5000</v>
      </c>
      <c r="F146" s="49">
        <v>6779.6610170000004</v>
      </c>
      <c r="G146" s="49">
        <v>0</v>
      </c>
      <c r="H146" s="49">
        <v>818</v>
      </c>
      <c r="I146" s="49">
        <v>330</v>
      </c>
    </row>
    <row r="147" spans="1:9" x14ac:dyDescent="0.35">
      <c r="A147" s="48">
        <v>30727.125999999997</v>
      </c>
      <c r="B147" s="48">
        <v>11832.805577696799</v>
      </c>
      <c r="C147" s="49">
        <v>7541.326</v>
      </c>
      <c r="D147" s="49">
        <v>1455.3989030504879</v>
      </c>
      <c r="E147" s="49">
        <v>5000</v>
      </c>
      <c r="F147" s="49">
        <v>6779.6610170000004</v>
      </c>
      <c r="G147" s="49">
        <v>0</v>
      </c>
      <c r="H147" s="49">
        <v>818</v>
      </c>
      <c r="I147" s="49">
        <v>330</v>
      </c>
    </row>
    <row r="148" spans="1:9" x14ac:dyDescent="0.35">
      <c r="A148" s="48">
        <v>29460.581999999999</v>
      </c>
      <c r="B148" s="48">
        <v>11832.805577696799</v>
      </c>
      <c r="C148" s="49">
        <v>7143.91</v>
      </c>
      <c r="D148" s="49">
        <v>1455.3989030504879</v>
      </c>
      <c r="E148" s="49">
        <v>5000</v>
      </c>
      <c r="F148" s="49">
        <v>6779.6610170000004</v>
      </c>
      <c r="G148" s="49">
        <v>0</v>
      </c>
      <c r="H148" s="49">
        <v>818</v>
      </c>
      <c r="I148" s="49">
        <v>330</v>
      </c>
    </row>
    <row r="149" spans="1:9" x14ac:dyDescent="0.35">
      <c r="A149" s="48">
        <v>28758.135999999999</v>
      </c>
      <c r="B149" s="48">
        <v>11832.805577696799</v>
      </c>
      <c r="C149" s="49">
        <v>6954.5510000000004</v>
      </c>
      <c r="D149" s="49">
        <v>1455.3989030504879</v>
      </c>
      <c r="E149" s="49">
        <v>5000</v>
      </c>
      <c r="F149" s="49">
        <v>6779.6610170000004</v>
      </c>
      <c r="G149" s="49">
        <v>0</v>
      </c>
      <c r="H149" s="49">
        <v>818</v>
      </c>
      <c r="I149" s="49">
        <v>330</v>
      </c>
    </row>
    <row r="150" spans="1:9" x14ac:dyDescent="0.35">
      <c r="A150" s="48">
        <v>28585.671000000002</v>
      </c>
      <c r="B150" s="48">
        <v>11864.497845252949</v>
      </c>
      <c r="C150" s="49">
        <v>6894.78</v>
      </c>
      <c r="D150" s="49">
        <v>1455.3989030504879</v>
      </c>
      <c r="E150" s="49">
        <v>5000</v>
      </c>
      <c r="F150" s="49">
        <v>6779.6610170000004</v>
      </c>
      <c r="G150" s="49">
        <v>0</v>
      </c>
      <c r="H150" s="49">
        <v>818</v>
      </c>
      <c r="I150" s="49">
        <v>330</v>
      </c>
    </row>
    <row r="151" spans="1:9" x14ac:dyDescent="0.35">
      <c r="A151" s="48">
        <v>28783.722000000002</v>
      </c>
      <c r="B151" s="48">
        <v>11896.190112809099</v>
      </c>
      <c r="C151" s="49">
        <v>6929.8019999999997</v>
      </c>
      <c r="D151" s="49">
        <v>1455.3989030504879</v>
      </c>
      <c r="E151" s="49">
        <v>5000</v>
      </c>
      <c r="F151" s="49">
        <v>6779.6610170000004</v>
      </c>
      <c r="G151" s="49">
        <v>0</v>
      </c>
      <c r="H151" s="49">
        <v>818</v>
      </c>
      <c r="I151" s="49">
        <v>330</v>
      </c>
    </row>
    <row r="152" spans="1:9" x14ac:dyDescent="0.35">
      <c r="A152" s="48">
        <v>29674.134999999998</v>
      </c>
      <c r="B152" s="48">
        <v>11912.036246587169</v>
      </c>
      <c r="C152" s="49">
        <v>6996.299</v>
      </c>
      <c r="D152" s="49">
        <v>1455.3989030504879</v>
      </c>
      <c r="E152" s="49">
        <v>5000</v>
      </c>
      <c r="F152" s="49">
        <v>6779.6610170000004</v>
      </c>
      <c r="G152" s="49">
        <v>0</v>
      </c>
      <c r="H152" s="49">
        <v>818</v>
      </c>
      <c r="I152" s="49">
        <v>330</v>
      </c>
    </row>
    <row r="153" spans="1:9" x14ac:dyDescent="0.35">
      <c r="A153" s="48">
        <v>31319.714</v>
      </c>
      <c r="B153" s="48">
        <v>11896.190112809099</v>
      </c>
      <c r="C153" s="49">
        <v>6963.8149999999996</v>
      </c>
      <c r="D153" s="49">
        <v>1455.3989030504879</v>
      </c>
      <c r="E153" s="49">
        <v>5000</v>
      </c>
      <c r="F153" s="49">
        <v>6779.6610170000004</v>
      </c>
      <c r="G153" s="49">
        <v>0</v>
      </c>
      <c r="H153" s="49">
        <v>818</v>
      </c>
      <c r="I153" s="49">
        <v>330</v>
      </c>
    </row>
    <row r="154" spans="1:9" x14ac:dyDescent="0.35">
      <c r="A154" s="48">
        <v>33635.925999999999</v>
      </c>
      <c r="B154" s="48">
        <v>11896.190112809099</v>
      </c>
      <c r="C154" s="49">
        <v>7009.6719999999996</v>
      </c>
      <c r="D154" s="49">
        <v>1455.3989030504879</v>
      </c>
      <c r="E154" s="49">
        <v>5000</v>
      </c>
      <c r="F154" s="49">
        <v>6779.6610170000004</v>
      </c>
      <c r="G154" s="49">
        <v>0</v>
      </c>
      <c r="H154" s="49">
        <v>818</v>
      </c>
      <c r="I154" s="49">
        <v>330</v>
      </c>
    </row>
    <row r="155" spans="1:9" x14ac:dyDescent="0.35">
      <c r="A155" s="48">
        <v>36023.576000000001</v>
      </c>
      <c r="B155" s="48">
        <v>11896.190112809099</v>
      </c>
      <c r="C155" s="49">
        <v>7404.299</v>
      </c>
      <c r="D155" s="49">
        <v>1455.3989030504879</v>
      </c>
      <c r="E155" s="49">
        <v>5000</v>
      </c>
      <c r="F155" s="49">
        <v>6779.6610170000004</v>
      </c>
      <c r="G155" s="49">
        <v>0</v>
      </c>
      <c r="H155" s="49">
        <v>818</v>
      </c>
      <c r="I155" s="49">
        <v>330</v>
      </c>
    </row>
    <row r="156" spans="1:9" x14ac:dyDescent="0.35">
      <c r="A156" s="48">
        <v>36804.972999999998</v>
      </c>
      <c r="B156" s="48">
        <v>11896.190112809099</v>
      </c>
      <c r="C156" s="49">
        <v>7957.683</v>
      </c>
      <c r="D156" s="49">
        <v>1639.11874024391</v>
      </c>
      <c r="E156" s="49">
        <v>5000</v>
      </c>
      <c r="F156" s="49">
        <v>6779.6610170000004</v>
      </c>
      <c r="G156" s="49">
        <v>0</v>
      </c>
      <c r="H156" s="49">
        <v>818</v>
      </c>
      <c r="I156" s="49">
        <v>330</v>
      </c>
    </row>
    <row r="157" spans="1:9" x14ac:dyDescent="0.35">
      <c r="A157" s="48">
        <v>37638.228000000003</v>
      </c>
      <c r="B157" s="48">
        <v>11912.036246587169</v>
      </c>
      <c r="C157" s="49">
        <v>8638.7980000000007</v>
      </c>
      <c r="D157" s="49">
        <v>1639.11874024391</v>
      </c>
      <c r="E157" s="49">
        <v>5000</v>
      </c>
      <c r="F157" s="49">
        <v>6779.6610170000004</v>
      </c>
      <c r="G157" s="49">
        <v>0</v>
      </c>
      <c r="H157" s="49">
        <v>818</v>
      </c>
      <c r="I157" s="49">
        <v>330</v>
      </c>
    </row>
    <row r="158" spans="1:9" x14ac:dyDescent="0.35">
      <c r="A158" s="48">
        <v>38535.195</v>
      </c>
      <c r="B158" s="48">
        <v>11896.190112809099</v>
      </c>
      <c r="C158" s="49">
        <v>9593.99</v>
      </c>
      <c r="D158" s="49">
        <v>1639.11874024391</v>
      </c>
      <c r="E158" s="49">
        <v>5000</v>
      </c>
      <c r="F158" s="49">
        <v>6779.6610170000004</v>
      </c>
      <c r="G158" s="49">
        <v>0</v>
      </c>
      <c r="H158" s="49">
        <v>818</v>
      </c>
      <c r="I158" s="49">
        <v>330</v>
      </c>
    </row>
    <row r="159" spans="1:9" x14ac:dyDescent="0.35">
      <c r="A159" s="48">
        <v>38968.957000000002</v>
      </c>
      <c r="B159" s="48">
        <v>11896.190112809099</v>
      </c>
      <c r="C159" s="49">
        <v>9738.6779999999999</v>
      </c>
      <c r="D159" s="49">
        <v>1639.11874024391</v>
      </c>
      <c r="E159" s="49">
        <v>5000</v>
      </c>
      <c r="F159" s="49">
        <v>6779.6610170000004</v>
      </c>
      <c r="G159" s="49">
        <v>0</v>
      </c>
      <c r="H159" s="49">
        <v>818</v>
      </c>
      <c r="I159" s="49">
        <v>330</v>
      </c>
    </row>
    <row r="160" spans="1:9" x14ac:dyDescent="0.35">
      <c r="A160" s="48">
        <v>38089.428</v>
      </c>
      <c r="B160" s="48">
        <v>11912.036246587169</v>
      </c>
      <c r="C160" s="49">
        <v>9656.4390000000003</v>
      </c>
      <c r="D160" s="49">
        <v>1639.11874024391</v>
      </c>
      <c r="E160" s="49">
        <v>5000</v>
      </c>
      <c r="F160" s="49">
        <v>6779.6610170000004</v>
      </c>
      <c r="G160" s="49">
        <v>0</v>
      </c>
      <c r="H160" s="49">
        <v>818</v>
      </c>
      <c r="I160" s="49">
        <v>330</v>
      </c>
    </row>
    <row r="161" spans="1:9" x14ac:dyDescent="0.35">
      <c r="A161" s="48">
        <v>37514.300000000003</v>
      </c>
      <c r="B161" s="48">
        <v>11896.190112809099</v>
      </c>
      <c r="C161" s="49">
        <v>9420.32</v>
      </c>
      <c r="D161" s="49">
        <v>1455.3989030504879</v>
      </c>
      <c r="E161" s="49">
        <v>5000</v>
      </c>
      <c r="F161" s="49">
        <v>6779.6610170000004</v>
      </c>
      <c r="G161" s="49">
        <v>0</v>
      </c>
      <c r="H161" s="49">
        <v>818</v>
      </c>
      <c r="I161" s="49">
        <v>330</v>
      </c>
    </row>
    <row r="162" spans="1:9" x14ac:dyDescent="0.35">
      <c r="A162" s="48">
        <v>37580.498999999996</v>
      </c>
      <c r="B162" s="48">
        <v>11896.190112809099</v>
      </c>
      <c r="C162" s="49">
        <v>9212.3780000000006</v>
      </c>
      <c r="D162" s="49">
        <v>1455.3989030504879</v>
      </c>
      <c r="E162" s="49">
        <v>5000</v>
      </c>
      <c r="F162" s="49">
        <v>6779.6610170000004</v>
      </c>
      <c r="G162" s="49">
        <v>0</v>
      </c>
      <c r="H162" s="49">
        <v>818</v>
      </c>
      <c r="I162" s="49">
        <v>330</v>
      </c>
    </row>
    <row r="163" spans="1:9" x14ac:dyDescent="0.35">
      <c r="A163" s="48">
        <v>39518.828999999998</v>
      </c>
      <c r="B163" s="48">
        <v>11896.190112809099</v>
      </c>
      <c r="C163" s="49">
        <v>9355.2849999999999</v>
      </c>
      <c r="D163" s="49">
        <v>1455.3989030504879</v>
      </c>
      <c r="E163" s="49">
        <v>5000</v>
      </c>
      <c r="F163" s="49">
        <v>6779.6610170000004</v>
      </c>
      <c r="G163" s="49">
        <v>0</v>
      </c>
      <c r="H163" s="49">
        <v>818</v>
      </c>
      <c r="I163" s="49">
        <v>330</v>
      </c>
    </row>
    <row r="164" spans="1:9" x14ac:dyDescent="0.35">
      <c r="A164" s="48">
        <v>40568.229999999996</v>
      </c>
      <c r="B164" s="48">
        <v>11912.036246587169</v>
      </c>
      <c r="C164" s="49">
        <v>9407.5650000000005</v>
      </c>
      <c r="D164" s="49">
        <v>1455.3989030504879</v>
      </c>
      <c r="E164" s="49">
        <v>5000</v>
      </c>
      <c r="F164" s="49">
        <v>6779.6610170000004</v>
      </c>
      <c r="G164" s="49">
        <v>0</v>
      </c>
      <c r="H164" s="49">
        <v>818</v>
      </c>
      <c r="I164" s="49">
        <v>330</v>
      </c>
    </row>
    <row r="165" spans="1:9" x14ac:dyDescent="0.35">
      <c r="A165" s="48">
        <v>40863.873</v>
      </c>
      <c r="B165" s="48">
        <v>11896.190112809099</v>
      </c>
      <c r="C165" s="49">
        <v>9485.7279999999992</v>
      </c>
      <c r="D165" s="49">
        <v>1455.3989030504879</v>
      </c>
      <c r="E165" s="49">
        <v>5000</v>
      </c>
      <c r="F165" s="49">
        <v>6779.6610170000004</v>
      </c>
      <c r="G165" s="49">
        <v>0</v>
      </c>
      <c r="H165" s="49">
        <v>818</v>
      </c>
      <c r="I165" s="49">
        <v>330</v>
      </c>
    </row>
    <row r="166" spans="1:9" x14ac:dyDescent="0.35">
      <c r="A166" s="48">
        <v>40529.981</v>
      </c>
      <c r="B166" s="48">
        <v>11880.343979031019</v>
      </c>
      <c r="C166" s="49">
        <v>9216.625</v>
      </c>
      <c r="D166" s="49">
        <v>1455.3989030504879</v>
      </c>
      <c r="E166" s="49">
        <v>5000</v>
      </c>
      <c r="F166" s="49">
        <v>6779.6610170000004</v>
      </c>
      <c r="G166" s="49">
        <v>0</v>
      </c>
      <c r="H166" s="49">
        <v>818</v>
      </c>
      <c r="I166" s="49">
        <v>330</v>
      </c>
    </row>
    <row r="167" spans="1:9" x14ac:dyDescent="0.35">
      <c r="A167" s="48">
        <v>39225.506000000001</v>
      </c>
      <c r="B167" s="48">
        <v>11864.497845252949</v>
      </c>
      <c r="C167" s="49">
        <v>8756.384</v>
      </c>
      <c r="D167" s="49">
        <v>1455.3989030504879</v>
      </c>
      <c r="E167" s="49">
        <v>5000</v>
      </c>
      <c r="F167" s="49">
        <v>6779.6610170000004</v>
      </c>
      <c r="G167" s="49">
        <v>0</v>
      </c>
      <c r="H167" s="49">
        <v>818</v>
      </c>
      <c r="I167" s="49">
        <v>330</v>
      </c>
    </row>
    <row r="168" spans="1:9" x14ac:dyDescent="0.35">
      <c r="A168" s="48">
        <v>37244.282999999996</v>
      </c>
      <c r="B168" s="48">
        <v>11832.805577696799</v>
      </c>
      <c r="C168" s="49">
        <v>8761.81</v>
      </c>
      <c r="D168" s="49">
        <v>1455.3989030504879</v>
      </c>
      <c r="E168" s="49">
        <v>5000</v>
      </c>
      <c r="F168" s="49">
        <v>6779.6610170000004</v>
      </c>
      <c r="G168" s="49">
        <v>0</v>
      </c>
      <c r="H168" s="49">
        <v>818</v>
      </c>
      <c r="I168" s="49">
        <v>330</v>
      </c>
    </row>
    <row r="169" spans="1:9" x14ac:dyDescent="0.35">
      <c r="A169" s="48">
        <v>34857.546000000002</v>
      </c>
      <c r="B169" s="48">
        <v>11832.805577696799</v>
      </c>
      <c r="C169" s="49">
        <v>8468.3739999999998</v>
      </c>
      <c r="D169" s="49">
        <v>1455.3989030504879</v>
      </c>
      <c r="E169" s="49">
        <v>5000</v>
      </c>
      <c r="F169" s="49">
        <v>6779.6610170000004</v>
      </c>
      <c r="G169" s="49">
        <v>0</v>
      </c>
      <c r="H169" s="49">
        <v>818</v>
      </c>
      <c r="I169" s="49">
        <v>330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A338"/>
  <sheetViews>
    <sheetView zoomScale="88" zoomScaleNormal="85" workbookViewId="0">
      <selection activeCell="F1" sqref="F1:F1048576"/>
    </sheetView>
  </sheetViews>
  <sheetFormatPr baseColWidth="10" defaultRowHeight="14.5" x14ac:dyDescent="0.35"/>
  <cols>
    <col min="1" max="1" width="17.7265625" style="37" bestFit="1" customWidth="1"/>
    <col min="2" max="2" width="18.90625" style="37" bestFit="1" customWidth="1"/>
    <col min="3" max="3" width="14.6328125" style="37" bestFit="1" customWidth="1"/>
    <col min="4" max="4" width="17.90625" style="37" bestFit="1" customWidth="1"/>
    <col min="5" max="5" width="14.1796875" style="37" bestFit="1" customWidth="1"/>
    <col min="6" max="6" width="16.7265625" style="37" bestFit="1" customWidth="1"/>
    <col min="7" max="7" width="15.54296875" style="37" bestFit="1" customWidth="1"/>
    <col min="8" max="8" width="18" style="37" bestFit="1" customWidth="1"/>
    <col min="9" max="9" width="20.7265625" style="37" bestFit="1" customWidth="1"/>
    <col min="10" max="10" width="20.6328125" style="37" bestFit="1" customWidth="1"/>
    <col min="11" max="11" width="17.7265625" style="37" bestFit="1" customWidth="1"/>
    <col min="12" max="12" width="22.6328125" style="37" bestFit="1" customWidth="1"/>
    <col min="13" max="13" width="22.81640625" style="37" bestFit="1" customWidth="1"/>
    <col min="14" max="14" width="17.90625" style="37" bestFit="1" customWidth="1"/>
    <col min="15" max="15" width="14.1796875" style="37" bestFit="1" customWidth="1"/>
    <col min="16" max="16" width="16.54296875" style="37" bestFit="1" customWidth="1"/>
    <col min="17" max="17" width="15.36328125" style="37" bestFit="1" customWidth="1"/>
    <col min="18" max="18" width="18" style="37" bestFit="1" customWidth="1"/>
    <col min="19" max="19" width="20.7265625" style="37" bestFit="1" customWidth="1"/>
    <col min="20" max="20" width="20.6328125" style="37" bestFit="1" customWidth="1"/>
    <col min="21" max="21" width="23.6328125" style="37" bestFit="1" customWidth="1"/>
    <col min="22" max="22" width="23.08984375" style="37" bestFit="1" customWidth="1"/>
    <col min="23" max="24" width="15.453125" style="37" bestFit="1" customWidth="1"/>
    <col min="25" max="25" width="18.453125" style="37" bestFit="1" customWidth="1"/>
    <col min="26" max="26" width="13.81640625" style="37" bestFit="1" customWidth="1"/>
    <col min="27" max="27" width="15.6328125" style="37" bestFit="1" customWidth="1"/>
    <col min="28" max="16384" width="10.90625" style="37"/>
  </cols>
  <sheetData>
    <row r="1" spans="1:27" s="47" customFormat="1" x14ac:dyDescent="0.35">
      <c r="A1" s="50" t="s">
        <v>136</v>
      </c>
      <c r="B1" s="50" t="s">
        <v>135</v>
      </c>
      <c r="C1" s="50" t="s">
        <v>62</v>
      </c>
      <c r="D1" s="50" t="s">
        <v>169</v>
      </c>
      <c r="E1" s="50" t="s">
        <v>292</v>
      </c>
      <c r="F1" s="50" t="s">
        <v>302</v>
      </c>
      <c r="G1" s="50" t="s">
        <v>301</v>
      </c>
      <c r="H1" s="50" t="s">
        <v>308</v>
      </c>
      <c r="I1" s="50" t="s">
        <v>127</v>
      </c>
      <c r="J1" s="50" t="s">
        <v>126</v>
      </c>
      <c r="K1" s="51" t="s">
        <v>149</v>
      </c>
      <c r="L1" s="51" t="s">
        <v>159</v>
      </c>
      <c r="M1" s="51" t="s">
        <v>160</v>
      </c>
      <c r="N1" s="51" t="s">
        <v>170</v>
      </c>
      <c r="O1" s="51" t="s">
        <v>293</v>
      </c>
      <c r="P1" s="51" t="s">
        <v>303</v>
      </c>
      <c r="Q1" s="51" t="s">
        <v>304</v>
      </c>
      <c r="R1" s="51" t="s">
        <v>309</v>
      </c>
      <c r="S1" s="51" t="s">
        <v>124</v>
      </c>
      <c r="T1" s="45" t="s">
        <v>125</v>
      </c>
      <c r="U1" s="52" t="s">
        <v>134</v>
      </c>
      <c r="V1" s="52" t="s">
        <v>133</v>
      </c>
      <c r="W1" s="53" t="s">
        <v>117</v>
      </c>
      <c r="X1" s="53" t="s">
        <v>123</v>
      </c>
      <c r="Y1" s="53" t="s">
        <v>119</v>
      </c>
      <c r="Z1" s="53" t="s">
        <v>129</v>
      </c>
      <c r="AA1" s="53" t="s">
        <v>128</v>
      </c>
    </row>
    <row r="2" spans="1:27" s="48" customFormat="1" x14ac:dyDescent="0.35">
      <c r="A2" s="54">
        <v>0</v>
      </c>
      <c r="B2" s="54">
        <v>0</v>
      </c>
      <c r="C2" s="54">
        <v>0.27513821599999999</v>
      </c>
      <c r="D2" s="54">
        <v>0.2690001867898939</v>
      </c>
      <c r="E2" s="54">
        <v>0</v>
      </c>
      <c r="F2" s="54">
        <v>0.23203283156840868</v>
      </c>
      <c r="G2" s="54">
        <v>0</v>
      </c>
      <c r="H2" s="54">
        <v>0.68245451314546257</v>
      </c>
      <c r="I2" s="54">
        <v>0.32071055214723926</v>
      </c>
      <c r="J2" s="55">
        <v>0</v>
      </c>
      <c r="K2" s="54">
        <v>0</v>
      </c>
      <c r="L2" s="54">
        <v>0.11900000000000001</v>
      </c>
      <c r="M2" s="54">
        <v>0.13200000000000001</v>
      </c>
      <c r="N2" s="54">
        <v>0.53761169881767268</v>
      </c>
      <c r="O2" s="54">
        <v>0</v>
      </c>
      <c r="P2" s="54">
        <v>1</v>
      </c>
      <c r="Q2" s="54">
        <v>0</v>
      </c>
      <c r="R2" s="54">
        <v>0.82634348588741824</v>
      </c>
      <c r="S2" s="54">
        <v>0.10459029529603799</v>
      </c>
      <c r="T2" s="48">
        <v>0</v>
      </c>
      <c r="U2" s="56">
        <v>0.77362125528354786</v>
      </c>
      <c r="V2" s="56">
        <f>1</f>
        <v>1</v>
      </c>
      <c r="W2" s="57">
        <v>1</v>
      </c>
      <c r="X2" s="58">
        <v>0</v>
      </c>
      <c r="Y2" s="58">
        <v>1</v>
      </c>
      <c r="Z2" s="58">
        <v>1240</v>
      </c>
      <c r="AA2" s="58">
        <v>330</v>
      </c>
    </row>
    <row r="3" spans="1:27" s="48" customFormat="1" x14ac:dyDescent="0.35">
      <c r="A3" s="54">
        <v>0</v>
      </c>
      <c r="B3" s="54">
        <v>0</v>
      </c>
      <c r="C3" s="54">
        <v>0.29443187700000001</v>
      </c>
      <c r="D3" s="54">
        <v>0.26699991066570294</v>
      </c>
      <c r="E3" s="54">
        <v>0</v>
      </c>
      <c r="F3" s="54">
        <v>0.23203283156840868</v>
      </c>
      <c r="G3" s="54">
        <v>0.46792369100538633</v>
      </c>
      <c r="H3" s="54">
        <v>0.68245451314546257</v>
      </c>
      <c r="I3" s="54">
        <v>0.34319990797546007</v>
      </c>
      <c r="J3" s="55">
        <v>0</v>
      </c>
      <c r="K3" s="54">
        <v>0</v>
      </c>
      <c r="L3" s="54">
        <v>0.125</v>
      </c>
      <c r="M3" s="54">
        <v>0.11799999999999999</v>
      </c>
      <c r="N3" s="54">
        <v>0.53382202862476658</v>
      </c>
      <c r="O3" s="54">
        <v>0</v>
      </c>
      <c r="P3" s="54">
        <v>1</v>
      </c>
      <c r="Q3" s="54">
        <v>0</v>
      </c>
      <c r="R3" s="54">
        <v>0.82634348588741824</v>
      </c>
      <c r="S3" s="54">
        <v>9.6099792254043623E-2</v>
      </c>
      <c r="T3" s="48">
        <v>0</v>
      </c>
      <c r="U3" s="56">
        <v>0.77362125528354786</v>
      </c>
      <c r="V3" s="56">
        <f>1</f>
        <v>1</v>
      </c>
      <c r="W3" s="57">
        <v>1</v>
      </c>
      <c r="X3" s="58">
        <v>0</v>
      </c>
      <c r="Y3" s="58">
        <v>1</v>
      </c>
      <c r="Z3" s="58">
        <v>1240</v>
      </c>
      <c r="AA3" s="58">
        <v>330</v>
      </c>
    </row>
    <row r="4" spans="1:27" s="48" customFormat="1" x14ac:dyDescent="0.35">
      <c r="A4" s="54">
        <v>0</v>
      </c>
      <c r="B4" s="54">
        <v>0</v>
      </c>
      <c r="C4" s="54">
        <v>0.29945537999999999</v>
      </c>
      <c r="D4" s="54">
        <v>0.26500004060649868</v>
      </c>
      <c r="E4" s="54">
        <v>0</v>
      </c>
      <c r="F4" s="54">
        <v>0.23203283156840868</v>
      </c>
      <c r="G4" s="54">
        <v>0.17940284101570858</v>
      </c>
      <c r="H4" s="54">
        <v>0.68245451314546257</v>
      </c>
      <c r="I4" s="54">
        <v>0.34905549079754605</v>
      </c>
      <c r="J4" s="55">
        <v>0</v>
      </c>
      <c r="K4" s="54">
        <v>0</v>
      </c>
      <c r="L4" s="54">
        <v>0.13699999999999998</v>
      </c>
      <c r="M4" s="54">
        <v>0.11</v>
      </c>
      <c r="N4" s="54">
        <v>0.53300435594275042</v>
      </c>
      <c r="O4" s="54">
        <v>0</v>
      </c>
      <c r="P4" s="54">
        <v>1</v>
      </c>
      <c r="Q4" s="54">
        <v>0</v>
      </c>
      <c r="R4" s="54">
        <v>0.82634348588741824</v>
      </c>
      <c r="S4" s="54">
        <v>9.047121234604541E-2</v>
      </c>
      <c r="T4" s="48">
        <v>0</v>
      </c>
      <c r="U4" s="56">
        <v>0.77362125528354786</v>
      </c>
      <c r="V4" s="56">
        <f>1</f>
        <v>1</v>
      </c>
      <c r="W4" s="57">
        <v>1</v>
      </c>
      <c r="X4" s="58">
        <v>0</v>
      </c>
      <c r="Y4" s="58">
        <v>1</v>
      </c>
      <c r="Z4" s="58">
        <v>1240</v>
      </c>
      <c r="AA4" s="58">
        <v>330</v>
      </c>
    </row>
    <row r="5" spans="1:27" s="48" customFormat="1" x14ac:dyDescent="0.35">
      <c r="A5" s="54">
        <v>0</v>
      </c>
      <c r="B5" s="54">
        <v>0</v>
      </c>
      <c r="C5" s="54">
        <v>0.30697123399999998</v>
      </c>
      <c r="D5" s="54">
        <v>0.2749997969675067</v>
      </c>
      <c r="E5" s="54">
        <v>0</v>
      </c>
      <c r="F5" s="54">
        <v>0.23203283156840868</v>
      </c>
      <c r="G5" s="54">
        <v>0.11157776784490363</v>
      </c>
      <c r="H5" s="54">
        <v>0.68245451314546257</v>
      </c>
      <c r="I5" s="54">
        <v>0.35781622699386501</v>
      </c>
      <c r="J5" s="55">
        <v>0</v>
      </c>
      <c r="K5" s="54">
        <v>0</v>
      </c>
      <c r="L5" s="54">
        <v>0.153</v>
      </c>
      <c r="M5" s="54">
        <v>0.105</v>
      </c>
      <c r="N5" s="54">
        <v>0.53906596141879282</v>
      </c>
      <c r="O5" s="54">
        <v>0</v>
      </c>
      <c r="P5" s="54">
        <v>1</v>
      </c>
      <c r="Q5" s="54">
        <v>0</v>
      </c>
      <c r="R5" s="54">
        <v>0.82634348588741824</v>
      </c>
      <c r="S5" s="54">
        <v>8.5199584508087248E-2</v>
      </c>
      <c r="T5" s="48">
        <v>0</v>
      </c>
      <c r="U5" s="56">
        <v>0.77362125528354786</v>
      </c>
      <c r="V5" s="56">
        <f>1</f>
        <v>1</v>
      </c>
      <c r="W5" s="57">
        <v>1</v>
      </c>
      <c r="X5" s="58">
        <v>0</v>
      </c>
      <c r="Y5" s="58">
        <v>1</v>
      </c>
      <c r="Z5" s="58">
        <v>1240</v>
      </c>
      <c r="AA5" s="58">
        <v>330</v>
      </c>
    </row>
    <row r="6" spans="1:27" s="48" customFormat="1" x14ac:dyDescent="0.35">
      <c r="A6" s="54">
        <v>0</v>
      </c>
      <c r="B6" s="54">
        <v>0</v>
      </c>
      <c r="C6" s="54">
        <v>0.32181367900000002</v>
      </c>
      <c r="D6" s="54">
        <v>0.27899994315090187</v>
      </c>
      <c r="E6" s="54">
        <v>0</v>
      </c>
      <c r="F6" s="54">
        <v>0.23203283156840868</v>
      </c>
      <c r="G6" s="54">
        <v>0.5285221709475818</v>
      </c>
      <c r="H6" s="54">
        <v>0.68245451314546257</v>
      </c>
      <c r="I6" s="54">
        <v>0.37511708588957055</v>
      </c>
      <c r="J6" s="55">
        <v>0</v>
      </c>
      <c r="K6" s="54">
        <v>0</v>
      </c>
      <c r="L6" s="54">
        <v>0.16699999999999998</v>
      </c>
      <c r="M6" s="54">
        <v>0.10099999999999999</v>
      </c>
      <c r="N6" s="54">
        <v>0.54218046048537649</v>
      </c>
      <c r="O6" s="54">
        <v>0</v>
      </c>
      <c r="P6" s="54">
        <v>1</v>
      </c>
      <c r="Q6" s="54">
        <v>0</v>
      </c>
      <c r="R6" s="54">
        <v>0.82634348588741824</v>
      </c>
      <c r="S6" s="54">
        <v>8.1436637483306137E-2</v>
      </c>
      <c r="T6" s="48">
        <v>0</v>
      </c>
      <c r="U6" s="56">
        <v>0.77362125528354786</v>
      </c>
      <c r="V6" s="56">
        <f>1</f>
        <v>1</v>
      </c>
      <c r="W6" s="57">
        <v>1</v>
      </c>
      <c r="X6" s="58">
        <v>0</v>
      </c>
      <c r="Y6" s="58">
        <v>1</v>
      </c>
      <c r="Z6" s="58">
        <v>1240</v>
      </c>
      <c r="AA6" s="58">
        <v>330</v>
      </c>
    </row>
    <row r="7" spans="1:27" s="48" customFormat="1" x14ac:dyDescent="0.35">
      <c r="A7" s="54">
        <v>0</v>
      </c>
      <c r="B7" s="54">
        <v>0</v>
      </c>
      <c r="C7" s="54">
        <v>0.323743155</v>
      </c>
      <c r="D7" s="54">
        <v>0.2909999756361008</v>
      </c>
      <c r="E7" s="54">
        <v>0</v>
      </c>
      <c r="F7" s="54">
        <v>0.23203283156840868</v>
      </c>
      <c r="G7" s="54">
        <v>0.78248972467766453</v>
      </c>
      <c r="H7" s="54">
        <v>0.68245451314546257</v>
      </c>
      <c r="I7" s="54">
        <v>0.37736613496932514</v>
      </c>
      <c r="J7" s="55">
        <v>0</v>
      </c>
      <c r="K7" s="54">
        <v>0</v>
      </c>
      <c r="L7" s="54">
        <v>0.17800000000000002</v>
      </c>
      <c r="M7" s="54">
        <v>9.7000000000000003E-2</v>
      </c>
      <c r="N7" s="54">
        <v>0.55440074673304296</v>
      </c>
      <c r="O7" s="54">
        <v>0</v>
      </c>
      <c r="P7" s="54">
        <v>1</v>
      </c>
      <c r="Q7" s="54">
        <v>0</v>
      </c>
      <c r="R7" s="54">
        <v>0.82634348588741824</v>
      </c>
      <c r="S7" s="54">
        <v>7.9330835435524563E-2</v>
      </c>
      <c r="T7" s="48">
        <v>0</v>
      </c>
      <c r="U7" s="56">
        <v>0.77362125528354786</v>
      </c>
      <c r="V7" s="56">
        <f>1</f>
        <v>1</v>
      </c>
      <c r="W7" s="57">
        <v>1</v>
      </c>
      <c r="X7" s="58">
        <v>0</v>
      </c>
      <c r="Y7" s="58">
        <v>1</v>
      </c>
      <c r="Z7" s="58">
        <v>1240</v>
      </c>
      <c r="AA7" s="58">
        <v>330</v>
      </c>
    </row>
    <row r="8" spans="1:27" s="48" customFormat="1" x14ac:dyDescent="0.35">
      <c r="A8" s="54">
        <v>0</v>
      </c>
      <c r="B8" s="54">
        <v>0</v>
      </c>
      <c r="C8" s="54">
        <v>0.30273460200000002</v>
      </c>
      <c r="D8" s="54">
        <v>0.32799980508880644</v>
      </c>
      <c r="E8" s="54">
        <v>0</v>
      </c>
      <c r="F8" s="54">
        <v>0.23203283156840868</v>
      </c>
      <c r="G8" s="54">
        <v>0.65290810294690604</v>
      </c>
      <c r="H8" s="54">
        <v>0.68245451314546257</v>
      </c>
      <c r="I8" s="54">
        <v>0.35287785276073619</v>
      </c>
      <c r="J8" s="55">
        <v>0</v>
      </c>
      <c r="K8" s="54">
        <v>0</v>
      </c>
      <c r="L8" s="54">
        <v>0.183</v>
      </c>
      <c r="M8" s="54">
        <v>9.1999999999999998E-2</v>
      </c>
      <c r="N8" s="54">
        <v>0.56481269446172988</v>
      </c>
      <c r="O8" s="54">
        <v>0</v>
      </c>
      <c r="P8" s="54">
        <v>1</v>
      </c>
      <c r="Q8" s="54">
        <v>0</v>
      </c>
      <c r="R8" s="54">
        <v>0.82634348588741824</v>
      </c>
      <c r="S8" s="54">
        <v>7.6747291883068711E-2</v>
      </c>
      <c r="T8" s="48">
        <v>0</v>
      </c>
      <c r="U8" s="56">
        <v>0.77362125528354786</v>
      </c>
      <c r="V8" s="56">
        <f>1</f>
        <v>1</v>
      </c>
      <c r="W8" s="57">
        <v>1</v>
      </c>
      <c r="X8" s="58">
        <v>0</v>
      </c>
      <c r="Y8" s="58">
        <v>1</v>
      </c>
      <c r="Z8" s="58">
        <v>1240</v>
      </c>
      <c r="AA8" s="58">
        <v>330</v>
      </c>
    </row>
    <row r="9" spans="1:27" s="48" customFormat="1" x14ac:dyDescent="0.35">
      <c r="A9" s="54">
        <v>0</v>
      </c>
      <c r="B9" s="54">
        <v>0</v>
      </c>
      <c r="C9" s="54">
        <v>0.24533328800000001</v>
      </c>
      <c r="D9" s="54">
        <v>0.35799988630180374</v>
      </c>
      <c r="E9" s="54">
        <v>0</v>
      </c>
      <c r="F9" s="54">
        <v>0.23203283156840868</v>
      </c>
      <c r="G9" s="54">
        <v>0</v>
      </c>
      <c r="H9" s="54">
        <v>0.68245451314546257</v>
      </c>
      <c r="I9" s="54">
        <v>0.28596889570552148</v>
      </c>
      <c r="J9" s="55">
        <v>0</v>
      </c>
      <c r="K9" s="54">
        <v>0</v>
      </c>
      <c r="L9" s="54">
        <v>0.183</v>
      </c>
      <c r="M9" s="54">
        <v>9.0999999999999998E-2</v>
      </c>
      <c r="N9" s="54">
        <v>0.56885127566894833</v>
      </c>
      <c r="O9" s="54">
        <v>0</v>
      </c>
      <c r="P9" s="54">
        <v>1</v>
      </c>
      <c r="Q9" s="54">
        <v>0</v>
      </c>
      <c r="R9" s="54">
        <v>0.82634348588741824</v>
      </c>
      <c r="S9" s="54">
        <v>7.7074862739278827E-2</v>
      </c>
      <c r="T9" s="48">
        <v>0</v>
      </c>
      <c r="U9" s="56">
        <v>0.77362125528354786</v>
      </c>
      <c r="V9" s="56">
        <f>1</f>
        <v>1</v>
      </c>
      <c r="W9" s="57">
        <v>1</v>
      </c>
      <c r="X9" s="58">
        <v>0</v>
      </c>
      <c r="Y9" s="58">
        <v>1</v>
      </c>
      <c r="Z9" s="58">
        <v>1240</v>
      </c>
      <c r="AA9" s="58">
        <v>330</v>
      </c>
    </row>
    <row r="10" spans="1:27" s="48" customFormat="1" x14ac:dyDescent="0.35">
      <c r="A10" s="54">
        <v>0</v>
      </c>
      <c r="B10" s="54">
        <v>0</v>
      </c>
      <c r="C10" s="54">
        <v>0.19145563500000001</v>
      </c>
      <c r="D10" s="54">
        <v>0.37100005684909815</v>
      </c>
      <c r="E10" s="54">
        <v>0</v>
      </c>
      <c r="F10" s="54">
        <v>0.23203283156840868</v>
      </c>
      <c r="G10" s="54">
        <v>0</v>
      </c>
      <c r="H10" s="54">
        <v>0.68245451314546257</v>
      </c>
      <c r="I10" s="54">
        <v>0.22869705521472394</v>
      </c>
      <c r="J10" s="55">
        <v>0</v>
      </c>
      <c r="K10" s="54">
        <v>0</v>
      </c>
      <c r="L10" s="54">
        <v>0.17199999999999999</v>
      </c>
      <c r="M10" s="54">
        <v>8.8999999999999996E-2</v>
      </c>
      <c r="N10" s="54">
        <v>0.5673571873055383</v>
      </c>
      <c r="O10" s="54">
        <v>0</v>
      </c>
      <c r="P10" s="54">
        <v>1</v>
      </c>
      <c r="Q10" s="54">
        <v>0</v>
      </c>
      <c r="R10" s="54">
        <v>0.82634348588741824</v>
      </c>
      <c r="S10" s="54">
        <v>7.7029603798783194E-2</v>
      </c>
      <c r="T10" s="48">
        <v>0</v>
      </c>
      <c r="U10" s="56">
        <v>0.77362125528354786</v>
      </c>
      <c r="V10" s="56">
        <f>1</f>
        <v>1</v>
      </c>
      <c r="W10" s="57">
        <v>1</v>
      </c>
      <c r="X10" s="58">
        <v>0</v>
      </c>
      <c r="Y10" s="58">
        <v>1</v>
      </c>
      <c r="Z10" s="58">
        <v>1240</v>
      </c>
      <c r="AA10" s="58">
        <v>330</v>
      </c>
    </row>
    <row r="11" spans="1:27" s="48" customFormat="1" x14ac:dyDescent="0.35">
      <c r="A11" s="54">
        <v>0.122</v>
      </c>
      <c r="B11" s="54">
        <v>7.0999999999999994E-2</v>
      </c>
      <c r="C11" s="54">
        <v>0.16467230399999999</v>
      </c>
      <c r="D11" s="54">
        <v>0.39099997563610084</v>
      </c>
      <c r="E11" s="54">
        <v>0</v>
      </c>
      <c r="F11" s="54">
        <v>0.23203283156840868</v>
      </c>
      <c r="G11" s="54">
        <v>0.30477424769025768</v>
      </c>
      <c r="H11" s="54">
        <v>0.68245451314546257</v>
      </c>
      <c r="I11" s="54">
        <v>0.33959389570552151</v>
      </c>
      <c r="J11" s="55">
        <v>0</v>
      </c>
      <c r="K11" s="54">
        <v>7.3999999999999996E-2</v>
      </c>
      <c r="L11" s="54">
        <v>0.13400000000000001</v>
      </c>
      <c r="M11" s="54">
        <v>8.8999999999999996E-2</v>
      </c>
      <c r="N11" s="54">
        <v>0.56726260112009952</v>
      </c>
      <c r="O11" s="54">
        <v>0</v>
      </c>
      <c r="P11" s="54">
        <v>1</v>
      </c>
      <c r="Q11" s="54">
        <v>0</v>
      </c>
      <c r="R11" s="54">
        <v>0.82634348588741824</v>
      </c>
      <c r="S11" s="54">
        <v>0.12732067072265915</v>
      </c>
      <c r="T11" s="48">
        <v>0</v>
      </c>
      <c r="U11" s="56">
        <v>0.77362125528354786</v>
      </c>
      <c r="V11" s="56">
        <f>1</f>
        <v>1</v>
      </c>
      <c r="W11" s="57">
        <v>1</v>
      </c>
      <c r="X11" s="58">
        <v>0</v>
      </c>
      <c r="Y11" s="58">
        <v>1</v>
      </c>
      <c r="Z11" s="58">
        <v>1240</v>
      </c>
      <c r="AA11" s="58">
        <v>330</v>
      </c>
    </row>
    <row r="12" spans="1:27" s="48" customFormat="1" x14ac:dyDescent="0.35">
      <c r="A12" s="54">
        <v>0.313</v>
      </c>
      <c r="B12" s="54">
        <v>0.188</v>
      </c>
      <c r="C12" s="54">
        <v>0.15553496</v>
      </c>
      <c r="D12" s="54">
        <v>0.39899986193790454</v>
      </c>
      <c r="E12" s="54">
        <v>0</v>
      </c>
      <c r="F12" s="54">
        <v>0</v>
      </c>
      <c r="G12" s="54">
        <v>0.78248972467766453</v>
      </c>
      <c r="H12" s="54">
        <v>0.68245451314546257</v>
      </c>
      <c r="I12" s="54">
        <v>0.54153374233128837</v>
      </c>
      <c r="J12" s="55">
        <v>0</v>
      </c>
      <c r="K12" s="54">
        <v>0.26499999999999996</v>
      </c>
      <c r="L12" s="54">
        <v>7.1999999999999995E-2</v>
      </c>
      <c r="M12" s="54">
        <v>8.4999999999999992E-2</v>
      </c>
      <c r="N12" s="54">
        <v>0.57141879278158059</v>
      </c>
      <c r="O12" s="54">
        <v>0</v>
      </c>
      <c r="P12" s="54">
        <v>1</v>
      </c>
      <c r="Q12" s="54">
        <v>0</v>
      </c>
      <c r="R12" s="54">
        <v>0.82634348588741824</v>
      </c>
      <c r="S12" s="54">
        <v>0.26103301676806645</v>
      </c>
      <c r="T12" s="48">
        <v>0</v>
      </c>
      <c r="U12" s="56">
        <v>0</v>
      </c>
      <c r="V12" s="56">
        <f>1</f>
        <v>1</v>
      </c>
      <c r="W12" s="57">
        <v>0</v>
      </c>
      <c r="X12" s="58">
        <v>0</v>
      </c>
      <c r="Y12" s="58">
        <v>1</v>
      </c>
      <c r="Z12" s="58">
        <v>195.1</v>
      </c>
      <c r="AA12" s="58">
        <v>330</v>
      </c>
    </row>
    <row r="13" spans="1:27" s="48" customFormat="1" x14ac:dyDescent="0.35">
      <c r="A13" s="54">
        <v>0.379</v>
      </c>
      <c r="B13" s="54">
        <v>0.31</v>
      </c>
      <c r="C13" s="54">
        <v>0.16481443000000001</v>
      </c>
      <c r="D13" s="54">
        <v>0.40499987818050404</v>
      </c>
      <c r="E13" s="54">
        <v>0</v>
      </c>
      <c r="F13" s="54">
        <v>0</v>
      </c>
      <c r="G13" s="54">
        <v>0.78248972467766453</v>
      </c>
      <c r="H13" s="54">
        <v>0.68245451314546257</v>
      </c>
      <c r="I13" s="54">
        <v>0.6704150613496932</v>
      </c>
      <c r="J13" s="55">
        <v>0</v>
      </c>
      <c r="K13" s="54">
        <v>0.44199999999999995</v>
      </c>
      <c r="L13" s="54">
        <v>3.7999999999999999E-2</v>
      </c>
      <c r="M13" s="54">
        <v>8.2000000000000003E-2</v>
      </c>
      <c r="N13" s="54">
        <v>0.56903049159925323</v>
      </c>
      <c r="O13" s="54">
        <v>0</v>
      </c>
      <c r="P13" s="54">
        <v>0.75525769960329503</v>
      </c>
      <c r="Q13" s="54">
        <v>0</v>
      </c>
      <c r="R13" s="54">
        <v>0.82634348588741824</v>
      </c>
      <c r="S13" s="54">
        <v>0.39263199287728151</v>
      </c>
      <c r="T13" s="48">
        <v>0</v>
      </c>
      <c r="U13" s="56">
        <v>0</v>
      </c>
      <c r="V13" s="56">
        <f>1</f>
        <v>1</v>
      </c>
      <c r="W13" s="57">
        <v>0</v>
      </c>
      <c r="X13" s="58">
        <v>0</v>
      </c>
      <c r="Y13" s="58">
        <v>0.97923636659023339</v>
      </c>
      <c r="Z13" s="58">
        <v>0</v>
      </c>
      <c r="AA13" s="58">
        <v>0</v>
      </c>
    </row>
    <row r="14" spans="1:27" s="48" customFormat="1" x14ac:dyDescent="0.35">
      <c r="A14" s="54">
        <v>0.39100000000000001</v>
      </c>
      <c r="B14" s="54">
        <v>0.38900000000000001</v>
      </c>
      <c r="C14" s="54">
        <v>0.189962678</v>
      </c>
      <c r="D14" s="54">
        <v>0.40400014618339519</v>
      </c>
      <c r="E14" s="54">
        <v>0</v>
      </c>
      <c r="F14" s="54">
        <v>0</v>
      </c>
      <c r="G14" s="54">
        <v>0.78248972467766453</v>
      </c>
      <c r="H14" s="54">
        <v>0.68245451314546257</v>
      </c>
      <c r="I14" s="54">
        <v>0.74630892638036805</v>
      </c>
      <c r="J14" s="55">
        <v>0</v>
      </c>
      <c r="K14" s="54">
        <v>0.54799999999999993</v>
      </c>
      <c r="L14" s="54">
        <v>3.6999999999999998E-2</v>
      </c>
      <c r="M14" s="54">
        <v>7.8E-2</v>
      </c>
      <c r="N14" s="54">
        <v>0.5700429371499689</v>
      </c>
      <c r="O14" s="54">
        <v>0</v>
      </c>
      <c r="P14" s="54">
        <v>1</v>
      </c>
      <c r="Q14" s="54">
        <v>0</v>
      </c>
      <c r="R14" s="54">
        <v>0.82634348588741824</v>
      </c>
      <c r="S14" s="54">
        <v>0.47529907998219323</v>
      </c>
      <c r="T14" s="48">
        <v>0</v>
      </c>
      <c r="U14" s="56">
        <v>0</v>
      </c>
      <c r="V14" s="56">
        <f>1</f>
        <v>1</v>
      </c>
      <c r="W14" s="57">
        <v>0</v>
      </c>
      <c r="X14" s="58">
        <v>0</v>
      </c>
      <c r="Y14" s="58">
        <v>0.32499278940606868</v>
      </c>
      <c r="Z14" s="58">
        <v>0</v>
      </c>
      <c r="AA14" s="58">
        <v>0</v>
      </c>
    </row>
    <row r="15" spans="1:27" s="48" customFormat="1" x14ac:dyDescent="0.35">
      <c r="A15" s="54">
        <v>0.38900000000000001</v>
      </c>
      <c r="B15" s="54">
        <v>0.39899999999999997</v>
      </c>
      <c r="C15" s="54">
        <v>0.20713524</v>
      </c>
      <c r="D15" s="54">
        <v>0.40600001624259952</v>
      </c>
      <c r="E15" s="54">
        <v>0</v>
      </c>
      <c r="F15" s="54">
        <v>0</v>
      </c>
      <c r="G15" s="54">
        <v>0.78248972467766453</v>
      </c>
      <c r="H15" s="54">
        <v>0.68245451314546257</v>
      </c>
      <c r="I15" s="54">
        <v>0.76628361963190184</v>
      </c>
      <c r="J15" s="55">
        <v>0</v>
      </c>
      <c r="K15" s="54">
        <v>0.58100000000000007</v>
      </c>
      <c r="L15" s="54">
        <v>4.2999999999999997E-2</v>
      </c>
      <c r="M15" s="54">
        <v>0.08</v>
      </c>
      <c r="N15" s="54">
        <v>0.5675121344119477</v>
      </c>
      <c r="O15" s="54">
        <v>0</v>
      </c>
      <c r="P15" s="54">
        <v>0.98376923772382396</v>
      </c>
      <c r="Q15" s="54">
        <v>0</v>
      </c>
      <c r="R15" s="54">
        <v>0.82634348588741824</v>
      </c>
      <c r="S15" s="54">
        <v>0.50673623683039026</v>
      </c>
      <c r="T15" s="48">
        <v>0</v>
      </c>
      <c r="U15" s="56">
        <v>0</v>
      </c>
      <c r="V15" s="56">
        <f>1</f>
        <v>1</v>
      </c>
      <c r="W15" s="57">
        <v>0</v>
      </c>
      <c r="X15" s="58">
        <v>0</v>
      </c>
      <c r="Y15" s="58">
        <v>0.48769743270288041</v>
      </c>
      <c r="Z15" s="58">
        <v>0</v>
      </c>
      <c r="AA15" s="58">
        <v>0</v>
      </c>
    </row>
    <row r="16" spans="1:27" s="48" customFormat="1" x14ac:dyDescent="0.35">
      <c r="A16" s="54">
        <v>0.378</v>
      </c>
      <c r="B16" s="54">
        <v>0.34799999999999998</v>
      </c>
      <c r="C16" s="54">
        <v>0.21409618999999999</v>
      </c>
      <c r="D16" s="54">
        <v>0.40799988630180378</v>
      </c>
      <c r="E16" s="54">
        <v>0</v>
      </c>
      <c r="F16" s="54">
        <v>0</v>
      </c>
      <c r="G16" s="54">
        <v>0.78248972467766453</v>
      </c>
      <c r="H16" s="54">
        <v>0.68245451314546257</v>
      </c>
      <c r="I16" s="54">
        <v>0.7329300613496933</v>
      </c>
      <c r="J16" s="55">
        <v>0</v>
      </c>
      <c r="K16" s="54">
        <v>0.54200000000000004</v>
      </c>
      <c r="L16" s="54">
        <v>4.9999999999999996E-2</v>
      </c>
      <c r="M16" s="54">
        <v>8.7999999999999995E-2</v>
      </c>
      <c r="N16" s="54">
        <v>0.56426135656502807</v>
      </c>
      <c r="O16" s="54">
        <v>0</v>
      </c>
      <c r="P16" s="54">
        <v>0.97114081342727077</v>
      </c>
      <c r="Q16" s="54">
        <v>0</v>
      </c>
      <c r="R16" s="54">
        <v>0.82634348588741824</v>
      </c>
      <c r="S16" s="54">
        <v>0.48316849680961571</v>
      </c>
      <c r="T16" s="48">
        <v>0</v>
      </c>
      <c r="U16" s="56">
        <v>0</v>
      </c>
      <c r="V16" s="56">
        <f>1</f>
        <v>1</v>
      </c>
      <c r="W16" s="57">
        <v>0</v>
      </c>
      <c r="X16" s="58">
        <v>0</v>
      </c>
      <c r="Y16" s="58">
        <v>0.97923636659023339</v>
      </c>
      <c r="Z16" s="58">
        <v>0</v>
      </c>
      <c r="AA16" s="58">
        <v>0</v>
      </c>
    </row>
    <row r="17" spans="1:27" s="48" customFormat="1" x14ac:dyDescent="0.35">
      <c r="A17" s="54">
        <v>0.35499999999999998</v>
      </c>
      <c r="B17" s="54">
        <v>0.253</v>
      </c>
      <c r="C17" s="54">
        <v>0.214720357</v>
      </c>
      <c r="D17" s="54">
        <v>0.40700015430469494</v>
      </c>
      <c r="E17" s="54">
        <v>0</v>
      </c>
      <c r="F17" s="54">
        <v>0</v>
      </c>
      <c r="G17" s="54">
        <v>0.78248972467766453</v>
      </c>
      <c r="H17" s="54">
        <v>0.68245451314546257</v>
      </c>
      <c r="I17" s="54">
        <v>0.6604142331288344</v>
      </c>
      <c r="J17" s="55">
        <v>0</v>
      </c>
      <c r="K17" s="54">
        <v>0.44099999999999995</v>
      </c>
      <c r="L17" s="54">
        <v>5.7000000000000002E-2</v>
      </c>
      <c r="M17" s="54">
        <v>0.10099999999999999</v>
      </c>
      <c r="N17" s="54">
        <v>0.5602644679527069</v>
      </c>
      <c r="O17" s="54">
        <v>0</v>
      </c>
      <c r="P17" s="54">
        <v>1</v>
      </c>
      <c r="Q17" s="54">
        <v>0</v>
      </c>
      <c r="R17" s="54">
        <v>0.82634348588741824</v>
      </c>
      <c r="S17" s="54">
        <v>0.40842951476480188</v>
      </c>
      <c r="T17" s="48">
        <v>0</v>
      </c>
      <c r="U17" s="56">
        <v>0</v>
      </c>
      <c r="V17" s="56">
        <f>1</f>
        <v>1</v>
      </c>
      <c r="W17" s="57">
        <v>0</v>
      </c>
      <c r="X17" s="58">
        <v>0</v>
      </c>
      <c r="Y17" s="58">
        <v>1</v>
      </c>
      <c r="Z17" s="58">
        <v>195.1</v>
      </c>
      <c r="AA17" s="58">
        <v>0</v>
      </c>
    </row>
    <row r="18" spans="1:27" s="48" customFormat="1" x14ac:dyDescent="0.35">
      <c r="A18" s="54">
        <v>0.252</v>
      </c>
      <c r="B18" s="54">
        <v>0.128</v>
      </c>
      <c r="C18" s="54">
        <v>0.20648649199999999</v>
      </c>
      <c r="D18" s="54">
        <v>0.41000016242599469</v>
      </c>
      <c r="E18" s="54">
        <v>0</v>
      </c>
      <c r="F18" s="54">
        <v>0.17473006112402401</v>
      </c>
      <c r="G18" s="54">
        <v>0.78248972467766453</v>
      </c>
      <c r="H18" s="54">
        <v>0.68245451314546257</v>
      </c>
      <c r="I18" s="54">
        <v>0.50775052147239264</v>
      </c>
      <c r="J18" s="55">
        <v>0</v>
      </c>
      <c r="K18" s="54">
        <v>0.29399999999999998</v>
      </c>
      <c r="L18" s="54">
        <v>5.7999999999999996E-2</v>
      </c>
      <c r="M18" s="54">
        <v>0.111</v>
      </c>
      <c r="N18" s="54">
        <v>0.55359240821406352</v>
      </c>
      <c r="O18" s="54">
        <v>0</v>
      </c>
      <c r="P18" s="54">
        <v>1</v>
      </c>
      <c r="Q18" s="54">
        <v>0</v>
      </c>
      <c r="R18" s="54">
        <v>0.82634348588741824</v>
      </c>
      <c r="S18" s="54">
        <v>0.295080204778157</v>
      </c>
      <c r="T18" s="48">
        <v>0</v>
      </c>
      <c r="U18" s="56">
        <v>0</v>
      </c>
      <c r="V18" s="56">
        <f>1</f>
        <v>1</v>
      </c>
      <c r="W18" s="57">
        <v>0</v>
      </c>
      <c r="X18" s="58">
        <v>0</v>
      </c>
      <c r="Y18" s="58">
        <v>1</v>
      </c>
      <c r="Z18" s="58">
        <v>1240</v>
      </c>
      <c r="AA18" s="58">
        <v>330</v>
      </c>
    </row>
    <row r="19" spans="1:27" s="48" customFormat="1" x14ac:dyDescent="0.35">
      <c r="A19" s="54">
        <v>5.5E-2</v>
      </c>
      <c r="B19" s="54">
        <v>1.3000000000000001E-2</v>
      </c>
      <c r="C19" s="54">
        <v>0.17191646599999999</v>
      </c>
      <c r="D19" s="54">
        <v>0.42599993502960221</v>
      </c>
      <c r="E19" s="54">
        <v>8.2234788180964108E-2</v>
      </c>
      <c r="F19" s="54">
        <v>0.30681924421529583</v>
      </c>
      <c r="G19" s="54">
        <v>0</v>
      </c>
      <c r="H19" s="54">
        <v>0.68245451314546257</v>
      </c>
      <c r="I19" s="54">
        <v>0.26268420245398771</v>
      </c>
      <c r="J19" s="55">
        <v>0</v>
      </c>
      <c r="K19" s="54">
        <v>0.12099999999999998</v>
      </c>
      <c r="L19" s="54">
        <v>6.9000000000000006E-2</v>
      </c>
      <c r="M19" s="54">
        <v>0.125</v>
      </c>
      <c r="N19" s="54">
        <v>0.54495395146235215</v>
      </c>
      <c r="O19" s="54">
        <v>8.1433913327301918E-2</v>
      </c>
      <c r="P19" s="54">
        <v>1</v>
      </c>
      <c r="Q19" s="54">
        <v>0</v>
      </c>
      <c r="R19" s="54">
        <v>0.82634348588741824</v>
      </c>
      <c r="S19" s="54">
        <v>0.17503182964831579</v>
      </c>
      <c r="T19" s="48">
        <v>0</v>
      </c>
      <c r="U19" s="56">
        <v>0.77362125528354786</v>
      </c>
      <c r="V19" s="56">
        <f>1</f>
        <v>1</v>
      </c>
      <c r="W19" s="57">
        <v>1</v>
      </c>
      <c r="X19" s="58">
        <v>0</v>
      </c>
      <c r="Y19" s="58">
        <v>1</v>
      </c>
      <c r="Z19" s="58">
        <v>1240</v>
      </c>
      <c r="AA19" s="58">
        <v>330</v>
      </c>
    </row>
    <row r="20" spans="1:27" s="48" customFormat="1" x14ac:dyDescent="0.35">
      <c r="A20" s="54">
        <v>0</v>
      </c>
      <c r="B20" s="54">
        <v>0</v>
      </c>
      <c r="C20" s="54">
        <v>0.158973279</v>
      </c>
      <c r="D20" s="54">
        <v>0.42400006497039783</v>
      </c>
      <c r="E20" s="54">
        <v>8.3115355620833262E-2</v>
      </c>
      <c r="F20" s="54">
        <v>1</v>
      </c>
      <c r="G20" s="54">
        <v>0</v>
      </c>
      <c r="H20" s="54">
        <v>0.68245451314546257</v>
      </c>
      <c r="I20" s="54">
        <v>0.18530950920245398</v>
      </c>
      <c r="J20" s="55">
        <v>0</v>
      </c>
      <c r="K20" s="54">
        <v>0</v>
      </c>
      <c r="L20" s="54">
        <v>9.5999999999999988E-2</v>
      </c>
      <c r="M20" s="54">
        <v>0.13999999999999999</v>
      </c>
      <c r="N20" s="54">
        <v>0.54184256378344742</v>
      </c>
      <c r="O20" s="54">
        <v>8.1433913327301918E-2</v>
      </c>
      <c r="P20" s="54">
        <v>1</v>
      </c>
      <c r="Q20" s="54">
        <v>0</v>
      </c>
      <c r="R20" s="54">
        <v>0.82634348588741824</v>
      </c>
      <c r="S20" s="54">
        <v>0.10359764059949547</v>
      </c>
      <c r="T20" s="48">
        <v>0</v>
      </c>
      <c r="U20" s="56">
        <v>0.77362125528354786</v>
      </c>
      <c r="V20" s="56">
        <f>1</f>
        <v>1</v>
      </c>
      <c r="W20" s="57">
        <v>1</v>
      </c>
      <c r="X20" s="58">
        <v>0</v>
      </c>
      <c r="Y20" s="58">
        <v>1</v>
      </c>
      <c r="Z20" s="58">
        <v>1240</v>
      </c>
      <c r="AA20" s="58">
        <v>330</v>
      </c>
    </row>
    <row r="21" spans="1:27" s="48" customFormat="1" x14ac:dyDescent="0.35">
      <c r="A21" s="54">
        <v>0</v>
      </c>
      <c r="B21" s="54">
        <v>0</v>
      </c>
      <c r="C21" s="54">
        <v>0.15493874299999999</v>
      </c>
      <c r="D21" s="54">
        <v>0.42400006497039783</v>
      </c>
      <c r="E21" s="54">
        <v>8.3404857244899808E-2</v>
      </c>
      <c r="F21" s="54">
        <v>0.23203283156840868</v>
      </c>
      <c r="G21" s="54">
        <v>0</v>
      </c>
      <c r="H21" s="54">
        <v>0.68245451314546257</v>
      </c>
      <c r="I21" s="54">
        <v>0.1806019325153374</v>
      </c>
      <c r="J21" s="55">
        <v>0</v>
      </c>
      <c r="K21" s="54">
        <v>0</v>
      </c>
      <c r="L21" s="54">
        <v>0.11299999999999999</v>
      </c>
      <c r="M21" s="54">
        <v>0.14900000000000002</v>
      </c>
      <c r="N21" s="54">
        <v>0.54204044803982576</v>
      </c>
      <c r="O21" s="54">
        <v>8.1939938532176418E-2</v>
      </c>
      <c r="P21" s="54">
        <v>1</v>
      </c>
      <c r="Q21" s="54">
        <v>0</v>
      </c>
      <c r="R21" s="54">
        <v>0.82634348588741824</v>
      </c>
      <c r="S21" s="54">
        <v>0.10872006232378691</v>
      </c>
      <c r="T21" s="48">
        <v>0</v>
      </c>
      <c r="U21" s="56">
        <v>0.77362125528354786</v>
      </c>
      <c r="V21" s="56">
        <f>1</f>
        <v>1</v>
      </c>
      <c r="W21" s="57">
        <v>1</v>
      </c>
      <c r="X21" s="58">
        <v>0</v>
      </c>
      <c r="Y21" s="58">
        <v>1</v>
      </c>
      <c r="Z21" s="58">
        <v>1240</v>
      </c>
      <c r="AA21" s="58">
        <v>330</v>
      </c>
    </row>
    <row r="22" spans="1:27" s="48" customFormat="1" x14ac:dyDescent="0.35">
      <c r="A22" s="54">
        <v>0</v>
      </c>
      <c r="B22" s="54">
        <v>0</v>
      </c>
      <c r="C22" s="54">
        <v>0.15646373499999999</v>
      </c>
      <c r="D22" s="54">
        <v>0.42599993502960221</v>
      </c>
      <c r="E22" s="54">
        <v>8.4574926308835521E-2</v>
      </c>
      <c r="F22" s="54">
        <v>1</v>
      </c>
      <c r="G22" s="54">
        <v>0</v>
      </c>
      <c r="H22" s="54">
        <v>0.68245451314546257</v>
      </c>
      <c r="I22" s="54">
        <v>0.18237950920245399</v>
      </c>
      <c r="J22" s="55">
        <v>0</v>
      </c>
      <c r="K22" s="54">
        <v>0</v>
      </c>
      <c r="L22" s="54">
        <v>0.114</v>
      </c>
      <c r="M22" s="54">
        <v>0.153</v>
      </c>
      <c r="N22" s="54">
        <v>0.54269943995021785</v>
      </c>
      <c r="O22" s="54">
        <v>8.2192951134613654E-2</v>
      </c>
      <c r="P22" s="54">
        <v>1</v>
      </c>
      <c r="Q22" s="54">
        <v>0</v>
      </c>
      <c r="R22" s="54">
        <v>0.82634348588741824</v>
      </c>
      <c r="S22" s="54">
        <v>0.11190488202997477</v>
      </c>
      <c r="T22" s="48">
        <v>0</v>
      </c>
      <c r="U22" s="56">
        <v>0.77362125528354786</v>
      </c>
      <c r="V22" s="56">
        <f>1</f>
        <v>1</v>
      </c>
      <c r="W22" s="57">
        <v>1</v>
      </c>
      <c r="X22" s="58">
        <v>0</v>
      </c>
      <c r="Y22" s="58">
        <v>1</v>
      </c>
      <c r="Z22" s="58">
        <v>1240</v>
      </c>
      <c r="AA22" s="58">
        <v>330</v>
      </c>
    </row>
    <row r="23" spans="1:27" s="48" customFormat="1" x14ac:dyDescent="0.35">
      <c r="A23" s="54">
        <v>0</v>
      </c>
      <c r="B23" s="54">
        <v>0</v>
      </c>
      <c r="C23" s="54">
        <v>0.161745637</v>
      </c>
      <c r="D23" s="54">
        <v>0.40799988630180378</v>
      </c>
      <c r="E23" s="54">
        <v>8.4719677120868808E-2</v>
      </c>
      <c r="F23" s="54">
        <v>0.55327003491772264</v>
      </c>
      <c r="G23" s="54">
        <v>0</v>
      </c>
      <c r="H23" s="54">
        <v>0.68245451314546257</v>
      </c>
      <c r="I23" s="54">
        <v>0.18853625766871165</v>
      </c>
      <c r="J23" s="55">
        <v>0</v>
      </c>
      <c r="K23" s="54">
        <v>0</v>
      </c>
      <c r="L23" s="54">
        <v>0.114</v>
      </c>
      <c r="M23" s="54">
        <v>0.154</v>
      </c>
      <c r="N23" s="54">
        <v>0.5432227753578095</v>
      </c>
      <c r="O23" s="54">
        <v>8.2192951134613654E-2</v>
      </c>
      <c r="P23" s="54">
        <v>1</v>
      </c>
      <c r="Q23" s="54">
        <v>0</v>
      </c>
      <c r="R23" s="54">
        <v>0.82634348588741824</v>
      </c>
      <c r="S23" s="54">
        <v>0.11391571449769995</v>
      </c>
      <c r="T23" s="48">
        <v>0</v>
      </c>
      <c r="U23" s="56">
        <v>0.77362125528354786</v>
      </c>
      <c r="V23" s="56">
        <f>1</f>
        <v>1</v>
      </c>
      <c r="W23" s="57">
        <v>1</v>
      </c>
      <c r="X23" s="58">
        <v>0</v>
      </c>
      <c r="Y23" s="58">
        <v>1</v>
      </c>
      <c r="Z23" s="58">
        <v>1240</v>
      </c>
      <c r="AA23" s="58">
        <v>330</v>
      </c>
    </row>
    <row r="24" spans="1:27" s="48" customFormat="1" x14ac:dyDescent="0.35">
      <c r="A24" s="54">
        <v>0</v>
      </c>
      <c r="B24" s="54">
        <v>0</v>
      </c>
      <c r="C24" s="54">
        <v>0.172932218</v>
      </c>
      <c r="D24" s="54">
        <v>0.41099989442310353</v>
      </c>
      <c r="E24" s="54">
        <v>8.4864427932902081E-2</v>
      </c>
      <c r="F24" s="54">
        <v>0.37181357255009201</v>
      </c>
      <c r="G24" s="54">
        <v>0</v>
      </c>
      <c r="H24" s="54">
        <v>0.68245451314546257</v>
      </c>
      <c r="I24" s="54">
        <v>0.20157573619631902</v>
      </c>
      <c r="J24" s="55">
        <v>0</v>
      </c>
      <c r="K24" s="54">
        <v>0</v>
      </c>
      <c r="L24" s="54">
        <v>0.12799999999999997</v>
      </c>
      <c r="M24" s="54">
        <v>0.14699999999999999</v>
      </c>
      <c r="N24" s="54">
        <v>0.54796764156813937</v>
      </c>
      <c r="O24" s="54">
        <v>8.2192951134613654E-2</v>
      </c>
      <c r="P24" s="54">
        <v>1</v>
      </c>
      <c r="Q24" s="54">
        <v>0</v>
      </c>
      <c r="R24" s="54">
        <v>0.82634348588741824</v>
      </c>
      <c r="S24" s="54">
        <v>0.10984827125686304</v>
      </c>
      <c r="T24" s="48">
        <v>0</v>
      </c>
      <c r="U24" s="56">
        <v>0.77362125528354786</v>
      </c>
      <c r="V24" s="56">
        <f>1</f>
        <v>1</v>
      </c>
      <c r="W24" s="57">
        <v>1</v>
      </c>
      <c r="X24" s="58">
        <v>0</v>
      </c>
      <c r="Y24" s="58">
        <v>1</v>
      </c>
      <c r="Z24" s="58">
        <v>1240</v>
      </c>
      <c r="AA24" s="58">
        <v>330</v>
      </c>
    </row>
    <row r="25" spans="1:27" s="48" customFormat="1" x14ac:dyDescent="0.35">
      <c r="A25" s="54">
        <v>0</v>
      </c>
      <c r="B25" s="54">
        <v>0</v>
      </c>
      <c r="C25" s="54">
        <v>0.18310457299999999</v>
      </c>
      <c r="D25" s="54">
        <v>0.40799988630180378</v>
      </c>
      <c r="E25" s="54">
        <v>8.4430175496802248E-2</v>
      </c>
      <c r="F25" s="54">
        <v>0.23203283156840868</v>
      </c>
      <c r="G25" s="54">
        <v>0</v>
      </c>
      <c r="H25" s="54">
        <v>0.68245451314546257</v>
      </c>
      <c r="I25" s="54">
        <v>0.21343297546012269</v>
      </c>
      <c r="J25" s="55">
        <v>0</v>
      </c>
      <c r="K25" s="54">
        <v>0</v>
      </c>
      <c r="L25" s="54">
        <v>0.156</v>
      </c>
      <c r="M25" s="54">
        <v>0.13699999999999998</v>
      </c>
      <c r="N25" s="54">
        <v>0.55428064716863723</v>
      </c>
      <c r="O25" s="54">
        <v>3.26069654369451E-2</v>
      </c>
      <c r="P25" s="54">
        <v>1</v>
      </c>
      <c r="Q25" s="54">
        <v>0</v>
      </c>
      <c r="R25" s="54">
        <v>0.82634348588741824</v>
      </c>
      <c r="S25" s="54">
        <v>0.1043832170945244</v>
      </c>
      <c r="T25" s="48">
        <v>0</v>
      </c>
      <c r="U25" s="56">
        <v>0.77362125528354786</v>
      </c>
      <c r="V25" s="56">
        <f>1</f>
        <v>1</v>
      </c>
      <c r="W25" s="57">
        <v>1</v>
      </c>
      <c r="X25" s="58">
        <v>0</v>
      </c>
      <c r="Y25" s="58">
        <v>1</v>
      </c>
      <c r="Z25" s="58">
        <v>1240</v>
      </c>
      <c r="AA25" s="58">
        <v>330</v>
      </c>
    </row>
    <row r="26" spans="1:27" s="48" customFormat="1" x14ac:dyDescent="0.35">
      <c r="A26" s="54">
        <v>0</v>
      </c>
      <c r="B26" s="54">
        <v>0</v>
      </c>
      <c r="C26" s="54">
        <v>0.191308168</v>
      </c>
      <c r="D26" s="54">
        <v>0.39099997563610084</v>
      </c>
      <c r="E26" s="54">
        <v>8.3839109680999668E-2</v>
      </c>
      <c r="F26" s="54">
        <v>0.23203283156840868</v>
      </c>
      <c r="G26" s="54">
        <v>0</v>
      </c>
      <c r="H26" s="54">
        <v>0.68245451314546257</v>
      </c>
      <c r="I26" s="54">
        <v>0.22299536809815951</v>
      </c>
      <c r="J26" s="55">
        <v>0</v>
      </c>
      <c r="K26" s="54">
        <v>0</v>
      </c>
      <c r="L26" s="54">
        <v>0.17699999999999999</v>
      </c>
      <c r="M26" s="54">
        <v>0.125</v>
      </c>
      <c r="N26" s="54">
        <v>0.55494523957685127</v>
      </c>
      <c r="O26" s="54">
        <v>0</v>
      </c>
      <c r="P26" s="54">
        <v>1</v>
      </c>
      <c r="Q26" s="54">
        <v>0</v>
      </c>
      <c r="R26" s="54">
        <v>0.82634348588741824</v>
      </c>
      <c r="S26" s="54">
        <v>9.7894791512093779E-2</v>
      </c>
      <c r="T26" s="48">
        <v>0</v>
      </c>
      <c r="U26" s="56">
        <v>0.83886932004309223</v>
      </c>
      <c r="V26" s="56">
        <f>1</f>
        <v>1</v>
      </c>
      <c r="W26" s="57">
        <v>1</v>
      </c>
      <c r="X26" s="58">
        <v>0</v>
      </c>
      <c r="Y26" s="58">
        <v>1</v>
      </c>
      <c r="Z26" s="58">
        <v>1240</v>
      </c>
      <c r="AA26" s="58">
        <v>330</v>
      </c>
    </row>
    <row r="27" spans="1:27" s="48" customFormat="1" x14ac:dyDescent="0.35">
      <c r="A27" s="54">
        <v>0</v>
      </c>
      <c r="B27" s="54">
        <v>0</v>
      </c>
      <c r="C27" s="54">
        <v>0.18462990100000001</v>
      </c>
      <c r="D27" s="54">
        <v>0.38699982945270561</v>
      </c>
      <c r="E27" s="54">
        <v>8.3260106432866535E-2</v>
      </c>
      <c r="F27" s="54">
        <v>0.23203283156840868</v>
      </c>
      <c r="G27" s="54">
        <v>0</v>
      </c>
      <c r="H27" s="54">
        <v>0.68245451314546257</v>
      </c>
      <c r="I27" s="54">
        <v>0.21521095092024542</v>
      </c>
      <c r="J27" s="55">
        <v>0</v>
      </c>
      <c r="K27" s="54">
        <v>0</v>
      </c>
      <c r="L27" s="54">
        <v>0.183</v>
      </c>
      <c r="M27" s="54">
        <v>0.113</v>
      </c>
      <c r="N27" s="54">
        <v>0.55443061605476041</v>
      </c>
      <c r="O27" s="54">
        <v>0</v>
      </c>
      <c r="P27" s="54">
        <v>1</v>
      </c>
      <c r="Q27" s="54">
        <v>0</v>
      </c>
      <c r="R27" s="54">
        <v>0.82634348588741824</v>
      </c>
      <c r="S27" s="54">
        <v>9.2014468021961712E-2</v>
      </c>
      <c r="T27" s="48">
        <v>0</v>
      </c>
      <c r="U27" s="56">
        <v>0.83886932004309223</v>
      </c>
      <c r="V27" s="56">
        <f>1</f>
        <v>1</v>
      </c>
      <c r="W27" s="57">
        <v>1</v>
      </c>
      <c r="X27" s="58">
        <v>0</v>
      </c>
      <c r="Y27" s="58">
        <v>1</v>
      </c>
      <c r="Z27" s="58">
        <v>1240</v>
      </c>
      <c r="AA27" s="58">
        <v>330</v>
      </c>
    </row>
    <row r="28" spans="1:27" s="48" customFormat="1" x14ac:dyDescent="0.35">
      <c r="A28" s="54">
        <v>0</v>
      </c>
      <c r="B28" s="54">
        <v>0</v>
      </c>
      <c r="C28" s="54">
        <v>0.175203316</v>
      </c>
      <c r="D28" s="54">
        <v>0.38699982945270561</v>
      </c>
      <c r="E28" s="54">
        <v>8.3404857244899808E-2</v>
      </c>
      <c r="F28" s="54">
        <v>0.23203283156840868</v>
      </c>
      <c r="G28" s="54">
        <v>0</v>
      </c>
      <c r="H28" s="54">
        <v>0.68245451314546257</v>
      </c>
      <c r="I28" s="54">
        <v>0.20422300613496933</v>
      </c>
      <c r="J28" s="55">
        <v>0</v>
      </c>
      <c r="K28" s="54">
        <v>0</v>
      </c>
      <c r="L28" s="54">
        <v>0.183</v>
      </c>
      <c r="M28" s="54">
        <v>0.10099999999999999</v>
      </c>
      <c r="N28" s="54">
        <v>0.55368077162414431</v>
      </c>
      <c r="O28" s="54">
        <v>0</v>
      </c>
      <c r="P28" s="54">
        <v>1</v>
      </c>
      <c r="Q28" s="54">
        <v>0</v>
      </c>
      <c r="R28" s="54">
        <v>0.82634348588741824</v>
      </c>
      <c r="S28" s="54">
        <v>8.523816589998516E-2</v>
      </c>
      <c r="T28" s="48">
        <v>0</v>
      </c>
      <c r="U28" s="56">
        <v>0.83886932004309223</v>
      </c>
      <c r="V28" s="56">
        <f>1</f>
        <v>1</v>
      </c>
      <c r="W28" s="57">
        <v>1</v>
      </c>
      <c r="X28" s="58">
        <v>0</v>
      </c>
      <c r="Y28" s="58">
        <v>1</v>
      </c>
      <c r="Z28" s="58">
        <v>1240</v>
      </c>
      <c r="AA28" s="58">
        <v>330</v>
      </c>
    </row>
    <row r="29" spans="1:27" s="48" customFormat="1" x14ac:dyDescent="0.35">
      <c r="A29" s="54">
        <v>0</v>
      </c>
      <c r="B29" s="54">
        <v>0</v>
      </c>
      <c r="C29" s="54">
        <v>0.164087805</v>
      </c>
      <c r="D29" s="54">
        <v>0.38699982945270561</v>
      </c>
      <c r="E29" s="54">
        <v>8.3404857244899808E-2</v>
      </c>
      <c r="F29" s="54">
        <v>0.23203283156840868</v>
      </c>
      <c r="G29" s="54">
        <v>0</v>
      </c>
      <c r="H29" s="54">
        <v>0.68245451314546257</v>
      </c>
      <c r="I29" s="54">
        <v>0.19126638036809815</v>
      </c>
      <c r="J29" s="55">
        <v>0</v>
      </c>
      <c r="K29" s="54">
        <v>0</v>
      </c>
      <c r="L29" s="54">
        <v>0.18</v>
      </c>
      <c r="M29" s="54">
        <v>9.1999999999999998E-2</v>
      </c>
      <c r="N29" s="54">
        <v>0.54962476664592408</v>
      </c>
      <c r="O29" s="54">
        <v>0</v>
      </c>
      <c r="P29" s="54">
        <v>1</v>
      </c>
      <c r="Q29" s="54">
        <v>0</v>
      </c>
      <c r="R29" s="54">
        <v>0.82634348588741824</v>
      </c>
      <c r="S29" s="54">
        <v>7.9252782311915723E-2</v>
      </c>
      <c r="T29" s="48">
        <v>0</v>
      </c>
      <c r="U29" s="56">
        <v>0.83886932004309223</v>
      </c>
      <c r="V29" s="56">
        <f>1</f>
        <v>1</v>
      </c>
      <c r="W29" s="57">
        <v>1</v>
      </c>
      <c r="X29" s="58">
        <v>0</v>
      </c>
      <c r="Y29" s="58">
        <v>1</v>
      </c>
      <c r="Z29" s="58">
        <v>1240</v>
      </c>
      <c r="AA29" s="58">
        <v>330</v>
      </c>
    </row>
    <row r="30" spans="1:27" s="48" customFormat="1" x14ac:dyDescent="0.35">
      <c r="A30" s="54">
        <v>0</v>
      </c>
      <c r="B30" s="54">
        <v>0</v>
      </c>
      <c r="C30" s="54">
        <v>0.15585540000000001</v>
      </c>
      <c r="D30" s="54">
        <v>0.38699982945270561</v>
      </c>
      <c r="E30" s="54">
        <v>8.3549608056933095E-2</v>
      </c>
      <c r="F30" s="54">
        <v>0.23203283156840868</v>
      </c>
      <c r="G30" s="54">
        <v>0</v>
      </c>
      <c r="H30" s="54">
        <v>0.68245451314546257</v>
      </c>
      <c r="I30" s="54">
        <v>0.18167039877300614</v>
      </c>
      <c r="J30" s="55">
        <v>0</v>
      </c>
      <c r="K30" s="54">
        <v>0</v>
      </c>
      <c r="L30" s="54">
        <v>0.183</v>
      </c>
      <c r="M30" s="54">
        <v>8.4000000000000005E-2</v>
      </c>
      <c r="N30" s="54">
        <v>0.54362725575606718</v>
      </c>
      <c r="O30" s="54">
        <v>0</v>
      </c>
      <c r="P30" s="54">
        <v>1</v>
      </c>
      <c r="Q30" s="54">
        <v>0</v>
      </c>
      <c r="R30" s="54">
        <v>0.82634348588741824</v>
      </c>
      <c r="S30" s="54">
        <v>7.4230820596527677E-2</v>
      </c>
      <c r="T30" s="48">
        <v>0</v>
      </c>
      <c r="U30" s="56">
        <v>0.83886932004309223</v>
      </c>
      <c r="V30" s="56">
        <f>1</f>
        <v>1</v>
      </c>
      <c r="W30" s="57">
        <v>1</v>
      </c>
      <c r="X30" s="58">
        <v>0</v>
      </c>
      <c r="Y30" s="58">
        <v>1</v>
      </c>
      <c r="Z30" s="58">
        <v>1240</v>
      </c>
      <c r="AA30" s="58">
        <v>330</v>
      </c>
    </row>
    <row r="31" spans="1:27" s="48" customFormat="1" x14ac:dyDescent="0.35">
      <c r="A31" s="54">
        <v>0</v>
      </c>
      <c r="B31" s="54">
        <v>0</v>
      </c>
      <c r="C31" s="54">
        <v>0.148141731</v>
      </c>
      <c r="D31" s="54">
        <v>0.38699982945270561</v>
      </c>
      <c r="E31" s="54">
        <v>8.3983860493032941E-2</v>
      </c>
      <c r="F31" s="54">
        <v>0.23203283156840868</v>
      </c>
      <c r="G31" s="54">
        <v>0</v>
      </c>
      <c r="H31" s="54">
        <v>0.68245451314546257</v>
      </c>
      <c r="I31" s="54">
        <v>0.17267907975460123</v>
      </c>
      <c r="J31" s="55">
        <v>0</v>
      </c>
      <c r="K31" s="54">
        <v>0</v>
      </c>
      <c r="L31" s="54">
        <v>0.18499999999999997</v>
      </c>
      <c r="M31" s="54">
        <v>7.8E-2</v>
      </c>
      <c r="N31" s="54">
        <v>0.54071499688861235</v>
      </c>
      <c r="O31" s="54">
        <v>8.2192951134613654E-2</v>
      </c>
      <c r="P31" s="54">
        <v>1</v>
      </c>
      <c r="Q31" s="54">
        <v>0</v>
      </c>
      <c r="R31" s="54">
        <v>0.82634348588741824</v>
      </c>
      <c r="S31" s="54">
        <v>6.8519884255824309E-2</v>
      </c>
      <c r="T31" s="48">
        <v>0</v>
      </c>
      <c r="U31" s="56">
        <v>0.83886932004309223</v>
      </c>
      <c r="V31" s="56">
        <f>1</f>
        <v>1</v>
      </c>
      <c r="W31" s="57">
        <v>1</v>
      </c>
      <c r="X31" s="58">
        <v>0</v>
      </c>
      <c r="Y31" s="58">
        <v>1</v>
      </c>
      <c r="Z31" s="58">
        <v>1240</v>
      </c>
      <c r="AA31" s="58">
        <v>330</v>
      </c>
    </row>
    <row r="32" spans="1:27" s="48" customFormat="1" x14ac:dyDescent="0.35">
      <c r="A32" s="54">
        <v>0</v>
      </c>
      <c r="B32" s="54">
        <v>0</v>
      </c>
      <c r="C32" s="54">
        <v>0.133788193</v>
      </c>
      <c r="D32" s="54">
        <v>0.39099997563610084</v>
      </c>
      <c r="E32" s="54">
        <v>8.5744995372771235E-2</v>
      </c>
      <c r="F32" s="54">
        <v>0.23203283156840868</v>
      </c>
      <c r="G32" s="54">
        <v>0</v>
      </c>
      <c r="H32" s="54">
        <v>0.68245451314546257</v>
      </c>
      <c r="I32" s="54">
        <v>0.15594812883435583</v>
      </c>
      <c r="J32" s="55">
        <v>0</v>
      </c>
      <c r="K32" s="54">
        <v>0</v>
      </c>
      <c r="L32" s="54">
        <v>0.182</v>
      </c>
      <c r="M32" s="54">
        <v>7.5999999999999998E-2</v>
      </c>
      <c r="N32" s="54">
        <v>0.55184380833851898</v>
      </c>
      <c r="O32" s="54">
        <v>8.3205001544362625E-2</v>
      </c>
      <c r="P32" s="54">
        <v>1</v>
      </c>
      <c r="Q32" s="54">
        <v>0</v>
      </c>
      <c r="R32" s="54">
        <v>0.82634348588741824</v>
      </c>
      <c r="S32" s="54">
        <v>6.6121531384478419E-2</v>
      </c>
      <c r="T32" s="48">
        <v>0</v>
      </c>
      <c r="U32" s="56">
        <v>0.83886932004309223</v>
      </c>
      <c r="V32" s="56">
        <f>1</f>
        <v>1</v>
      </c>
      <c r="W32" s="57">
        <v>1</v>
      </c>
      <c r="X32" s="58">
        <v>0</v>
      </c>
      <c r="Y32" s="58">
        <v>1</v>
      </c>
      <c r="Z32" s="58">
        <v>1240</v>
      </c>
      <c r="AA32" s="58">
        <v>330</v>
      </c>
    </row>
    <row r="33" spans="1:27" s="48" customFormat="1" x14ac:dyDescent="0.35">
      <c r="A33" s="54">
        <v>0</v>
      </c>
      <c r="B33" s="54">
        <v>0</v>
      </c>
      <c r="C33" s="54">
        <v>0.115257552</v>
      </c>
      <c r="D33" s="54">
        <v>0.42100005684909814</v>
      </c>
      <c r="E33" s="54">
        <v>8.8664136748775796E-2</v>
      </c>
      <c r="F33" s="54">
        <v>1</v>
      </c>
      <c r="G33" s="54">
        <v>0</v>
      </c>
      <c r="H33" s="54">
        <v>0.68245451314546257</v>
      </c>
      <c r="I33" s="54">
        <v>0.13434815950920245</v>
      </c>
      <c r="J33" s="55">
        <v>0</v>
      </c>
      <c r="K33" s="54">
        <v>0</v>
      </c>
      <c r="L33" s="54">
        <v>0.16499999999999998</v>
      </c>
      <c r="M33" s="54">
        <v>7.9000000000000001E-2</v>
      </c>
      <c r="N33" s="54">
        <v>0.59684131922837591</v>
      </c>
      <c r="O33" s="54">
        <v>9.1192970849881372E-2</v>
      </c>
      <c r="P33" s="54">
        <v>1</v>
      </c>
      <c r="Q33" s="54">
        <v>0</v>
      </c>
      <c r="R33" s="54">
        <v>0.82634348588741824</v>
      </c>
      <c r="S33" s="54">
        <v>6.803472325270811E-2</v>
      </c>
      <c r="T33" s="48">
        <v>0</v>
      </c>
      <c r="U33" s="56">
        <v>0.83886932004309223</v>
      </c>
      <c r="V33" s="56">
        <f>1</f>
        <v>1</v>
      </c>
      <c r="W33" s="57">
        <v>1</v>
      </c>
      <c r="X33" s="58">
        <v>0</v>
      </c>
      <c r="Y33" s="58">
        <v>1</v>
      </c>
      <c r="Z33" s="58">
        <v>1240</v>
      </c>
      <c r="AA33" s="58">
        <v>330</v>
      </c>
    </row>
    <row r="34" spans="1:27" s="48" customFormat="1" x14ac:dyDescent="0.35">
      <c r="A34" s="54">
        <v>0</v>
      </c>
      <c r="B34" s="54">
        <v>0</v>
      </c>
      <c r="C34" s="54">
        <v>0.113440635</v>
      </c>
      <c r="D34" s="54">
        <v>0.44099997563610077</v>
      </c>
      <c r="E34" s="54">
        <v>8.9834205812711496E-2</v>
      </c>
      <c r="F34" s="54">
        <v>1</v>
      </c>
      <c r="G34" s="54">
        <v>0</v>
      </c>
      <c r="H34" s="54">
        <v>0.68245451314546257</v>
      </c>
      <c r="I34" s="54">
        <v>0.13685401840490796</v>
      </c>
      <c r="J34" s="55">
        <v>0</v>
      </c>
      <c r="K34" s="54">
        <v>0</v>
      </c>
      <c r="L34" s="54">
        <v>0.13600000000000001</v>
      </c>
      <c r="M34" s="54">
        <v>8.1000000000000003E-2</v>
      </c>
      <c r="N34" s="54">
        <v>0.60673304293714991</v>
      </c>
      <c r="O34" s="54">
        <v>9.2458033862067607E-2</v>
      </c>
      <c r="P34" s="54">
        <v>1</v>
      </c>
      <c r="Q34" s="54">
        <v>0</v>
      </c>
      <c r="R34" s="54">
        <v>0.82634348588741824</v>
      </c>
      <c r="S34" s="54">
        <v>7.0894346342187275E-2</v>
      </c>
      <c r="T34" s="48">
        <v>0</v>
      </c>
      <c r="U34" s="56">
        <v>0.83886932004309223</v>
      </c>
      <c r="V34" s="56">
        <f>1</f>
        <v>1</v>
      </c>
      <c r="W34" s="57">
        <v>1</v>
      </c>
      <c r="X34" s="58">
        <v>0</v>
      </c>
      <c r="Y34" s="58">
        <v>1</v>
      </c>
      <c r="Z34" s="58">
        <v>1240</v>
      </c>
      <c r="AA34" s="58">
        <v>330</v>
      </c>
    </row>
    <row r="35" spans="1:27" s="48" customFormat="1" x14ac:dyDescent="0.35">
      <c r="A35" s="54">
        <v>0.107</v>
      </c>
      <c r="B35" s="54">
        <v>6.6000000000000003E-2</v>
      </c>
      <c r="C35" s="54">
        <v>0.103052199</v>
      </c>
      <c r="D35" s="54">
        <v>0.4390001055768965</v>
      </c>
      <c r="E35" s="54">
        <v>8.9978956624744783E-2</v>
      </c>
      <c r="F35" s="54">
        <v>0.4446133695609667</v>
      </c>
      <c r="G35" s="54">
        <v>0</v>
      </c>
      <c r="H35" s="54">
        <v>0.68245451314546257</v>
      </c>
      <c r="I35" s="54">
        <v>0.24824355828220859</v>
      </c>
      <c r="J35" s="55">
        <v>0</v>
      </c>
      <c r="K35" s="54">
        <v>6.699999999999999E-2</v>
      </c>
      <c r="L35" s="54">
        <v>0.108</v>
      </c>
      <c r="M35" s="54">
        <v>8.1000000000000003E-2</v>
      </c>
      <c r="N35" s="54">
        <v>0.61458369632856247</v>
      </c>
      <c r="O35" s="54">
        <v>9.3253216326870378E-2</v>
      </c>
      <c r="P35" s="54">
        <v>1</v>
      </c>
      <c r="Q35" s="54">
        <v>0</v>
      </c>
      <c r="R35" s="54">
        <v>0.82634348588741824</v>
      </c>
      <c r="S35" s="54">
        <v>0.12066100311618935</v>
      </c>
      <c r="T35" s="48">
        <v>0</v>
      </c>
      <c r="U35" s="56">
        <v>0.83886932004309223</v>
      </c>
      <c r="V35" s="56">
        <f>1</f>
        <v>1</v>
      </c>
      <c r="W35" s="57">
        <v>1</v>
      </c>
      <c r="X35" s="58">
        <v>0</v>
      </c>
      <c r="Y35" s="58">
        <v>1</v>
      </c>
      <c r="Z35" s="58">
        <v>1240</v>
      </c>
      <c r="AA35" s="58">
        <v>330</v>
      </c>
    </row>
    <row r="36" spans="1:27" s="48" customFormat="1" x14ac:dyDescent="0.35">
      <c r="A36" s="54">
        <v>0.28100000000000003</v>
      </c>
      <c r="B36" s="54">
        <v>0.17</v>
      </c>
      <c r="C36" s="54">
        <v>8.6513140000000002E-2</v>
      </c>
      <c r="D36" s="54">
        <v>0.42700007309169763</v>
      </c>
      <c r="E36" s="54">
        <v>0</v>
      </c>
      <c r="F36" s="54">
        <v>0.23203283156840868</v>
      </c>
      <c r="G36" s="54">
        <v>0.78248972467766453</v>
      </c>
      <c r="H36" s="54">
        <v>0.68245451314546257</v>
      </c>
      <c r="I36" s="54">
        <v>0.42392481595092024</v>
      </c>
      <c r="J36" s="55">
        <v>0</v>
      </c>
      <c r="K36" s="54">
        <v>0.24399999999999999</v>
      </c>
      <c r="L36" s="54">
        <v>6.7000000000000004E-2</v>
      </c>
      <c r="M36" s="54">
        <v>7.8E-2</v>
      </c>
      <c r="N36" s="54">
        <v>0.61537585563161168</v>
      </c>
      <c r="O36" s="54">
        <v>0</v>
      </c>
      <c r="P36" s="54">
        <v>1</v>
      </c>
      <c r="Q36" s="54">
        <v>0</v>
      </c>
      <c r="R36" s="54">
        <v>0.82634348588741824</v>
      </c>
      <c r="S36" s="54">
        <v>0.24950727110847307</v>
      </c>
      <c r="T36" s="48">
        <v>0</v>
      </c>
      <c r="U36" s="56">
        <v>0.78977169096992472</v>
      </c>
      <c r="V36" s="56">
        <f>1</f>
        <v>1</v>
      </c>
      <c r="W36" s="57">
        <v>1</v>
      </c>
      <c r="X36" s="58">
        <v>0</v>
      </c>
      <c r="Y36" s="58">
        <v>1</v>
      </c>
      <c r="Z36" s="58">
        <v>1240</v>
      </c>
      <c r="AA36" s="58">
        <v>330</v>
      </c>
    </row>
    <row r="37" spans="1:27" s="48" customFormat="1" x14ac:dyDescent="0.35">
      <c r="A37" s="54">
        <v>0.35199999999999998</v>
      </c>
      <c r="B37" s="54">
        <v>0.28299999999999903</v>
      </c>
      <c r="C37" s="54">
        <v>8.1672468999999998E-2</v>
      </c>
      <c r="D37" s="54">
        <v>0.42499979696750673</v>
      </c>
      <c r="E37" s="54">
        <v>0</v>
      </c>
      <c r="F37" s="54">
        <v>0.23203283156840868</v>
      </c>
      <c r="G37" s="54">
        <v>0.78248972467766453</v>
      </c>
      <c r="H37" s="54">
        <v>0.68245451314546257</v>
      </c>
      <c r="I37" s="54">
        <v>0.53691552147239263</v>
      </c>
      <c r="J37" s="55">
        <v>0</v>
      </c>
      <c r="K37" s="54">
        <v>0.41299999999999998</v>
      </c>
      <c r="L37" s="54">
        <v>4.1000000000000002E-2</v>
      </c>
      <c r="M37" s="54">
        <v>7.1999999999999995E-2</v>
      </c>
      <c r="N37" s="54">
        <v>0.61282576228998131</v>
      </c>
      <c r="O37" s="54">
        <v>0</v>
      </c>
      <c r="P37" s="54">
        <v>1</v>
      </c>
      <c r="Q37" s="54">
        <v>0</v>
      </c>
      <c r="R37" s="54">
        <v>0.82634348588741824</v>
      </c>
      <c r="S37" s="54">
        <v>0.37150868081317706</v>
      </c>
      <c r="T37" s="48">
        <v>0</v>
      </c>
      <c r="U37" s="56">
        <v>0</v>
      </c>
      <c r="V37" s="56">
        <f>1</f>
        <v>1</v>
      </c>
      <c r="W37" s="57">
        <v>0</v>
      </c>
      <c r="X37" s="58">
        <v>0</v>
      </c>
      <c r="Y37" s="58">
        <v>1</v>
      </c>
      <c r="Z37" s="58">
        <v>194.64011808999999</v>
      </c>
      <c r="AA37" s="58">
        <v>330</v>
      </c>
    </row>
    <row r="38" spans="1:27" s="48" customFormat="1" x14ac:dyDescent="0.35">
      <c r="A38" s="54">
        <v>0.38300000000000001</v>
      </c>
      <c r="B38" s="54">
        <v>0.36899999999999999</v>
      </c>
      <c r="C38" s="54">
        <v>8.7381510999999995E-2</v>
      </c>
      <c r="D38" s="54">
        <v>0.4150000406064987</v>
      </c>
      <c r="E38" s="54">
        <v>0</v>
      </c>
      <c r="F38" s="54">
        <v>0.23203283156840868</v>
      </c>
      <c r="G38" s="54">
        <v>0.78248972467766453</v>
      </c>
      <c r="H38" s="54">
        <v>0.68245451314546257</v>
      </c>
      <c r="I38" s="54">
        <v>0.61057481595092034</v>
      </c>
      <c r="J38" s="55">
        <v>0</v>
      </c>
      <c r="K38" s="54">
        <v>0.52699999999999991</v>
      </c>
      <c r="L38" s="54">
        <v>3.3000000000000002E-2</v>
      </c>
      <c r="M38" s="54">
        <v>6.2E-2</v>
      </c>
      <c r="N38" s="54">
        <v>0.61471437461107659</v>
      </c>
      <c r="O38" s="54">
        <v>0</v>
      </c>
      <c r="P38" s="54">
        <v>1</v>
      </c>
      <c r="Q38" s="54">
        <v>0</v>
      </c>
      <c r="R38" s="54">
        <v>0.82634348588741824</v>
      </c>
      <c r="S38" s="54">
        <v>0.4513544294405698</v>
      </c>
      <c r="T38" s="48">
        <v>0</v>
      </c>
      <c r="U38" s="56">
        <v>0</v>
      </c>
      <c r="V38" s="56">
        <f>1</f>
        <v>1</v>
      </c>
      <c r="W38" s="57">
        <v>0</v>
      </c>
      <c r="X38" s="58">
        <v>0</v>
      </c>
      <c r="Y38" s="58">
        <v>0.45244581614125873</v>
      </c>
      <c r="Z38" s="58">
        <v>0</v>
      </c>
      <c r="AA38" s="58">
        <v>129.57841562999999</v>
      </c>
    </row>
    <row r="39" spans="1:27" s="48" customFormat="1" x14ac:dyDescent="0.35">
      <c r="A39" s="54">
        <v>0.39400000000000002</v>
      </c>
      <c r="B39" s="54">
        <v>0.4</v>
      </c>
      <c r="C39" s="54">
        <v>8.9404032999999994E-2</v>
      </c>
      <c r="D39" s="54">
        <v>0.41800004872779845</v>
      </c>
      <c r="E39" s="54">
        <v>0</v>
      </c>
      <c r="F39" s="54">
        <v>0</v>
      </c>
      <c r="G39" s="54">
        <v>0.78248972467766453</v>
      </c>
      <c r="H39" s="54">
        <v>0.68245451314546257</v>
      </c>
      <c r="I39" s="54">
        <v>0.63213205521472393</v>
      </c>
      <c r="J39" s="55">
        <v>0</v>
      </c>
      <c r="K39" s="54">
        <v>0.57200000000000006</v>
      </c>
      <c r="L39" s="54">
        <v>2.4999999999999998E-2</v>
      </c>
      <c r="M39" s="54">
        <v>5.3999999999999999E-2</v>
      </c>
      <c r="N39" s="54">
        <v>0.61426571250777851</v>
      </c>
      <c r="O39" s="54">
        <v>0</v>
      </c>
      <c r="P39" s="54">
        <v>1</v>
      </c>
      <c r="Q39" s="54">
        <v>0</v>
      </c>
      <c r="R39" s="54">
        <v>0.82634348588741824</v>
      </c>
      <c r="S39" s="54">
        <v>0.47903791363703813</v>
      </c>
      <c r="T39" s="48">
        <v>0</v>
      </c>
      <c r="U39" s="56">
        <v>0</v>
      </c>
      <c r="V39" s="56">
        <f>1</f>
        <v>1</v>
      </c>
      <c r="W39" s="57">
        <v>0.204938505864</v>
      </c>
      <c r="X39" s="58">
        <v>0</v>
      </c>
      <c r="Y39" s="58">
        <v>0.96052432728201087</v>
      </c>
      <c r="Z39" s="58">
        <v>0</v>
      </c>
      <c r="AA39" s="58">
        <v>330</v>
      </c>
    </row>
    <row r="40" spans="1:27" s="48" customFormat="1" x14ac:dyDescent="0.35">
      <c r="A40" s="54">
        <v>0.39800000000000002</v>
      </c>
      <c r="B40" s="54">
        <v>0.36299999999999999</v>
      </c>
      <c r="C40" s="54">
        <v>8.3889897000000005E-2</v>
      </c>
      <c r="D40" s="54">
        <v>0.43000008121299732</v>
      </c>
      <c r="E40" s="54">
        <v>0</v>
      </c>
      <c r="F40" s="54">
        <v>0.23203283156840868</v>
      </c>
      <c r="G40" s="54">
        <v>0.78248972467766453</v>
      </c>
      <c r="H40" s="54">
        <v>0.68245451314546257</v>
      </c>
      <c r="I40" s="54">
        <v>0.60374739263803678</v>
      </c>
      <c r="J40" s="55">
        <v>0</v>
      </c>
      <c r="K40" s="54">
        <v>0.54399999999999993</v>
      </c>
      <c r="L40" s="54">
        <v>2.1000000000000001E-2</v>
      </c>
      <c r="M40" s="54">
        <v>4.9999999999999996E-2</v>
      </c>
      <c r="N40" s="54">
        <v>0.60625326695706283</v>
      </c>
      <c r="O40" s="54">
        <v>0</v>
      </c>
      <c r="P40" s="54">
        <v>1</v>
      </c>
      <c r="Q40" s="54">
        <v>0</v>
      </c>
      <c r="R40" s="54">
        <v>0.82634348588741824</v>
      </c>
      <c r="S40" s="54">
        <v>0.45412880249295146</v>
      </c>
      <c r="T40" s="48">
        <v>0</v>
      </c>
      <c r="U40" s="56">
        <v>0</v>
      </c>
      <c r="V40" s="56">
        <f>1</f>
        <v>1</v>
      </c>
      <c r="W40" s="57">
        <v>0.40402203442199996</v>
      </c>
      <c r="X40" s="58">
        <v>0</v>
      </c>
      <c r="Y40" s="58">
        <v>1</v>
      </c>
      <c r="Z40" s="58">
        <v>984.02762299999995</v>
      </c>
      <c r="AA40" s="58">
        <v>330</v>
      </c>
    </row>
    <row r="41" spans="1:27" s="48" customFormat="1" x14ac:dyDescent="0.35">
      <c r="A41" s="54">
        <v>0.375</v>
      </c>
      <c r="B41" s="54">
        <v>0.26500000000000001</v>
      </c>
      <c r="C41" s="54">
        <v>7.8523670000000004E-2</v>
      </c>
      <c r="D41" s="54">
        <v>0.42599993502960221</v>
      </c>
      <c r="E41" s="54">
        <v>0</v>
      </c>
      <c r="F41" s="54">
        <v>0</v>
      </c>
      <c r="G41" s="54">
        <v>0.78248972467766453</v>
      </c>
      <c r="H41" s="54">
        <v>0.68245451314546257</v>
      </c>
      <c r="I41" s="54">
        <v>0.52096570552147237</v>
      </c>
      <c r="J41" s="55">
        <v>0</v>
      </c>
      <c r="K41" s="54">
        <v>0.44700000000000001</v>
      </c>
      <c r="L41" s="54">
        <v>2.3E-2</v>
      </c>
      <c r="M41" s="54">
        <v>5.0999999999999997E-2</v>
      </c>
      <c r="N41" s="54">
        <v>0.60138270068450528</v>
      </c>
      <c r="O41" s="54">
        <v>0</v>
      </c>
      <c r="P41" s="54">
        <v>1</v>
      </c>
      <c r="Q41" s="54">
        <v>0</v>
      </c>
      <c r="R41" s="54">
        <v>0.82634348588741824</v>
      </c>
      <c r="S41" s="54">
        <v>0.3765163970915566</v>
      </c>
      <c r="T41" s="48">
        <v>0</v>
      </c>
      <c r="U41" s="56">
        <v>0</v>
      </c>
      <c r="V41" s="56">
        <f>1</f>
        <v>1</v>
      </c>
      <c r="W41" s="57">
        <v>0.73645597202000002</v>
      </c>
      <c r="X41" s="58">
        <v>0</v>
      </c>
      <c r="Y41" s="58">
        <v>1</v>
      </c>
      <c r="Z41" s="58">
        <v>1240</v>
      </c>
      <c r="AA41" s="58">
        <v>330</v>
      </c>
    </row>
    <row r="42" spans="1:27" s="48" customFormat="1" x14ac:dyDescent="0.35">
      <c r="A42" s="54">
        <v>0.26400000000000001</v>
      </c>
      <c r="B42" s="54">
        <v>0.13300000000000001</v>
      </c>
      <c r="C42" s="54">
        <v>7.2706811999999996E-2</v>
      </c>
      <c r="D42" s="54">
        <v>0.42499979696750673</v>
      </c>
      <c r="E42" s="54">
        <v>9.1293776500713783E-2</v>
      </c>
      <c r="F42" s="54">
        <v>0.23203283156840868</v>
      </c>
      <c r="G42" s="54">
        <v>0.50703632988382785</v>
      </c>
      <c r="H42" s="54">
        <v>0.68245451314546257</v>
      </c>
      <c r="I42" s="54">
        <v>0.36255794478527603</v>
      </c>
      <c r="J42" s="55">
        <v>0</v>
      </c>
      <c r="K42" s="54">
        <v>0.30099999999999999</v>
      </c>
      <c r="L42" s="54">
        <v>3.3000000000000002E-2</v>
      </c>
      <c r="M42" s="54">
        <v>6.0999999999999999E-2</v>
      </c>
      <c r="N42" s="54">
        <v>0.60076913503422524</v>
      </c>
      <c r="O42" s="54">
        <v>0</v>
      </c>
      <c r="P42" s="54">
        <v>1</v>
      </c>
      <c r="Q42" s="54">
        <v>0</v>
      </c>
      <c r="R42" s="54">
        <v>0.82634348588741824</v>
      </c>
      <c r="S42" s="54">
        <v>0.2724170500074195</v>
      </c>
      <c r="T42" s="48">
        <v>0</v>
      </c>
      <c r="U42" s="56">
        <v>0.83886932004309223</v>
      </c>
      <c r="V42" s="56">
        <f>1</f>
        <v>1</v>
      </c>
      <c r="W42" s="57">
        <v>1</v>
      </c>
      <c r="X42" s="58">
        <v>0</v>
      </c>
      <c r="Y42" s="58">
        <v>1</v>
      </c>
      <c r="Z42" s="58">
        <v>1240</v>
      </c>
      <c r="AA42" s="58">
        <v>330</v>
      </c>
    </row>
    <row r="43" spans="1:27" s="48" customFormat="1" x14ac:dyDescent="0.35">
      <c r="A43" s="54">
        <v>5.8000000000000003E-2</v>
      </c>
      <c r="B43" s="54">
        <v>1.3000000000000001E-2</v>
      </c>
      <c r="C43" s="54">
        <v>7.3486639000000006E-2</v>
      </c>
      <c r="D43" s="54">
        <v>0.43000008121299732</v>
      </c>
      <c r="E43" s="54">
        <v>9.202959312854965E-2</v>
      </c>
      <c r="F43" s="54">
        <v>1</v>
      </c>
      <c r="G43" s="54">
        <v>0</v>
      </c>
      <c r="H43" s="54">
        <v>0.68245451314546257</v>
      </c>
      <c r="I43" s="54">
        <v>0.15076297546012268</v>
      </c>
      <c r="J43" s="55">
        <v>0</v>
      </c>
      <c r="K43" s="54">
        <v>0.126</v>
      </c>
      <c r="L43" s="54">
        <v>5.8999999999999997E-2</v>
      </c>
      <c r="M43" s="54">
        <v>8.1000000000000003E-2</v>
      </c>
      <c r="N43" s="54">
        <v>0.60318232731798382</v>
      </c>
      <c r="O43" s="54">
        <v>9.553032974880557E-2</v>
      </c>
      <c r="P43" s="54">
        <v>1</v>
      </c>
      <c r="Q43" s="54">
        <v>0</v>
      </c>
      <c r="R43" s="54">
        <v>0.82634348588741824</v>
      </c>
      <c r="S43" s="54">
        <v>0.16273964979967356</v>
      </c>
      <c r="T43" s="48">
        <v>0</v>
      </c>
      <c r="U43" s="56">
        <v>0.83886932004309223</v>
      </c>
      <c r="V43" s="56">
        <f>1</f>
        <v>1</v>
      </c>
      <c r="W43" s="57">
        <v>1</v>
      </c>
      <c r="X43" s="58">
        <v>0</v>
      </c>
      <c r="Y43" s="58">
        <v>1</v>
      </c>
      <c r="Z43" s="58">
        <v>1240</v>
      </c>
      <c r="AA43" s="58">
        <v>330</v>
      </c>
    </row>
    <row r="44" spans="1:27" s="48" customFormat="1" x14ac:dyDescent="0.35">
      <c r="A44" s="54">
        <v>0</v>
      </c>
      <c r="B44" s="54">
        <v>0</v>
      </c>
      <c r="C44" s="54">
        <v>0.115611123</v>
      </c>
      <c r="D44" s="54">
        <v>0.43600009745559681</v>
      </c>
      <c r="E44" s="54">
        <v>9.2620658944352216E-2</v>
      </c>
      <c r="F44" s="54">
        <v>1</v>
      </c>
      <c r="G44" s="54">
        <v>0</v>
      </c>
      <c r="H44" s="54">
        <v>0.68245451314546257</v>
      </c>
      <c r="I44" s="54">
        <v>0.13476990797546012</v>
      </c>
      <c r="J44" s="55">
        <v>0</v>
      </c>
      <c r="K44" s="54">
        <v>0</v>
      </c>
      <c r="L44" s="54">
        <v>0.159</v>
      </c>
      <c r="M44" s="54">
        <v>0.106</v>
      </c>
      <c r="N44" s="54">
        <v>0.60607342874922221</v>
      </c>
      <c r="O44" s="54">
        <v>9.581948700873387E-2</v>
      </c>
      <c r="P44" s="54">
        <v>1</v>
      </c>
      <c r="Q44" s="54">
        <v>0</v>
      </c>
      <c r="R44" s="54">
        <v>0.82634348588741824</v>
      </c>
      <c r="S44" s="54">
        <v>0.10060906662709601</v>
      </c>
      <c r="T44" s="48">
        <v>0</v>
      </c>
      <c r="U44" s="56">
        <v>0.83886932004309223</v>
      </c>
      <c r="V44" s="56">
        <f>1</f>
        <v>1</v>
      </c>
      <c r="W44" s="57">
        <v>1</v>
      </c>
      <c r="X44" s="58">
        <v>0</v>
      </c>
      <c r="Y44" s="58">
        <v>1</v>
      </c>
      <c r="Z44" s="58">
        <v>1240</v>
      </c>
      <c r="AA44" s="58">
        <v>330</v>
      </c>
    </row>
    <row r="45" spans="1:27" s="48" customFormat="1" x14ac:dyDescent="0.35">
      <c r="A45" s="54">
        <v>0</v>
      </c>
      <c r="B45" s="54">
        <v>0</v>
      </c>
      <c r="C45" s="54">
        <v>0.13827661499999999</v>
      </c>
      <c r="D45" s="54">
        <v>0.44299984569530515</v>
      </c>
      <c r="E45" s="54">
        <v>9.319966219248535E-2</v>
      </c>
      <c r="F45" s="54">
        <v>1</v>
      </c>
      <c r="G45" s="54">
        <v>0</v>
      </c>
      <c r="H45" s="54">
        <v>0.68245451314546257</v>
      </c>
      <c r="I45" s="54">
        <v>0.16117996932515335</v>
      </c>
      <c r="J45" s="55">
        <v>0</v>
      </c>
      <c r="K45" s="54">
        <v>0</v>
      </c>
      <c r="L45" s="54">
        <v>0.22199999999999998</v>
      </c>
      <c r="M45" s="54">
        <v>0.124</v>
      </c>
      <c r="N45" s="54">
        <v>0.61117672682016178</v>
      </c>
      <c r="O45" s="54">
        <v>9.6072499611171105E-2</v>
      </c>
      <c r="P45" s="54">
        <v>1</v>
      </c>
      <c r="Q45" s="54">
        <v>0</v>
      </c>
      <c r="R45" s="54">
        <v>0.82634348588741824</v>
      </c>
      <c r="S45" s="54">
        <v>0.11529017658406292</v>
      </c>
      <c r="T45" s="48">
        <v>0</v>
      </c>
      <c r="U45" s="56">
        <v>0.83886932004309223</v>
      </c>
      <c r="V45" s="56">
        <f>1</f>
        <v>1</v>
      </c>
      <c r="W45" s="57">
        <v>1</v>
      </c>
      <c r="X45" s="58">
        <v>0</v>
      </c>
      <c r="Y45" s="58">
        <v>1</v>
      </c>
      <c r="Z45" s="58">
        <v>1240</v>
      </c>
      <c r="AA45" s="58">
        <v>330</v>
      </c>
    </row>
    <row r="46" spans="1:27" s="48" customFormat="1" x14ac:dyDescent="0.35">
      <c r="A46" s="54">
        <v>0</v>
      </c>
      <c r="B46" s="54">
        <v>0</v>
      </c>
      <c r="C46" s="54">
        <v>0.13061771899999999</v>
      </c>
      <c r="D46" s="54">
        <v>0.45199987005920433</v>
      </c>
      <c r="E46" s="54">
        <v>9.2620658944352216E-2</v>
      </c>
      <c r="F46" s="54">
        <v>0.90031500495737282</v>
      </c>
      <c r="G46" s="54">
        <v>0</v>
      </c>
      <c r="H46" s="54">
        <v>0.68245451314546257</v>
      </c>
      <c r="I46" s="54">
        <v>0.15225251533742332</v>
      </c>
      <c r="J46" s="55">
        <v>0</v>
      </c>
      <c r="K46" s="54">
        <v>0</v>
      </c>
      <c r="L46" s="54">
        <v>0.223</v>
      </c>
      <c r="M46" s="54">
        <v>0.13100000000000001</v>
      </c>
      <c r="N46" s="54">
        <v>0.61380460485376476</v>
      </c>
      <c r="O46" s="54">
        <v>9.6072499611171105E-2</v>
      </c>
      <c r="P46" s="54">
        <v>1</v>
      </c>
      <c r="Q46" s="54">
        <v>0</v>
      </c>
      <c r="R46" s="54">
        <v>0.82634348588741824</v>
      </c>
      <c r="S46" s="54">
        <v>0.12076606321412672</v>
      </c>
      <c r="T46" s="48">
        <v>0</v>
      </c>
      <c r="U46" s="56">
        <v>0.83886932004309223</v>
      </c>
      <c r="V46" s="56">
        <f>1</f>
        <v>1</v>
      </c>
      <c r="W46" s="57">
        <v>1</v>
      </c>
      <c r="X46" s="58">
        <v>0</v>
      </c>
      <c r="Y46" s="58">
        <v>1</v>
      </c>
      <c r="Z46" s="58">
        <v>1240</v>
      </c>
      <c r="AA46" s="58">
        <v>330</v>
      </c>
    </row>
    <row r="47" spans="1:27" s="48" customFormat="1" x14ac:dyDescent="0.35">
      <c r="A47" s="54">
        <v>0</v>
      </c>
      <c r="B47" s="54">
        <v>0</v>
      </c>
      <c r="C47" s="54">
        <v>0.11403063400000001</v>
      </c>
      <c r="D47" s="54">
        <v>0.44999999999999996</v>
      </c>
      <c r="E47" s="54">
        <v>9.2174343940582923E-2</v>
      </c>
      <c r="F47" s="54">
        <v>0.23203283156840868</v>
      </c>
      <c r="G47" s="54">
        <v>0</v>
      </c>
      <c r="H47" s="54">
        <v>0.68245451314546257</v>
      </c>
      <c r="I47" s="54">
        <v>0.13291803680981595</v>
      </c>
      <c r="J47" s="55">
        <v>0</v>
      </c>
      <c r="K47" s="54">
        <v>0</v>
      </c>
      <c r="L47" s="54">
        <v>0.20699999999999999</v>
      </c>
      <c r="M47" s="54">
        <v>0.13</v>
      </c>
      <c r="N47" s="54">
        <v>0.61083322962041076</v>
      </c>
      <c r="O47" s="54">
        <v>9.553032974880557E-2</v>
      </c>
      <c r="P47" s="54">
        <v>1</v>
      </c>
      <c r="Q47" s="54">
        <v>0</v>
      </c>
      <c r="R47" s="54">
        <v>0.82634348588741824</v>
      </c>
      <c r="S47" s="54">
        <v>0.1217659890191423</v>
      </c>
      <c r="T47" s="48">
        <v>0</v>
      </c>
      <c r="U47" s="56">
        <v>0.83886932004309223</v>
      </c>
      <c r="V47" s="56">
        <f>1</f>
        <v>1</v>
      </c>
      <c r="W47" s="57">
        <v>1</v>
      </c>
      <c r="X47" s="58">
        <v>0</v>
      </c>
      <c r="Y47" s="58">
        <v>1</v>
      </c>
      <c r="Z47" s="58">
        <v>1240</v>
      </c>
      <c r="AA47" s="58">
        <v>330</v>
      </c>
    </row>
    <row r="48" spans="1:27" s="48" customFormat="1" x14ac:dyDescent="0.35">
      <c r="A48" s="54">
        <v>0</v>
      </c>
      <c r="B48" s="54">
        <v>0</v>
      </c>
      <c r="C48" s="54">
        <v>0.107394823</v>
      </c>
      <c r="D48" s="54">
        <v>0.44599985381660484</v>
      </c>
      <c r="E48" s="54">
        <v>9.1004274876647209E-2</v>
      </c>
      <c r="F48" s="54">
        <v>0.61627410041105612</v>
      </c>
      <c r="G48" s="54">
        <v>0</v>
      </c>
      <c r="H48" s="54">
        <v>0.68245451314546257</v>
      </c>
      <c r="I48" s="54">
        <v>0.1251830981595092</v>
      </c>
      <c r="J48" s="55">
        <v>0</v>
      </c>
      <c r="K48" s="54">
        <v>0</v>
      </c>
      <c r="L48" s="54">
        <v>0.20299999999999999</v>
      </c>
      <c r="M48" s="54">
        <v>0.127</v>
      </c>
      <c r="N48" s="54">
        <v>0.61162227753578091</v>
      </c>
      <c r="O48" s="54">
        <v>9.553032974880557E-2</v>
      </c>
      <c r="P48" s="54">
        <v>1</v>
      </c>
      <c r="Q48" s="54">
        <v>0</v>
      </c>
      <c r="R48" s="54">
        <v>0.82634348588741824</v>
      </c>
      <c r="S48" s="54">
        <v>0.12298568036800712</v>
      </c>
      <c r="T48" s="48">
        <v>0</v>
      </c>
      <c r="U48" s="56">
        <v>0.83886932004309223</v>
      </c>
      <c r="V48" s="56">
        <f>1</f>
        <v>1</v>
      </c>
      <c r="W48" s="57">
        <v>1</v>
      </c>
      <c r="X48" s="58">
        <v>0</v>
      </c>
      <c r="Y48" s="58">
        <v>1</v>
      </c>
      <c r="Z48" s="58">
        <v>1240</v>
      </c>
      <c r="AA48" s="58">
        <v>330</v>
      </c>
    </row>
    <row r="49" spans="1:27" s="48" customFormat="1" x14ac:dyDescent="0.35">
      <c r="A49" s="54">
        <v>0</v>
      </c>
      <c r="B49" s="54">
        <v>0</v>
      </c>
      <c r="C49" s="54">
        <v>0.103424957</v>
      </c>
      <c r="D49" s="54">
        <v>0.44599985381660484</v>
      </c>
      <c r="E49" s="54">
        <v>0.20342075419448849</v>
      </c>
      <c r="F49" s="54">
        <v>0.23203283156840868</v>
      </c>
      <c r="G49" s="54">
        <v>0</v>
      </c>
      <c r="H49" s="54">
        <v>0.68245451314546257</v>
      </c>
      <c r="I49" s="54">
        <v>0.12055567484662576</v>
      </c>
      <c r="J49" s="55">
        <v>0</v>
      </c>
      <c r="K49" s="54">
        <v>0</v>
      </c>
      <c r="L49" s="54">
        <v>0.21499999999999997</v>
      </c>
      <c r="M49" s="54">
        <v>0.11600000000000001</v>
      </c>
      <c r="N49" s="54">
        <v>0.60667019290603608</v>
      </c>
      <c r="O49" s="54">
        <v>9.4771291941493835E-2</v>
      </c>
      <c r="P49" s="54">
        <v>1</v>
      </c>
      <c r="Q49" s="54">
        <v>0</v>
      </c>
      <c r="R49" s="54">
        <v>0.82634348588741824</v>
      </c>
      <c r="S49" s="54">
        <v>0.11759103724588219</v>
      </c>
      <c r="T49" s="48">
        <v>0</v>
      </c>
      <c r="U49" s="56">
        <v>0.83886932004309223</v>
      </c>
      <c r="V49" s="56">
        <f>1</f>
        <v>1</v>
      </c>
      <c r="W49" s="57">
        <v>1</v>
      </c>
      <c r="X49" s="58">
        <v>0</v>
      </c>
      <c r="Y49" s="58">
        <v>1</v>
      </c>
      <c r="Z49" s="58">
        <v>1240</v>
      </c>
      <c r="AA49" s="58">
        <v>330</v>
      </c>
    </row>
    <row r="50" spans="1:27" s="48" customFormat="1" x14ac:dyDescent="0.35">
      <c r="A50" s="54">
        <v>0</v>
      </c>
      <c r="B50" s="54">
        <v>0</v>
      </c>
      <c r="C50" s="54">
        <v>0.107749769</v>
      </c>
      <c r="D50" s="54">
        <v>0.43399982133140597</v>
      </c>
      <c r="E50" s="54">
        <v>9.5243103769924356E-2</v>
      </c>
      <c r="F50" s="54">
        <v>0.23203283156840868</v>
      </c>
      <c r="G50" s="54">
        <v>0</v>
      </c>
      <c r="H50" s="54">
        <v>0.68245451314546257</v>
      </c>
      <c r="I50" s="54">
        <v>0.12559684049079753</v>
      </c>
      <c r="J50" s="55">
        <v>0</v>
      </c>
      <c r="K50" s="54">
        <v>0</v>
      </c>
      <c r="L50" s="54">
        <v>0.23500000000000001</v>
      </c>
      <c r="M50" s="54">
        <v>0.11</v>
      </c>
      <c r="N50" s="54">
        <v>0.55700684505289355</v>
      </c>
      <c r="O50" s="54">
        <v>8.4759221816477145E-2</v>
      </c>
      <c r="P50" s="54">
        <v>1</v>
      </c>
      <c r="Q50" s="54">
        <v>0</v>
      </c>
      <c r="R50" s="54">
        <v>0.82634348588741824</v>
      </c>
      <c r="S50" s="54">
        <v>0.11309326309541474</v>
      </c>
      <c r="T50" s="48">
        <v>0</v>
      </c>
      <c r="U50" s="56">
        <v>0.83005541447393671</v>
      </c>
      <c r="V50" s="56">
        <f>1</f>
        <v>1</v>
      </c>
      <c r="W50" s="57">
        <v>1</v>
      </c>
      <c r="X50" s="58">
        <v>0</v>
      </c>
      <c r="Y50" s="58">
        <v>1</v>
      </c>
      <c r="Z50" s="58">
        <v>1240</v>
      </c>
      <c r="AA50" s="58">
        <v>330</v>
      </c>
    </row>
    <row r="51" spans="1:27" s="48" customFormat="1" x14ac:dyDescent="0.35">
      <c r="A51" s="54">
        <v>0</v>
      </c>
      <c r="B51" s="54">
        <v>0</v>
      </c>
      <c r="C51" s="54">
        <v>0.111496518</v>
      </c>
      <c r="D51" s="54">
        <v>0.43000008121299732</v>
      </c>
      <c r="E51" s="54">
        <v>8.6468749432937642E-2</v>
      </c>
      <c r="F51" s="54">
        <v>0.23203283156840868</v>
      </c>
      <c r="G51" s="54">
        <v>0</v>
      </c>
      <c r="H51" s="54">
        <v>0.68245451314546257</v>
      </c>
      <c r="I51" s="54">
        <v>0.1299641717791411</v>
      </c>
      <c r="J51" s="55">
        <v>0</v>
      </c>
      <c r="K51" s="54">
        <v>0</v>
      </c>
      <c r="L51" s="54">
        <v>0.247</v>
      </c>
      <c r="M51" s="54">
        <v>0.106</v>
      </c>
      <c r="N51" s="54">
        <v>0.55283696328562537</v>
      </c>
      <c r="O51" s="54">
        <v>8.374717140672816E-2</v>
      </c>
      <c r="P51" s="54">
        <v>1</v>
      </c>
      <c r="Q51" s="54">
        <v>0</v>
      </c>
      <c r="R51" s="54">
        <v>0.82634348588741824</v>
      </c>
      <c r="S51" s="54">
        <v>0.11207256269476183</v>
      </c>
      <c r="T51" s="48">
        <v>0</v>
      </c>
      <c r="U51" s="56">
        <v>0.83005541447393671</v>
      </c>
      <c r="V51" s="56">
        <f>1</f>
        <v>1</v>
      </c>
      <c r="W51" s="57">
        <v>1</v>
      </c>
      <c r="X51" s="58">
        <v>0</v>
      </c>
      <c r="Y51" s="58">
        <v>1</v>
      </c>
      <c r="Z51" s="58">
        <v>1240</v>
      </c>
      <c r="AA51" s="58">
        <v>330</v>
      </c>
    </row>
    <row r="52" spans="1:27" s="48" customFormat="1" x14ac:dyDescent="0.35">
      <c r="A52" s="54">
        <v>0</v>
      </c>
      <c r="B52" s="54">
        <v>0</v>
      </c>
      <c r="C52" s="54">
        <v>0.11350845499999999</v>
      </c>
      <c r="D52" s="54">
        <v>0.42200019491119356</v>
      </c>
      <c r="E52" s="54">
        <v>8.6468749432937642E-2</v>
      </c>
      <c r="F52" s="54">
        <v>0.23203283156840868</v>
      </c>
      <c r="G52" s="54">
        <v>0</v>
      </c>
      <c r="H52" s="54">
        <v>0.68245451314546257</v>
      </c>
      <c r="I52" s="54">
        <v>0.13230935582822084</v>
      </c>
      <c r="J52" s="55">
        <v>0</v>
      </c>
      <c r="K52" s="54">
        <v>0</v>
      </c>
      <c r="L52" s="54">
        <v>0.255</v>
      </c>
      <c r="M52" s="54">
        <v>0.11</v>
      </c>
      <c r="N52" s="54">
        <v>0.55230180460485379</v>
      </c>
      <c r="O52" s="54">
        <v>8.1467423811443174E-2</v>
      </c>
      <c r="P52" s="54">
        <v>1</v>
      </c>
      <c r="Q52" s="54">
        <v>0</v>
      </c>
      <c r="R52" s="54">
        <v>0.82634348588741824</v>
      </c>
      <c r="S52" s="54">
        <v>0.1160556462383143</v>
      </c>
      <c r="T52" s="48">
        <v>0</v>
      </c>
      <c r="U52" s="56">
        <v>0.83005541447393671</v>
      </c>
      <c r="V52" s="56">
        <f>1</f>
        <v>1</v>
      </c>
      <c r="W52" s="57">
        <v>1</v>
      </c>
      <c r="X52" s="58">
        <v>0</v>
      </c>
      <c r="Y52" s="58">
        <v>1</v>
      </c>
      <c r="Z52" s="58">
        <v>1240</v>
      </c>
      <c r="AA52" s="58">
        <v>330</v>
      </c>
    </row>
    <row r="53" spans="1:27" s="48" customFormat="1" x14ac:dyDescent="0.35">
      <c r="A53" s="54">
        <v>0</v>
      </c>
      <c r="B53" s="54">
        <v>0</v>
      </c>
      <c r="C53" s="54">
        <v>0.10916308</v>
      </c>
      <c r="D53" s="54">
        <v>0.41699991066570302</v>
      </c>
      <c r="E53" s="54">
        <v>8.6468749432937642E-2</v>
      </c>
      <c r="F53" s="54">
        <v>0.23203283156840868</v>
      </c>
      <c r="G53" s="54">
        <v>0</v>
      </c>
      <c r="H53" s="54">
        <v>0.68245451314546257</v>
      </c>
      <c r="I53" s="54">
        <v>0.12724423312883437</v>
      </c>
      <c r="J53" s="55">
        <v>0</v>
      </c>
      <c r="K53" s="54">
        <v>0</v>
      </c>
      <c r="L53" s="54">
        <v>0.254</v>
      </c>
      <c r="M53" s="54">
        <v>0.111</v>
      </c>
      <c r="N53" s="54">
        <v>0.54694337274424387</v>
      </c>
      <c r="O53" s="54">
        <v>0</v>
      </c>
      <c r="P53" s="54">
        <v>1</v>
      </c>
      <c r="Q53" s="54">
        <v>0</v>
      </c>
      <c r="R53" s="54">
        <v>0.82634348588741824</v>
      </c>
      <c r="S53" s="54">
        <v>0.11838655586882327</v>
      </c>
      <c r="T53" s="48">
        <v>0</v>
      </c>
      <c r="U53" s="56">
        <v>0.83005541447393671</v>
      </c>
      <c r="V53" s="56">
        <f>1</f>
        <v>1</v>
      </c>
      <c r="W53" s="57">
        <v>1</v>
      </c>
      <c r="X53" s="58">
        <v>0</v>
      </c>
      <c r="Y53" s="58">
        <v>1</v>
      </c>
      <c r="Z53" s="58">
        <v>1240</v>
      </c>
      <c r="AA53" s="58">
        <v>330</v>
      </c>
    </row>
    <row r="54" spans="1:27" s="48" customFormat="1" x14ac:dyDescent="0.35">
      <c r="A54" s="54">
        <v>0</v>
      </c>
      <c r="B54" s="54">
        <v>0</v>
      </c>
      <c r="C54" s="54">
        <v>0.104742366</v>
      </c>
      <c r="D54" s="54">
        <v>0.4150000406064987</v>
      </c>
      <c r="E54" s="54">
        <v>8.6468749432937642E-2</v>
      </c>
      <c r="F54" s="54">
        <v>0.23203283156840868</v>
      </c>
      <c r="G54" s="54">
        <v>0</v>
      </c>
      <c r="H54" s="54">
        <v>0.68245451314546257</v>
      </c>
      <c r="I54" s="54">
        <v>0.12209128834355829</v>
      </c>
      <c r="J54" s="55">
        <v>0</v>
      </c>
      <c r="K54" s="54">
        <v>0</v>
      </c>
      <c r="L54" s="54">
        <v>0.25</v>
      </c>
      <c r="M54" s="54">
        <v>0.112</v>
      </c>
      <c r="N54" s="54">
        <v>0.53815805849408838</v>
      </c>
      <c r="O54" s="54">
        <v>8.4000184009165396E-2</v>
      </c>
      <c r="P54" s="54">
        <v>1</v>
      </c>
      <c r="Q54" s="54">
        <v>0</v>
      </c>
      <c r="R54" s="54">
        <v>0.82634348588741824</v>
      </c>
      <c r="S54" s="54">
        <v>0.11942172429143789</v>
      </c>
      <c r="T54" s="48">
        <v>0</v>
      </c>
      <c r="U54" s="56">
        <v>0.83005541447393671</v>
      </c>
      <c r="V54" s="56">
        <f>1</f>
        <v>1</v>
      </c>
      <c r="W54" s="57">
        <v>1</v>
      </c>
      <c r="X54" s="58">
        <v>0</v>
      </c>
      <c r="Y54" s="58">
        <v>1</v>
      </c>
      <c r="Z54" s="58">
        <v>1240</v>
      </c>
      <c r="AA54" s="58">
        <v>330</v>
      </c>
    </row>
    <row r="55" spans="1:27" s="48" customFormat="1" x14ac:dyDescent="0.35">
      <c r="A55" s="54">
        <v>0</v>
      </c>
      <c r="B55" s="54">
        <v>0</v>
      </c>
      <c r="C55" s="54">
        <v>0.10133547399999999</v>
      </c>
      <c r="D55" s="54">
        <v>0.41600017866859418</v>
      </c>
      <c r="E55" s="54">
        <v>8.6468749432937642E-2</v>
      </c>
      <c r="F55" s="54">
        <v>0.44134984297536456</v>
      </c>
      <c r="G55" s="54">
        <v>0</v>
      </c>
      <c r="H55" s="54">
        <v>0.68245451314546257</v>
      </c>
      <c r="I55" s="54">
        <v>0.1181201226993865</v>
      </c>
      <c r="J55" s="55">
        <v>0</v>
      </c>
      <c r="K55" s="54">
        <v>0</v>
      </c>
      <c r="L55" s="54">
        <v>0.26100000000000001</v>
      </c>
      <c r="M55" s="54">
        <v>0.11</v>
      </c>
      <c r="N55" s="54">
        <v>0.53500124455507159</v>
      </c>
      <c r="O55" s="54">
        <v>0</v>
      </c>
      <c r="P55" s="54">
        <v>1</v>
      </c>
      <c r="Q55" s="54">
        <v>0</v>
      </c>
      <c r="R55" s="54">
        <v>0.82634348588741824</v>
      </c>
      <c r="S55" s="54">
        <v>0.12108406291734679</v>
      </c>
      <c r="T55" s="48">
        <v>0</v>
      </c>
      <c r="U55" s="56">
        <v>0.83005541447393671</v>
      </c>
      <c r="V55" s="56">
        <f>1</f>
        <v>1</v>
      </c>
      <c r="W55" s="57">
        <v>1</v>
      </c>
      <c r="X55" s="58">
        <v>1.0057257668049571E-2</v>
      </c>
      <c r="Y55" s="58">
        <v>1</v>
      </c>
      <c r="Z55" s="58">
        <v>1240</v>
      </c>
      <c r="AA55" s="58">
        <v>330</v>
      </c>
    </row>
    <row r="56" spans="1:27" s="48" customFormat="1" x14ac:dyDescent="0.35">
      <c r="A56" s="54">
        <v>0</v>
      </c>
      <c r="B56" s="54">
        <v>0</v>
      </c>
      <c r="C56" s="54">
        <v>9.3626618999999994E-2</v>
      </c>
      <c r="D56" s="54">
        <v>0.41900018678989387</v>
      </c>
      <c r="E56" s="54">
        <v>8.7349316872806795E-2</v>
      </c>
      <c r="F56" s="54">
        <v>0.91026767041262924</v>
      </c>
      <c r="G56" s="54">
        <v>0</v>
      </c>
      <c r="H56" s="54">
        <v>0.68245451314546257</v>
      </c>
      <c r="I56" s="54">
        <v>0.10913441717791411</v>
      </c>
      <c r="J56" s="55">
        <v>0</v>
      </c>
      <c r="K56" s="54">
        <v>0</v>
      </c>
      <c r="L56" s="54">
        <v>0.26100000000000001</v>
      </c>
      <c r="M56" s="54">
        <v>0.104</v>
      </c>
      <c r="N56" s="54">
        <v>0.53214250155569387</v>
      </c>
      <c r="O56" s="54">
        <v>0</v>
      </c>
      <c r="P56" s="54">
        <v>1</v>
      </c>
      <c r="Q56" s="54">
        <v>0</v>
      </c>
      <c r="R56" s="54">
        <v>0.82634348588741824</v>
      </c>
      <c r="S56" s="54">
        <v>0.11921791066923876</v>
      </c>
      <c r="T56" s="48">
        <v>0</v>
      </c>
      <c r="U56" s="56">
        <v>0.83005541447393671</v>
      </c>
      <c r="V56" s="56">
        <f>1</f>
        <v>1</v>
      </c>
      <c r="W56" s="57">
        <v>1</v>
      </c>
      <c r="X56" s="58">
        <v>0</v>
      </c>
      <c r="Y56" s="58">
        <v>1</v>
      </c>
      <c r="Z56" s="58">
        <v>1240</v>
      </c>
      <c r="AA56" s="58">
        <v>55.778239650000003</v>
      </c>
    </row>
    <row r="57" spans="1:27" s="48" customFormat="1" x14ac:dyDescent="0.35">
      <c r="A57" s="54">
        <v>0</v>
      </c>
      <c r="B57" s="54">
        <v>0</v>
      </c>
      <c r="C57" s="54">
        <v>8.0518063000000001E-2</v>
      </c>
      <c r="D57" s="54">
        <v>0.42200019491119356</v>
      </c>
      <c r="E57" s="54">
        <v>8.9689455000678223E-2</v>
      </c>
      <c r="F57" s="54">
        <v>0.34150279894119223</v>
      </c>
      <c r="G57" s="54">
        <v>0</v>
      </c>
      <c r="H57" s="54">
        <v>0.68245451314546257</v>
      </c>
      <c r="I57" s="54">
        <v>9.3854631901840499E-2</v>
      </c>
      <c r="J57" s="55">
        <v>0</v>
      </c>
      <c r="K57" s="54">
        <v>0</v>
      </c>
      <c r="L57" s="54">
        <v>0.24299999999999999</v>
      </c>
      <c r="M57" s="54">
        <v>9.5000000000000001E-2</v>
      </c>
      <c r="N57" s="54">
        <v>0.57415308027380207</v>
      </c>
      <c r="O57" s="54">
        <v>9.3759241531744864E-2</v>
      </c>
      <c r="P57" s="54">
        <v>1</v>
      </c>
      <c r="Q57" s="54">
        <v>0</v>
      </c>
      <c r="R57" s="54">
        <v>0.82634348588741824</v>
      </c>
      <c r="S57" s="54">
        <v>0.11391845971212346</v>
      </c>
      <c r="T57" s="48">
        <v>0</v>
      </c>
      <c r="U57" s="56">
        <v>0.83005541447393671</v>
      </c>
      <c r="V57" s="56">
        <f>1</f>
        <v>1</v>
      </c>
      <c r="W57" s="57">
        <v>1</v>
      </c>
      <c r="X57" s="58">
        <v>0</v>
      </c>
      <c r="Y57" s="58">
        <v>1</v>
      </c>
      <c r="Z57" s="58">
        <v>1240</v>
      </c>
      <c r="AA57" s="58">
        <v>330</v>
      </c>
    </row>
    <row r="58" spans="1:27" s="48" customFormat="1" x14ac:dyDescent="0.35">
      <c r="A58" s="54">
        <v>0</v>
      </c>
      <c r="B58" s="54">
        <v>0</v>
      </c>
      <c r="C58" s="54">
        <v>7.7173868000000007E-2</v>
      </c>
      <c r="D58" s="54">
        <v>0.43199995127220159</v>
      </c>
      <c r="E58" s="54">
        <v>9.202959312854965E-2</v>
      </c>
      <c r="F58" s="54">
        <v>1</v>
      </c>
      <c r="G58" s="54">
        <v>0</v>
      </c>
      <c r="H58" s="54">
        <v>0.68245451314546257</v>
      </c>
      <c r="I58" s="54">
        <v>9.5860337423312889E-2</v>
      </c>
      <c r="J58" s="55">
        <v>0</v>
      </c>
      <c r="K58" s="54">
        <v>0</v>
      </c>
      <c r="L58" s="54">
        <v>0.19199999999999998</v>
      </c>
      <c r="M58" s="54">
        <v>8.5999999999999993E-2</v>
      </c>
      <c r="N58" s="54">
        <v>0.58168388301182328</v>
      </c>
      <c r="O58" s="54">
        <v>9.4771291941493835E-2</v>
      </c>
      <c r="P58" s="54">
        <v>1</v>
      </c>
      <c r="Q58" s="54">
        <v>0</v>
      </c>
      <c r="R58" s="54">
        <v>0.82634348588741824</v>
      </c>
      <c r="S58" s="54">
        <v>0.10583039026561805</v>
      </c>
      <c r="T58" s="48">
        <v>0</v>
      </c>
      <c r="U58" s="56">
        <v>0.83005541447393671</v>
      </c>
      <c r="V58" s="56">
        <f>1</f>
        <v>1</v>
      </c>
      <c r="W58" s="57">
        <v>1</v>
      </c>
      <c r="X58" s="58">
        <v>0</v>
      </c>
      <c r="Y58" s="58">
        <v>1</v>
      </c>
      <c r="Z58" s="58">
        <v>1240</v>
      </c>
      <c r="AA58" s="58">
        <v>330</v>
      </c>
    </row>
    <row r="59" spans="1:27" s="48" customFormat="1" x14ac:dyDescent="0.35">
      <c r="A59" s="54">
        <v>0.113</v>
      </c>
      <c r="B59" s="54">
        <v>6.5000000000000002E-2</v>
      </c>
      <c r="C59" s="54">
        <v>6.3607421999999997E-2</v>
      </c>
      <c r="D59" s="54">
        <v>0.44299984569530515</v>
      </c>
      <c r="E59" s="54">
        <v>9.2174343940582923E-2</v>
      </c>
      <c r="F59" s="54">
        <v>0.66759744213237593</v>
      </c>
      <c r="G59" s="54">
        <v>0</v>
      </c>
      <c r="H59" s="54">
        <v>0.68245451314546257</v>
      </c>
      <c r="I59" s="54">
        <v>0.21446009202453989</v>
      </c>
      <c r="J59" s="55">
        <v>0</v>
      </c>
      <c r="K59" s="54">
        <v>5.3999999999999999E-2</v>
      </c>
      <c r="L59" s="54">
        <v>0.12999999999999998</v>
      </c>
      <c r="M59" s="54">
        <v>7.5999999999999998E-2</v>
      </c>
      <c r="N59" s="54">
        <v>0.58828375855631609</v>
      </c>
      <c r="O59" s="54">
        <v>9.553032974880557E-2</v>
      </c>
      <c r="P59" s="54">
        <v>1</v>
      </c>
      <c r="Q59" s="54">
        <v>0</v>
      </c>
      <c r="R59" s="54">
        <v>0.82634348588741824</v>
      </c>
      <c r="S59" s="54">
        <v>0.13823415937082653</v>
      </c>
      <c r="T59" s="48">
        <v>0</v>
      </c>
      <c r="U59" s="56">
        <v>0.83005541447393671</v>
      </c>
      <c r="V59" s="56">
        <f>1</f>
        <v>1</v>
      </c>
      <c r="W59" s="57">
        <v>1</v>
      </c>
      <c r="X59" s="58">
        <v>0</v>
      </c>
      <c r="Y59" s="58">
        <v>1</v>
      </c>
      <c r="Z59" s="58">
        <v>1240</v>
      </c>
      <c r="AA59" s="58">
        <v>330</v>
      </c>
    </row>
    <row r="60" spans="1:27" s="48" customFormat="1" x14ac:dyDescent="0.35">
      <c r="A60" s="54">
        <v>0.28000000000000003</v>
      </c>
      <c r="B60" s="54">
        <v>0.16800000000000001</v>
      </c>
      <c r="C60" s="54">
        <v>3.2033387000000003E-2</v>
      </c>
      <c r="D60" s="54">
        <v>0.445000121819496</v>
      </c>
      <c r="E60" s="54">
        <v>9.2174343940582923E-2</v>
      </c>
      <c r="F60" s="54">
        <v>0.23203283156840868</v>
      </c>
      <c r="G60" s="54">
        <v>0.69985943466546552</v>
      </c>
      <c r="H60" s="54">
        <v>0.68245451314546257</v>
      </c>
      <c r="I60" s="54">
        <v>0.3699883742331288</v>
      </c>
      <c r="J60" s="55">
        <v>0</v>
      </c>
      <c r="K60" s="54">
        <v>0.21099999999999999</v>
      </c>
      <c r="L60" s="54">
        <v>6.4999999999999988E-2</v>
      </c>
      <c r="M60" s="54">
        <v>6.3E-2</v>
      </c>
      <c r="N60" s="54">
        <v>0.59056378344741756</v>
      </c>
      <c r="O60" s="54">
        <v>0</v>
      </c>
      <c r="P60" s="54">
        <v>1</v>
      </c>
      <c r="Q60" s="54">
        <v>0</v>
      </c>
      <c r="R60" s="54">
        <v>0.82634348588741824</v>
      </c>
      <c r="S60" s="54">
        <v>0.25002470692981155</v>
      </c>
      <c r="T60" s="48">
        <v>0</v>
      </c>
      <c r="U60" s="56">
        <v>0.83005541447393671</v>
      </c>
      <c r="V60" s="56">
        <f>1</f>
        <v>1</v>
      </c>
      <c r="W60" s="57">
        <v>1</v>
      </c>
      <c r="X60" s="58">
        <v>0</v>
      </c>
      <c r="Y60" s="58">
        <v>1</v>
      </c>
      <c r="Z60" s="58">
        <v>1240</v>
      </c>
      <c r="AA60" s="58">
        <v>330</v>
      </c>
    </row>
    <row r="61" spans="1:27" s="48" customFormat="1" x14ac:dyDescent="0.35">
      <c r="A61" s="54">
        <v>0.34599999999999997</v>
      </c>
      <c r="B61" s="54">
        <v>0.27399999999999997</v>
      </c>
      <c r="C61" s="54">
        <v>1.5442123E-2</v>
      </c>
      <c r="D61" s="54">
        <v>0.42799980508880647</v>
      </c>
      <c r="E61" s="54">
        <v>9.2319094752616196E-2</v>
      </c>
      <c r="F61" s="54">
        <v>0.23203283156840868</v>
      </c>
      <c r="G61" s="54">
        <v>0.78248972467766453</v>
      </c>
      <c r="H61" s="54">
        <v>0.68245451314546257</v>
      </c>
      <c r="I61" s="54">
        <v>0.4633111963190184</v>
      </c>
      <c r="J61" s="55">
        <v>0</v>
      </c>
      <c r="K61" s="54">
        <v>0.36699999999999999</v>
      </c>
      <c r="L61" s="54">
        <v>0.03</v>
      </c>
      <c r="M61" s="54">
        <v>5.3999999999999999E-2</v>
      </c>
      <c r="N61" s="54">
        <v>0.58891599253266957</v>
      </c>
      <c r="O61" s="54">
        <v>0</v>
      </c>
      <c r="P61" s="54">
        <v>1</v>
      </c>
      <c r="Q61" s="54">
        <v>0</v>
      </c>
      <c r="R61" s="54">
        <v>0.82634348588741824</v>
      </c>
      <c r="S61" s="54">
        <v>0.3651470544591186</v>
      </c>
      <c r="T61" s="48">
        <v>0</v>
      </c>
      <c r="U61" s="56">
        <v>0</v>
      </c>
      <c r="V61" s="56">
        <f>1</f>
        <v>1</v>
      </c>
      <c r="W61" s="57">
        <v>1</v>
      </c>
      <c r="X61" s="58">
        <v>0</v>
      </c>
      <c r="Y61" s="58">
        <v>1</v>
      </c>
      <c r="Z61" s="58">
        <v>1240</v>
      </c>
      <c r="AA61" s="58">
        <v>330</v>
      </c>
    </row>
    <row r="62" spans="1:27" s="48" customFormat="1" x14ac:dyDescent="0.35">
      <c r="A62" s="54">
        <v>0.371</v>
      </c>
      <c r="B62" s="54">
        <v>0.34299999999999997</v>
      </c>
      <c r="C62" s="54">
        <v>1.1414298999999999E-2</v>
      </c>
      <c r="D62" s="54">
        <v>0.42499979696750673</v>
      </c>
      <c r="E62" s="54">
        <v>9.2910160568418776E-2</v>
      </c>
      <c r="F62" s="54">
        <v>0.23203283156840868</v>
      </c>
      <c r="G62" s="54">
        <v>0.78248972467766453</v>
      </c>
      <c r="H62" s="54">
        <v>0.68245451314546257</v>
      </c>
      <c r="I62" s="54">
        <v>0.51487411042944786</v>
      </c>
      <c r="J62" s="55">
        <v>0</v>
      </c>
      <c r="K62" s="54">
        <v>0.47399999999999998</v>
      </c>
      <c r="L62" s="54">
        <v>1.9E-2</v>
      </c>
      <c r="M62" s="54">
        <v>4.5999999999999999E-2</v>
      </c>
      <c r="N62" s="54">
        <v>0.58766023646546361</v>
      </c>
      <c r="O62" s="54">
        <v>0</v>
      </c>
      <c r="P62" s="54">
        <v>1</v>
      </c>
      <c r="Q62" s="54">
        <v>0</v>
      </c>
      <c r="R62" s="54">
        <v>0.82634348588741824</v>
      </c>
      <c r="S62" s="54">
        <v>0.44424714349309985</v>
      </c>
      <c r="T62" s="48">
        <v>0</v>
      </c>
      <c r="U62" s="56">
        <v>0</v>
      </c>
      <c r="V62" s="56">
        <f>1</f>
        <v>1</v>
      </c>
      <c r="W62" s="57">
        <v>1</v>
      </c>
      <c r="X62" s="58">
        <v>0</v>
      </c>
      <c r="Y62" s="58">
        <v>1</v>
      </c>
      <c r="Z62" s="58">
        <v>1231.96830185</v>
      </c>
      <c r="AA62" s="58">
        <v>330</v>
      </c>
    </row>
    <row r="63" spans="1:27" s="48" customFormat="1" x14ac:dyDescent="0.35">
      <c r="A63" s="54">
        <v>0.378</v>
      </c>
      <c r="B63" s="54">
        <v>0.35299999999999998</v>
      </c>
      <c r="C63" s="54">
        <v>1.0335405000000001E-2</v>
      </c>
      <c r="D63" s="54">
        <v>0.42700007309169763</v>
      </c>
      <c r="E63" s="54">
        <v>9.319966219248535E-2</v>
      </c>
      <c r="F63" s="54">
        <v>0.23203283156840868</v>
      </c>
      <c r="G63" s="54">
        <v>0.78248972467766453</v>
      </c>
      <c r="H63" s="54">
        <v>0.68245451314546257</v>
      </c>
      <c r="I63" s="54">
        <v>0.5221051840490798</v>
      </c>
      <c r="J63" s="55">
        <v>0</v>
      </c>
      <c r="K63" s="54">
        <v>0.5179999999999999</v>
      </c>
      <c r="L63" s="54">
        <v>1.3000000000000001E-2</v>
      </c>
      <c r="M63" s="54">
        <v>4.4999999999999998E-2</v>
      </c>
      <c r="N63" s="54">
        <v>0.58805538270068447</v>
      </c>
      <c r="O63" s="54">
        <v>0</v>
      </c>
      <c r="P63" s="54">
        <v>1</v>
      </c>
      <c r="Q63" s="54">
        <v>0</v>
      </c>
      <c r="R63" s="54">
        <v>0.82634348588741824</v>
      </c>
      <c r="S63" s="54">
        <v>0.47622310431814807</v>
      </c>
      <c r="T63" s="48">
        <v>0</v>
      </c>
      <c r="U63" s="56">
        <v>0</v>
      </c>
      <c r="V63" s="56">
        <f>1</f>
        <v>1</v>
      </c>
      <c r="W63" s="57">
        <v>1</v>
      </c>
      <c r="X63" s="58">
        <v>0</v>
      </c>
      <c r="Y63" s="58">
        <v>1</v>
      </c>
      <c r="Z63" s="58">
        <v>880.96992571999999</v>
      </c>
      <c r="AA63" s="58">
        <v>330</v>
      </c>
    </row>
    <row r="64" spans="1:27" s="48" customFormat="1" x14ac:dyDescent="0.35">
      <c r="A64" s="54">
        <v>0.372</v>
      </c>
      <c r="B64" s="54">
        <v>0.30399999999999999</v>
      </c>
      <c r="C64" s="54">
        <v>1.0208371000000001E-2</v>
      </c>
      <c r="D64" s="54">
        <v>0.42499979696750673</v>
      </c>
      <c r="E64" s="54">
        <v>9.3344413004518623E-2</v>
      </c>
      <c r="F64" s="54">
        <v>0.23203283156840868</v>
      </c>
      <c r="G64" s="54">
        <v>0.78248972467766453</v>
      </c>
      <c r="H64" s="54">
        <v>0.68245451314546257</v>
      </c>
      <c r="I64" s="54">
        <v>0.48891515337423314</v>
      </c>
      <c r="J64" s="55">
        <v>0</v>
      </c>
      <c r="K64" s="54">
        <v>0.49199999999999999</v>
      </c>
      <c r="L64" s="54">
        <v>1.1999999999999999E-2</v>
      </c>
      <c r="M64" s="54">
        <v>5.1999999999999998E-2</v>
      </c>
      <c r="N64" s="54">
        <v>0.58320970752955814</v>
      </c>
      <c r="O64" s="54">
        <v>0</v>
      </c>
      <c r="P64" s="54">
        <v>1</v>
      </c>
      <c r="Q64" s="54">
        <v>0</v>
      </c>
      <c r="R64" s="54">
        <v>0.82634348588741824</v>
      </c>
      <c r="S64" s="54">
        <v>0.45731228668941976</v>
      </c>
      <c r="T64" s="48">
        <v>0</v>
      </c>
      <c r="U64" s="56">
        <v>0</v>
      </c>
      <c r="V64" s="56">
        <f>1</f>
        <v>1</v>
      </c>
      <c r="W64" s="57">
        <v>1</v>
      </c>
      <c r="X64" s="58">
        <v>0</v>
      </c>
      <c r="Y64" s="58">
        <v>1</v>
      </c>
      <c r="Z64" s="58">
        <v>1240</v>
      </c>
      <c r="AA64" s="58">
        <v>330</v>
      </c>
    </row>
    <row r="65" spans="1:27" s="48" customFormat="1" x14ac:dyDescent="0.35">
      <c r="A65" s="54">
        <v>0.34499999999999997</v>
      </c>
      <c r="B65" s="54">
        <v>0.21099999999999899</v>
      </c>
      <c r="C65" s="54">
        <v>1.1060390999999999E-2</v>
      </c>
      <c r="D65" s="54">
        <v>0.43000008121299732</v>
      </c>
      <c r="E65" s="54">
        <v>9.348916381655191E-2</v>
      </c>
      <c r="F65" s="54">
        <v>0.23203283156840868</v>
      </c>
      <c r="G65" s="54">
        <v>0.7770724887420003</v>
      </c>
      <c r="H65" s="54">
        <v>0.68245451314546257</v>
      </c>
      <c r="I65" s="54">
        <v>0.41394242331288339</v>
      </c>
      <c r="J65" s="55">
        <v>0</v>
      </c>
      <c r="K65" s="54">
        <v>0.40600000000000003</v>
      </c>
      <c r="L65" s="54">
        <v>1.7000000000000001E-2</v>
      </c>
      <c r="M65" s="54">
        <v>7.0999999999999994E-2</v>
      </c>
      <c r="N65" s="54">
        <v>0.58527566894835092</v>
      </c>
      <c r="O65" s="54">
        <v>0</v>
      </c>
      <c r="P65" s="54">
        <v>1</v>
      </c>
      <c r="Q65" s="54">
        <v>0</v>
      </c>
      <c r="R65" s="54">
        <v>0.82634348588741824</v>
      </c>
      <c r="S65" s="54">
        <v>0.39368808428550228</v>
      </c>
      <c r="T65" s="48">
        <v>0</v>
      </c>
      <c r="U65" s="56">
        <v>0</v>
      </c>
      <c r="V65" s="56">
        <f>1</f>
        <v>1</v>
      </c>
      <c r="W65" s="57">
        <v>1</v>
      </c>
      <c r="X65" s="58">
        <v>0</v>
      </c>
      <c r="Y65" s="58">
        <v>1</v>
      </c>
      <c r="Z65" s="58">
        <v>1240</v>
      </c>
      <c r="AA65" s="58">
        <v>330</v>
      </c>
    </row>
    <row r="66" spans="1:27" s="48" customFormat="1" x14ac:dyDescent="0.35">
      <c r="A66" s="54">
        <v>0.24099999999999999</v>
      </c>
      <c r="B66" s="54">
        <v>0.1</v>
      </c>
      <c r="C66" s="54">
        <v>9.8989430000000003E-3</v>
      </c>
      <c r="D66" s="54">
        <v>0.43499995939350139</v>
      </c>
      <c r="E66" s="54">
        <v>9.379072800828793E-2</v>
      </c>
      <c r="F66" s="54">
        <v>0.23203283156840868</v>
      </c>
      <c r="G66" s="54">
        <v>2.8108371473077716E-2</v>
      </c>
      <c r="H66" s="54">
        <v>0.68245451314546257</v>
      </c>
      <c r="I66" s="54">
        <v>0.26862742331288347</v>
      </c>
      <c r="J66" s="55">
        <v>0</v>
      </c>
      <c r="K66" s="54">
        <v>0.27899999999999997</v>
      </c>
      <c r="L66" s="54">
        <v>2.3999999999999997E-2</v>
      </c>
      <c r="M66" s="54">
        <v>0.09</v>
      </c>
      <c r="N66" s="54">
        <v>0.59435407591785938</v>
      </c>
      <c r="O66" s="54">
        <v>0</v>
      </c>
      <c r="P66" s="54">
        <v>1</v>
      </c>
      <c r="Q66" s="54">
        <v>0</v>
      </c>
      <c r="R66" s="54">
        <v>0.82634348588741824</v>
      </c>
      <c r="S66" s="54">
        <v>0.29610201810357617</v>
      </c>
      <c r="T66" s="48">
        <v>0</v>
      </c>
      <c r="U66" s="56">
        <v>0.83005541447393671</v>
      </c>
      <c r="V66" s="56">
        <f>1</f>
        <v>1</v>
      </c>
      <c r="W66" s="57">
        <v>1</v>
      </c>
      <c r="X66" s="58">
        <v>0</v>
      </c>
      <c r="Y66" s="58">
        <v>1</v>
      </c>
      <c r="Z66" s="58">
        <v>1240</v>
      </c>
      <c r="AA66" s="58">
        <v>330</v>
      </c>
    </row>
    <row r="67" spans="1:27" s="48" customFormat="1" x14ac:dyDescent="0.35">
      <c r="A67" s="54">
        <v>5.5E-2</v>
      </c>
      <c r="B67" s="54">
        <v>0</v>
      </c>
      <c r="C67" s="54">
        <v>1.7780221999999998E-2</v>
      </c>
      <c r="D67" s="54">
        <v>0.43999983757400535</v>
      </c>
      <c r="E67" s="54">
        <v>0.25545407257104902</v>
      </c>
      <c r="F67" s="54">
        <v>1</v>
      </c>
      <c r="G67" s="54">
        <v>0</v>
      </c>
      <c r="H67" s="54">
        <v>0.68245451314546257</v>
      </c>
      <c r="I67" s="54">
        <v>8.2692269938650309E-2</v>
      </c>
      <c r="J67" s="55">
        <v>0</v>
      </c>
      <c r="K67" s="54">
        <v>0.123</v>
      </c>
      <c r="L67" s="54">
        <v>3.9E-2</v>
      </c>
      <c r="M67" s="54">
        <v>0.107</v>
      </c>
      <c r="N67" s="54">
        <v>0.59948911014312389</v>
      </c>
      <c r="O67" s="54">
        <v>0.83843338101507348</v>
      </c>
      <c r="P67" s="54">
        <v>1</v>
      </c>
      <c r="Q67" s="54">
        <v>0</v>
      </c>
      <c r="R67" s="54">
        <v>0.82634348588741824</v>
      </c>
      <c r="S67" s="54">
        <v>0.18607812731859324</v>
      </c>
      <c r="T67" s="48">
        <v>0</v>
      </c>
      <c r="U67" s="56">
        <v>0.83005541447393671</v>
      </c>
      <c r="V67" s="56">
        <f>1</f>
        <v>1</v>
      </c>
      <c r="W67" s="57">
        <v>1</v>
      </c>
      <c r="X67" s="58">
        <v>0</v>
      </c>
      <c r="Y67" s="58">
        <v>1</v>
      </c>
      <c r="Z67" s="58">
        <v>1240</v>
      </c>
      <c r="AA67" s="58">
        <v>330</v>
      </c>
    </row>
    <row r="68" spans="1:27" s="48" customFormat="1" x14ac:dyDescent="0.35">
      <c r="A68" s="54">
        <v>0</v>
      </c>
      <c r="B68" s="54">
        <v>0</v>
      </c>
      <c r="C68" s="54">
        <v>3.2348742999999999E-2</v>
      </c>
      <c r="D68" s="54">
        <v>0.4669999106657029</v>
      </c>
      <c r="E68" s="54">
        <v>0.25633464001091816</v>
      </c>
      <c r="F68" s="54">
        <v>1</v>
      </c>
      <c r="G68" s="54">
        <v>0</v>
      </c>
      <c r="H68" s="54">
        <v>0.68245451314546257</v>
      </c>
      <c r="I68" s="54">
        <v>3.7729202453987733E-2</v>
      </c>
      <c r="J68" s="55">
        <v>0</v>
      </c>
      <c r="K68" s="54">
        <v>0</v>
      </c>
      <c r="L68" s="54">
        <v>6.9000000000000006E-2</v>
      </c>
      <c r="M68" s="54">
        <v>0.123</v>
      </c>
      <c r="N68" s="54">
        <v>0.60423459863098938</v>
      </c>
      <c r="O68" s="54">
        <v>0.83922856347987607</v>
      </c>
      <c r="P68" s="54">
        <v>1</v>
      </c>
      <c r="Q68" s="54">
        <v>0</v>
      </c>
      <c r="R68" s="54">
        <v>0.82634348588741824</v>
      </c>
      <c r="S68" s="54">
        <v>0.11459786318444873</v>
      </c>
      <c r="T68" s="48">
        <v>0</v>
      </c>
      <c r="U68" s="56">
        <v>0.83005541447393671</v>
      </c>
      <c r="V68" s="56">
        <f>1</f>
        <v>1</v>
      </c>
      <c r="W68" s="57">
        <v>1</v>
      </c>
      <c r="X68" s="58">
        <v>0</v>
      </c>
      <c r="Y68" s="58">
        <v>0.58114907585672515</v>
      </c>
      <c r="Z68" s="58">
        <v>1240</v>
      </c>
      <c r="AA68" s="58">
        <v>330</v>
      </c>
    </row>
    <row r="69" spans="1:27" s="48" customFormat="1" x14ac:dyDescent="0.35">
      <c r="A69" s="54">
        <v>0</v>
      </c>
      <c r="B69" s="54">
        <v>0</v>
      </c>
      <c r="C69" s="54">
        <v>3.3034015999999999E-2</v>
      </c>
      <c r="D69" s="54">
        <v>0.47299992690830239</v>
      </c>
      <c r="E69" s="54">
        <v>0.25574357419511562</v>
      </c>
      <c r="F69" s="54">
        <v>1</v>
      </c>
      <c r="G69" s="54">
        <v>0</v>
      </c>
      <c r="H69" s="54">
        <v>0.68245451314546257</v>
      </c>
      <c r="I69" s="54">
        <v>3.8505582822085889E-2</v>
      </c>
      <c r="J69" s="55">
        <v>0</v>
      </c>
      <c r="K69" s="54">
        <v>0</v>
      </c>
      <c r="L69" s="54">
        <v>8.4999999999999992E-2</v>
      </c>
      <c r="M69" s="54">
        <v>0.13200000000000001</v>
      </c>
      <c r="N69" s="54">
        <v>0.60335718730553833</v>
      </c>
      <c r="O69" s="54">
        <v>0.83922856347987607</v>
      </c>
      <c r="P69" s="54">
        <v>1</v>
      </c>
      <c r="Q69" s="54">
        <v>0</v>
      </c>
      <c r="R69" s="54">
        <v>0.82634348588741824</v>
      </c>
      <c r="S69" s="54">
        <v>0.12157656922392046</v>
      </c>
      <c r="T69" s="48">
        <v>0</v>
      </c>
      <c r="U69" s="56">
        <v>0.83005541447393671</v>
      </c>
      <c r="V69" s="56">
        <f>1</f>
        <v>1</v>
      </c>
      <c r="W69" s="57">
        <v>1</v>
      </c>
      <c r="X69" s="58">
        <v>0</v>
      </c>
      <c r="Y69" s="58">
        <v>0.62393142958875658</v>
      </c>
      <c r="Z69" s="58">
        <v>1240</v>
      </c>
      <c r="AA69" s="58">
        <v>330</v>
      </c>
    </row>
    <row r="70" spans="1:27" s="48" customFormat="1" x14ac:dyDescent="0.35">
      <c r="A70" s="54">
        <v>0</v>
      </c>
      <c r="B70" s="54">
        <v>0</v>
      </c>
      <c r="C70" s="54">
        <v>2.1762911999999999E-2</v>
      </c>
      <c r="D70" s="54">
        <v>0.46200003248519894</v>
      </c>
      <c r="E70" s="54">
        <v>0.25735995826282065</v>
      </c>
      <c r="F70" s="54">
        <v>1</v>
      </c>
      <c r="G70" s="54">
        <v>0</v>
      </c>
      <c r="H70" s="54">
        <v>0.68245451314546257</v>
      </c>
      <c r="I70" s="54">
        <v>2.5367607361963192E-2</v>
      </c>
      <c r="J70" s="55">
        <v>0</v>
      </c>
      <c r="K70" s="54">
        <v>0</v>
      </c>
      <c r="L70" s="54">
        <v>7.3999999999999996E-2</v>
      </c>
      <c r="M70" s="54">
        <v>0.13300000000000001</v>
      </c>
      <c r="N70" s="54">
        <v>0.60276042314872436</v>
      </c>
      <c r="O70" s="54">
        <v>0.83948157608231333</v>
      </c>
      <c r="P70" s="54">
        <v>1</v>
      </c>
      <c r="Q70" s="54">
        <v>0</v>
      </c>
      <c r="R70" s="54">
        <v>0.82634348588741824</v>
      </c>
      <c r="S70" s="54">
        <v>0.12203717168719394</v>
      </c>
      <c r="T70" s="48">
        <v>0</v>
      </c>
      <c r="U70" s="56">
        <v>0.83005541447393671</v>
      </c>
      <c r="V70" s="56">
        <f>1</f>
        <v>1</v>
      </c>
      <c r="W70" s="57">
        <v>1</v>
      </c>
      <c r="X70" s="58">
        <v>2.5834481454281241E-2</v>
      </c>
      <c r="Y70" s="58">
        <v>1</v>
      </c>
      <c r="Z70" s="58">
        <v>1240</v>
      </c>
      <c r="AA70" s="58">
        <v>330</v>
      </c>
    </row>
    <row r="71" spans="1:27" s="48" customFormat="1" x14ac:dyDescent="0.35">
      <c r="A71" s="54">
        <v>0</v>
      </c>
      <c r="B71" s="54">
        <v>0</v>
      </c>
      <c r="C71" s="54">
        <v>1.7486972E-2</v>
      </c>
      <c r="D71" s="54">
        <v>0.46399990254440321</v>
      </c>
      <c r="E71" s="54">
        <v>0.25735995826282065</v>
      </c>
      <c r="F71" s="54">
        <v>1</v>
      </c>
      <c r="G71" s="54">
        <v>0</v>
      </c>
      <c r="H71" s="54">
        <v>0.68245451314546257</v>
      </c>
      <c r="I71" s="54">
        <v>2.038340490797546E-2</v>
      </c>
      <c r="J71" s="55">
        <v>0</v>
      </c>
      <c r="K71" s="54">
        <v>0</v>
      </c>
      <c r="L71" s="54">
        <v>6.3E-2</v>
      </c>
      <c r="M71" s="54">
        <v>0.125</v>
      </c>
      <c r="N71" s="54">
        <v>0.59546546359676411</v>
      </c>
      <c r="O71" s="54">
        <v>0.83818036841263621</v>
      </c>
      <c r="P71" s="54">
        <v>1</v>
      </c>
      <c r="Q71" s="54">
        <v>0</v>
      </c>
      <c r="R71" s="54">
        <v>0.82634348588741824</v>
      </c>
      <c r="S71" s="54">
        <v>0.11404659445021516</v>
      </c>
      <c r="T71" s="48">
        <v>0</v>
      </c>
      <c r="U71" s="56">
        <v>0.83005541447393671</v>
      </c>
      <c r="V71" s="56">
        <f>1</f>
        <v>1</v>
      </c>
      <c r="W71" s="57">
        <v>1</v>
      </c>
      <c r="X71" s="58">
        <v>0.1798893988699258</v>
      </c>
      <c r="Y71" s="58">
        <v>1</v>
      </c>
      <c r="Z71" s="58">
        <v>1240</v>
      </c>
      <c r="AA71" s="58">
        <v>330</v>
      </c>
    </row>
    <row r="72" spans="1:27" s="48" customFormat="1" x14ac:dyDescent="0.35">
      <c r="A72" s="54">
        <v>0</v>
      </c>
      <c r="B72" s="54">
        <v>0</v>
      </c>
      <c r="C72" s="54">
        <v>1.8721867E-2</v>
      </c>
      <c r="D72" s="54">
        <v>0.43999983757400535</v>
      </c>
      <c r="E72" s="54">
        <v>0.25676889244701806</v>
      </c>
      <c r="F72" s="54">
        <v>1</v>
      </c>
      <c r="G72" s="54">
        <v>0</v>
      </c>
      <c r="H72" s="54">
        <v>0.68245451314546257</v>
      </c>
      <c r="I72" s="54">
        <v>2.1822852760736196E-2</v>
      </c>
      <c r="J72" s="55">
        <v>0</v>
      </c>
      <c r="K72" s="54">
        <v>0</v>
      </c>
      <c r="L72" s="54">
        <v>5.6000000000000001E-2</v>
      </c>
      <c r="M72" s="54">
        <v>0.12</v>
      </c>
      <c r="N72" s="54">
        <v>0.5918811449906658</v>
      </c>
      <c r="O72" s="54">
        <v>0.83767434320776157</v>
      </c>
      <c r="P72" s="54">
        <v>1</v>
      </c>
      <c r="Q72" s="54">
        <v>0</v>
      </c>
      <c r="R72" s="54">
        <v>0.82634348588741824</v>
      </c>
      <c r="S72" s="54">
        <v>0.10923230449621606</v>
      </c>
      <c r="T72" s="48">
        <v>0</v>
      </c>
      <c r="U72" s="56">
        <v>0.83005541447393671</v>
      </c>
      <c r="V72" s="56">
        <f>1</f>
        <v>1</v>
      </c>
      <c r="W72" s="57">
        <v>1</v>
      </c>
      <c r="X72" s="58">
        <v>0.33394431628704541</v>
      </c>
      <c r="Y72" s="58">
        <v>1</v>
      </c>
      <c r="Z72" s="58">
        <v>1240</v>
      </c>
      <c r="AA72" s="58">
        <v>330</v>
      </c>
    </row>
    <row r="73" spans="1:27" s="48" customFormat="1" x14ac:dyDescent="0.35">
      <c r="A73" s="54">
        <v>0</v>
      </c>
      <c r="B73" s="54">
        <v>0</v>
      </c>
      <c r="C73" s="54">
        <v>1.9438409E-2</v>
      </c>
      <c r="D73" s="54">
        <v>0.43199995127220159</v>
      </c>
      <c r="E73" s="54">
        <v>0.17420130264954475</v>
      </c>
      <c r="F73" s="54">
        <v>1</v>
      </c>
      <c r="G73" s="54">
        <v>0</v>
      </c>
      <c r="H73" s="54">
        <v>0.68245451314546257</v>
      </c>
      <c r="I73" s="54">
        <v>2.2658067484662578E-2</v>
      </c>
      <c r="J73" s="55">
        <v>0</v>
      </c>
      <c r="K73" s="54">
        <v>0</v>
      </c>
      <c r="L73" s="54">
        <v>5.1000000000000004E-2</v>
      </c>
      <c r="M73" s="54">
        <v>0.109</v>
      </c>
      <c r="N73" s="54">
        <v>0.58858182949595517</v>
      </c>
      <c r="O73" s="54">
        <v>0.36811909774172558</v>
      </c>
      <c r="P73" s="54">
        <v>1</v>
      </c>
      <c r="Q73" s="54">
        <v>0</v>
      </c>
      <c r="R73" s="54">
        <v>0.82634348588741824</v>
      </c>
      <c r="S73" s="54">
        <v>0.10407686600385814</v>
      </c>
      <c r="T73" s="48">
        <v>0</v>
      </c>
      <c r="U73" s="56">
        <v>1.0491679074103448</v>
      </c>
      <c r="V73" s="56">
        <f>1</f>
        <v>1</v>
      </c>
      <c r="W73" s="57">
        <v>1</v>
      </c>
      <c r="X73" s="58">
        <v>0.29240005938043201</v>
      </c>
      <c r="Y73" s="58">
        <v>1</v>
      </c>
      <c r="Z73" s="58">
        <v>1240</v>
      </c>
      <c r="AA73" s="58">
        <v>330</v>
      </c>
    </row>
    <row r="74" spans="1:27" s="48" customFormat="1" x14ac:dyDescent="0.35">
      <c r="A74" s="54">
        <v>0</v>
      </c>
      <c r="B74" s="54">
        <v>0</v>
      </c>
      <c r="C74" s="54">
        <v>2.2797543E-2</v>
      </c>
      <c r="D74" s="54">
        <v>0.40799988630180378</v>
      </c>
      <c r="E74" s="54">
        <v>0.16292129933390292</v>
      </c>
      <c r="F74" s="54">
        <v>0.74814287734839369</v>
      </c>
      <c r="G74" s="54">
        <v>0</v>
      </c>
      <c r="H74" s="54">
        <v>0.68245451314546257</v>
      </c>
      <c r="I74" s="54">
        <v>2.6573588957055215E-2</v>
      </c>
      <c r="J74" s="55">
        <v>0</v>
      </c>
      <c r="K74" s="54">
        <v>0</v>
      </c>
      <c r="L74" s="54">
        <v>4.8999999999999995E-2</v>
      </c>
      <c r="M74" s="54">
        <v>0.10199999999999999</v>
      </c>
      <c r="N74" s="54">
        <v>0.53292159303049158</v>
      </c>
      <c r="O74" s="54">
        <v>0.35731184515190617</v>
      </c>
      <c r="P74" s="54">
        <v>1</v>
      </c>
      <c r="Q74" s="54">
        <v>0</v>
      </c>
      <c r="R74" s="54">
        <v>0.82634348588741824</v>
      </c>
      <c r="S74" s="54">
        <v>0.10053004896868971</v>
      </c>
      <c r="T74" s="48">
        <v>0</v>
      </c>
      <c r="U74" s="56">
        <v>1.0491679074103448</v>
      </c>
      <c r="V74" s="56">
        <f>1</f>
        <v>1</v>
      </c>
      <c r="W74" s="57">
        <v>1</v>
      </c>
      <c r="X74" s="58">
        <v>0.27429636860559276</v>
      </c>
      <c r="Y74" s="58">
        <v>1</v>
      </c>
      <c r="Z74" s="58">
        <v>1240</v>
      </c>
      <c r="AA74" s="58">
        <v>330</v>
      </c>
    </row>
    <row r="75" spans="1:27" s="48" customFormat="1" x14ac:dyDescent="0.35">
      <c r="A75" s="54">
        <v>0</v>
      </c>
      <c r="B75" s="54">
        <v>0</v>
      </c>
      <c r="C75" s="54">
        <v>2.6731528000000001E-2</v>
      </c>
      <c r="D75" s="54">
        <v>0.39899986193790454</v>
      </c>
      <c r="E75" s="54">
        <v>0.11020979751502763</v>
      </c>
      <c r="F75" s="54">
        <v>0.66096380210570727</v>
      </c>
      <c r="G75" s="54">
        <v>0</v>
      </c>
      <c r="H75" s="54">
        <v>0.68245451314546257</v>
      </c>
      <c r="I75" s="54">
        <v>3.115920245398773E-2</v>
      </c>
      <c r="J75" s="55">
        <v>0</v>
      </c>
      <c r="K75" s="54">
        <v>0</v>
      </c>
      <c r="L75" s="54">
        <v>4.7999999999999994E-2</v>
      </c>
      <c r="M75" s="54">
        <v>9.5000000000000001E-2</v>
      </c>
      <c r="N75" s="54">
        <v>0.52842688238954572</v>
      </c>
      <c r="O75" s="54">
        <v>0.35629979474215712</v>
      </c>
      <c r="P75" s="54">
        <v>1</v>
      </c>
      <c r="Q75" s="54">
        <v>0</v>
      </c>
      <c r="R75" s="54">
        <v>0.82634348588741824</v>
      </c>
      <c r="S75" s="54">
        <v>9.4340109808576947E-2</v>
      </c>
      <c r="T75" s="48">
        <v>0</v>
      </c>
      <c r="U75" s="56">
        <v>1.0491679074103448</v>
      </c>
      <c r="V75" s="56">
        <f>1</f>
        <v>1</v>
      </c>
      <c r="W75" s="57">
        <v>1</v>
      </c>
      <c r="X75" s="58">
        <v>0.26737792093064466</v>
      </c>
      <c r="Y75" s="58">
        <v>1</v>
      </c>
      <c r="Z75" s="58">
        <v>1240</v>
      </c>
      <c r="AA75" s="58">
        <v>330</v>
      </c>
    </row>
    <row r="76" spans="1:27" s="48" customFormat="1" x14ac:dyDescent="0.35">
      <c r="A76" s="54">
        <v>0</v>
      </c>
      <c r="B76" s="54">
        <v>0</v>
      </c>
      <c r="C76" s="54">
        <v>3.2651092999999999E-2</v>
      </c>
      <c r="D76" s="54">
        <v>0.39800012994079575</v>
      </c>
      <c r="E76" s="54">
        <v>0.10992029589096106</v>
      </c>
      <c r="F76" s="54">
        <v>0.51019485879941029</v>
      </c>
      <c r="G76" s="54">
        <v>0</v>
      </c>
      <c r="H76" s="54">
        <v>0.68245451314546257</v>
      </c>
      <c r="I76" s="54">
        <v>3.8059233128834358E-2</v>
      </c>
      <c r="J76" s="55">
        <v>0</v>
      </c>
      <c r="K76" s="54">
        <v>0</v>
      </c>
      <c r="L76" s="54">
        <v>4.6999999999999993E-2</v>
      </c>
      <c r="M76" s="54">
        <v>9.2999999999999999E-2</v>
      </c>
      <c r="N76" s="54">
        <v>0.52615930304915992</v>
      </c>
      <c r="O76" s="54">
        <v>0.35655280734459438</v>
      </c>
      <c r="P76" s="54">
        <v>1</v>
      </c>
      <c r="Q76" s="54">
        <v>0</v>
      </c>
      <c r="R76" s="54">
        <v>0.82634348588741824</v>
      </c>
      <c r="S76" s="54">
        <v>9.3466018697136069E-2</v>
      </c>
      <c r="T76" s="48">
        <v>0</v>
      </c>
      <c r="U76" s="56">
        <v>1.0491679074103448</v>
      </c>
      <c r="V76" s="56">
        <f>1</f>
        <v>1</v>
      </c>
      <c r="W76" s="57">
        <v>1</v>
      </c>
      <c r="X76" s="58">
        <v>0.24505473993081206</v>
      </c>
      <c r="Y76" s="58">
        <v>1</v>
      </c>
      <c r="Z76" s="58">
        <v>1240</v>
      </c>
      <c r="AA76" s="58">
        <v>330</v>
      </c>
    </row>
    <row r="77" spans="1:27" s="48" customFormat="1" x14ac:dyDescent="0.35">
      <c r="A77" s="54">
        <v>0</v>
      </c>
      <c r="B77" s="54">
        <v>0</v>
      </c>
      <c r="C77" s="54">
        <v>4.0581737999999999E-2</v>
      </c>
      <c r="D77" s="54">
        <v>0.3959998538166048</v>
      </c>
      <c r="E77" s="54">
        <v>0.10932923007515848</v>
      </c>
      <c r="F77" s="54">
        <v>0.4687617480774009</v>
      </c>
      <c r="G77" s="54">
        <v>0</v>
      </c>
      <c r="H77" s="54">
        <v>0.68245451314546257</v>
      </c>
      <c r="I77" s="54">
        <v>4.7303466257668715E-2</v>
      </c>
      <c r="J77" s="55">
        <v>0</v>
      </c>
      <c r="K77" s="54">
        <v>0</v>
      </c>
      <c r="L77" s="54">
        <v>4.2999999999999997E-2</v>
      </c>
      <c r="M77" s="54">
        <v>9.2999999999999999E-2</v>
      </c>
      <c r="N77" s="54">
        <v>0.52646919726197883</v>
      </c>
      <c r="O77" s="54">
        <v>0.35655280734459438</v>
      </c>
      <c r="P77" s="54">
        <v>1</v>
      </c>
      <c r="Q77" s="54">
        <v>0</v>
      </c>
      <c r="R77" s="54">
        <v>0.82634348588741824</v>
      </c>
      <c r="S77" s="54">
        <v>9.4142157590146908E-2</v>
      </c>
      <c r="T77" s="48">
        <v>0</v>
      </c>
      <c r="U77" s="56">
        <v>1.0491679074103448</v>
      </c>
      <c r="V77" s="56">
        <f>1</f>
        <v>1</v>
      </c>
      <c r="W77" s="57">
        <v>1</v>
      </c>
      <c r="X77" s="58">
        <v>0.21254024555605594</v>
      </c>
      <c r="Y77" s="58">
        <v>1</v>
      </c>
      <c r="Z77" s="58">
        <v>1240</v>
      </c>
      <c r="AA77" s="58">
        <v>330</v>
      </c>
    </row>
    <row r="78" spans="1:27" s="48" customFormat="1" x14ac:dyDescent="0.35">
      <c r="A78" s="54">
        <v>0</v>
      </c>
      <c r="B78" s="54">
        <v>0</v>
      </c>
      <c r="C78" s="54">
        <v>5.0982284000000003E-2</v>
      </c>
      <c r="D78" s="54">
        <v>0.40199987005920429</v>
      </c>
      <c r="E78" s="54">
        <v>0.1091844792631252</v>
      </c>
      <c r="F78" s="54">
        <v>0.49873879940208682</v>
      </c>
      <c r="G78" s="54">
        <v>0</v>
      </c>
      <c r="H78" s="54">
        <v>0.68245451314546257</v>
      </c>
      <c r="I78" s="54">
        <v>5.9426687116564417E-2</v>
      </c>
      <c r="J78" s="55">
        <v>0</v>
      </c>
      <c r="K78" s="54">
        <v>0</v>
      </c>
      <c r="L78" s="54">
        <v>3.9E-2</v>
      </c>
      <c r="M78" s="54">
        <v>9.9000000000000005E-2</v>
      </c>
      <c r="N78" s="54">
        <v>0.52788923459863102</v>
      </c>
      <c r="O78" s="54">
        <v>0.35655280734459438</v>
      </c>
      <c r="P78" s="54">
        <v>1</v>
      </c>
      <c r="Q78" s="54">
        <v>0</v>
      </c>
      <c r="R78" s="54">
        <v>0.82634348588741824</v>
      </c>
      <c r="S78" s="54">
        <v>9.7128060543107297E-2</v>
      </c>
      <c r="T78" s="48">
        <v>0</v>
      </c>
      <c r="U78" s="56">
        <v>1.0491679074103448</v>
      </c>
      <c r="V78" s="56">
        <f>1</f>
        <v>1</v>
      </c>
      <c r="W78" s="57">
        <v>1</v>
      </c>
      <c r="X78" s="58">
        <v>0.16932165003848007</v>
      </c>
      <c r="Y78" s="58">
        <v>1</v>
      </c>
      <c r="Z78" s="58">
        <v>1240</v>
      </c>
      <c r="AA78" s="58">
        <v>330</v>
      </c>
    </row>
    <row r="79" spans="1:27" s="48" customFormat="1" x14ac:dyDescent="0.35">
      <c r="A79" s="54">
        <v>0</v>
      </c>
      <c r="B79" s="54">
        <v>0</v>
      </c>
      <c r="C79" s="54">
        <v>5.9373763000000003E-2</v>
      </c>
      <c r="D79" s="54">
        <v>0.40799988630180378</v>
      </c>
      <c r="E79" s="54">
        <v>0.10932923007515848</v>
      </c>
      <c r="F79" s="54">
        <v>0.76327361205911803</v>
      </c>
      <c r="G79" s="54">
        <v>0</v>
      </c>
      <c r="H79" s="54">
        <v>0.68245451314546257</v>
      </c>
      <c r="I79" s="54">
        <v>6.9208098159509207E-2</v>
      </c>
      <c r="J79" s="55">
        <v>0</v>
      </c>
      <c r="K79" s="54">
        <v>0</v>
      </c>
      <c r="L79" s="54">
        <v>3.9E-2</v>
      </c>
      <c r="M79" s="54">
        <v>0.106</v>
      </c>
      <c r="N79" s="54">
        <v>0.54071935283136285</v>
      </c>
      <c r="O79" s="54">
        <v>0.35731184515190617</v>
      </c>
      <c r="P79" s="54">
        <v>1</v>
      </c>
      <c r="Q79" s="54">
        <v>0</v>
      </c>
      <c r="R79" s="54">
        <v>0.82634348588741824</v>
      </c>
      <c r="S79" s="54">
        <v>0.10142728891526934</v>
      </c>
      <c r="T79" s="48">
        <v>0</v>
      </c>
      <c r="U79" s="56">
        <v>1.0491679074103448</v>
      </c>
      <c r="V79" s="56">
        <f>1</f>
        <v>1</v>
      </c>
      <c r="W79" s="57">
        <v>1</v>
      </c>
      <c r="X79" s="58">
        <v>4.1559052109463306E-2</v>
      </c>
      <c r="Y79" s="58">
        <v>1</v>
      </c>
      <c r="Z79" s="58">
        <v>1240</v>
      </c>
      <c r="AA79" s="58">
        <v>330</v>
      </c>
    </row>
    <row r="80" spans="1:27" s="48" customFormat="1" x14ac:dyDescent="0.35">
      <c r="A80" s="54">
        <v>0</v>
      </c>
      <c r="B80" s="54">
        <v>0</v>
      </c>
      <c r="C80" s="54">
        <v>6.6060953000000006E-2</v>
      </c>
      <c r="D80" s="54">
        <v>0.41200003248519895</v>
      </c>
      <c r="E80" s="54">
        <v>0.18454228289064173</v>
      </c>
      <c r="F80" s="54">
        <v>1</v>
      </c>
      <c r="G80" s="54">
        <v>0</v>
      </c>
      <c r="H80" s="54">
        <v>0.68245451314546257</v>
      </c>
      <c r="I80" s="54">
        <v>7.7002914110429449E-2</v>
      </c>
      <c r="J80" s="55">
        <v>0</v>
      </c>
      <c r="K80" s="54">
        <v>0</v>
      </c>
      <c r="L80" s="54">
        <v>4.5999999999999999E-2</v>
      </c>
      <c r="M80" s="54">
        <v>0.115</v>
      </c>
      <c r="N80" s="54">
        <v>0.54252706907280646</v>
      </c>
      <c r="O80" s="54">
        <v>0.35760100241183435</v>
      </c>
      <c r="P80" s="54">
        <v>1</v>
      </c>
      <c r="Q80" s="54">
        <v>0</v>
      </c>
      <c r="R80" s="54">
        <v>0.82634348588741824</v>
      </c>
      <c r="S80" s="54">
        <v>0.10650949695800564</v>
      </c>
      <c r="T80" s="48">
        <v>0</v>
      </c>
      <c r="U80" s="56">
        <v>1.0491679074103448</v>
      </c>
      <c r="V80" s="56">
        <f>1</f>
        <v>1</v>
      </c>
      <c r="W80" s="57">
        <v>1</v>
      </c>
      <c r="X80" s="58">
        <v>0</v>
      </c>
      <c r="Y80" s="58">
        <v>1</v>
      </c>
      <c r="Z80" s="58">
        <v>1240</v>
      </c>
      <c r="AA80" s="58">
        <v>330</v>
      </c>
    </row>
    <row r="81" spans="1:27" s="48" customFormat="1" x14ac:dyDescent="0.35">
      <c r="A81" s="54">
        <v>0</v>
      </c>
      <c r="B81" s="54">
        <v>0</v>
      </c>
      <c r="C81" s="54">
        <v>6.9969826999999998E-2</v>
      </c>
      <c r="D81" s="54">
        <v>0.4150000406064987</v>
      </c>
      <c r="E81" s="54">
        <v>0.25676889244701806</v>
      </c>
      <c r="F81" s="54">
        <v>1</v>
      </c>
      <c r="G81" s="54">
        <v>0</v>
      </c>
      <c r="H81" s="54">
        <v>0.68245451314546257</v>
      </c>
      <c r="I81" s="54">
        <v>8.1559233128834355E-2</v>
      </c>
      <c r="J81" s="55">
        <v>0</v>
      </c>
      <c r="K81" s="54">
        <v>0</v>
      </c>
      <c r="L81" s="54">
        <v>5.7999999999999996E-2</v>
      </c>
      <c r="M81" s="54">
        <v>0.12</v>
      </c>
      <c r="N81" s="54">
        <v>0.57488301182327317</v>
      </c>
      <c r="O81" s="54">
        <v>0.83228878924159744</v>
      </c>
      <c r="P81" s="54">
        <v>1</v>
      </c>
      <c r="Q81" s="54">
        <v>0</v>
      </c>
      <c r="R81" s="54">
        <v>0.82634348588741824</v>
      </c>
      <c r="S81" s="54">
        <v>0.10783350645496365</v>
      </c>
      <c r="T81" s="48">
        <v>0</v>
      </c>
      <c r="U81" s="56">
        <v>1.0491679074103448</v>
      </c>
      <c r="V81" s="56">
        <f>1</f>
        <v>1</v>
      </c>
      <c r="W81" s="57">
        <v>1</v>
      </c>
      <c r="X81" s="58">
        <v>0</v>
      </c>
      <c r="Y81" s="58">
        <v>1</v>
      </c>
      <c r="Z81" s="58">
        <v>1240</v>
      </c>
      <c r="AA81" s="58">
        <v>330</v>
      </c>
    </row>
    <row r="82" spans="1:27" s="48" customFormat="1" x14ac:dyDescent="0.35">
      <c r="A82" s="54">
        <v>0</v>
      </c>
      <c r="B82" s="54">
        <v>0</v>
      </c>
      <c r="C82" s="54">
        <v>7.8754295000000002E-2</v>
      </c>
      <c r="D82" s="54">
        <v>0.43999983757400535</v>
      </c>
      <c r="E82" s="54">
        <v>0.25735995826282065</v>
      </c>
      <c r="F82" s="54">
        <v>1</v>
      </c>
      <c r="G82" s="54">
        <v>0</v>
      </c>
      <c r="H82" s="54">
        <v>0.68245451314546257</v>
      </c>
      <c r="I82" s="54">
        <v>9.5796932515337427E-2</v>
      </c>
      <c r="J82" s="55">
        <v>0</v>
      </c>
      <c r="K82" s="54">
        <v>0</v>
      </c>
      <c r="L82" s="54">
        <v>7.4999999999999997E-2</v>
      </c>
      <c r="M82" s="54">
        <v>0.126</v>
      </c>
      <c r="N82" s="54">
        <v>0.58355444928438083</v>
      </c>
      <c r="O82" s="54">
        <v>0.83330083965134638</v>
      </c>
      <c r="P82" s="54">
        <v>1</v>
      </c>
      <c r="Q82" s="54">
        <v>0</v>
      </c>
      <c r="R82" s="54">
        <v>0.82634348588741824</v>
      </c>
      <c r="S82" s="54">
        <v>0.11039642380175101</v>
      </c>
      <c r="T82" s="48">
        <v>0</v>
      </c>
      <c r="U82" s="56">
        <v>1.0491679074103448</v>
      </c>
      <c r="V82" s="56">
        <f>1</f>
        <v>1</v>
      </c>
      <c r="W82" s="57">
        <v>1</v>
      </c>
      <c r="X82" s="58">
        <v>0</v>
      </c>
      <c r="Y82" s="58">
        <v>1</v>
      </c>
      <c r="Z82" s="58">
        <v>1240</v>
      </c>
      <c r="AA82" s="58">
        <v>330</v>
      </c>
    </row>
    <row r="83" spans="1:27" s="48" customFormat="1" x14ac:dyDescent="0.35">
      <c r="A83" s="54">
        <v>6.7000000000000004E-2</v>
      </c>
      <c r="B83" s="54">
        <v>2.3E-2</v>
      </c>
      <c r="C83" s="54">
        <v>9.0938508000000001E-2</v>
      </c>
      <c r="D83" s="54">
        <v>0.44200011369819631</v>
      </c>
      <c r="E83" s="54">
        <v>0.25705839407108461</v>
      </c>
      <c r="F83" s="54">
        <v>0.63331152830054149</v>
      </c>
      <c r="G83" s="54">
        <v>0</v>
      </c>
      <c r="H83" s="54">
        <v>0.68245451314546257</v>
      </c>
      <c r="I83" s="54">
        <v>0.19278641104294481</v>
      </c>
      <c r="J83" s="55">
        <v>0</v>
      </c>
      <c r="K83" s="54">
        <v>0.03</v>
      </c>
      <c r="L83" s="54">
        <v>7.4999999999999997E-2</v>
      </c>
      <c r="M83" s="54">
        <v>0.13100000000000001</v>
      </c>
      <c r="N83" s="54">
        <v>0.59908214063472309</v>
      </c>
      <c r="O83" s="54">
        <v>9.2711046464504843E-2</v>
      </c>
      <c r="P83" s="54">
        <v>1</v>
      </c>
      <c r="Q83" s="54">
        <v>0</v>
      </c>
      <c r="R83" s="54">
        <v>0.82634348588741824</v>
      </c>
      <c r="S83" s="54">
        <v>0.13459140822080426</v>
      </c>
      <c r="T83" s="48">
        <v>0</v>
      </c>
      <c r="U83" s="56">
        <v>1.0491679074103448</v>
      </c>
      <c r="V83" s="56">
        <f>1</f>
        <v>1</v>
      </c>
      <c r="W83" s="57">
        <v>1</v>
      </c>
      <c r="X83" s="58">
        <v>0</v>
      </c>
      <c r="Y83" s="58">
        <v>1</v>
      </c>
      <c r="Z83" s="58">
        <v>1240</v>
      </c>
      <c r="AA83" s="58">
        <v>330</v>
      </c>
    </row>
    <row r="84" spans="1:27" s="48" customFormat="1" x14ac:dyDescent="0.35">
      <c r="A84" s="54">
        <v>0.17</v>
      </c>
      <c r="B84" s="54">
        <v>5.4000000000000006E-2</v>
      </c>
      <c r="C84" s="54">
        <v>0.100598005</v>
      </c>
      <c r="D84" s="54">
        <v>0.42400006497039783</v>
      </c>
      <c r="E84" s="54">
        <v>1.5284391823066953E-2</v>
      </c>
      <c r="F84" s="54">
        <v>0.23203283156840868</v>
      </c>
      <c r="G84" s="54">
        <v>0</v>
      </c>
      <c r="H84" s="54">
        <v>0.68245451314546257</v>
      </c>
      <c r="I84" s="54">
        <v>0.32909684049079757</v>
      </c>
      <c r="J84" s="55">
        <v>0</v>
      </c>
      <c r="K84" s="54">
        <v>0.124</v>
      </c>
      <c r="L84" s="54">
        <v>4.2999999999999997E-2</v>
      </c>
      <c r="M84" s="54">
        <v>0.13200000000000001</v>
      </c>
      <c r="N84" s="54">
        <v>0.59940945861854389</v>
      </c>
      <c r="O84" s="54">
        <v>0</v>
      </c>
      <c r="P84" s="54">
        <v>1</v>
      </c>
      <c r="Q84" s="54">
        <v>0</v>
      </c>
      <c r="R84" s="54">
        <v>0.82634348588741824</v>
      </c>
      <c r="S84" s="54">
        <v>0.21116797744472474</v>
      </c>
      <c r="T84" s="48">
        <v>0</v>
      </c>
      <c r="U84" s="56">
        <v>1.0491679074103448</v>
      </c>
      <c r="V84" s="56">
        <f>1</f>
        <v>1</v>
      </c>
      <c r="W84" s="57">
        <v>1</v>
      </c>
      <c r="X84" s="58">
        <v>0</v>
      </c>
      <c r="Y84" s="58">
        <v>1</v>
      </c>
      <c r="Z84" s="58">
        <v>1240</v>
      </c>
      <c r="AA84" s="58">
        <v>330</v>
      </c>
    </row>
    <row r="85" spans="1:27" s="48" customFormat="1" x14ac:dyDescent="0.35">
      <c r="A85" s="54">
        <v>0.23699999999999999</v>
      </c>
      <c r="B85" s="54">
        <v>8.5999999999999993E-2</v>
      </c>
      <c r="C85" s="54">
        <v>0.11549854399999999</v>
      </c>
      <c r="D85" s="54">
        <v>0.43399982133140597</v>
      </c>
      <c r="E85" s="54">
        <v>0</v>
      </c>
      <c r="F85" s="54">
        <v>0</v>
      </c>
      <c r="G85" s="54">
        <v>0.10285171778015502</v>
      </c>
      <c r="H85" s="54">
        <v>0.68245451314546257</v>
      </c>
      <c r="I85" s="54">
        <v>0.43928300613496934</v>
      </c>
      <c r="J85" s="55">
        <v>0</v>
      </c>
      <c r="K85" s="54">
        <v>0.223</v>
      </c>
      <c r="L85" s="54">
        <v>2.8000000000000001E-2</v>
      </c>
      <c r="M85" s="54">
        <v>0.13</v>
      </c>
      <c r="N85" s="54">
        <v>0.60055320472930929</v>
      </c>
      <c r="O85" s="54">
        <v>0</v>
      </c>
      <c r="P85" s="54">
        <v>1</v>
      </c>
      <c r="Q85" s="54">
        <v>0</v>
      </c>
      <c r="R85" s="54">
        <v>0.82634348588741824</v>
      </c>
      <c r="S85" s="54">
        <v>0.29187542662116039</v>
      </c>
      <c r="T85" s="48">
        <v>0</v>
      </c>
      <c r="U85" s="56">
        <v>0</v>
      </c>
      <c r="V85" s="56">
        <f>1</f>
        <v>1</v>
      </c>
      <c r="W85" s="57">
        <v>0</v>
      </c>
      <c r="X85" s="58">
        <v>0</v>
      </c>
      <c r="Y85" s="58">
        <v>1</v>
      </c>
      <c r="Z85" s="58">
        <v>1240</v>
      </c>
      <c r="AA85" s="58">
        <v>330</v>
      </c>
    </row>
    <row r="86" spans="1:27" s="48" customFormat="1" x14ac:dyDescent="0.35">
      <c r="A86" s="54">
        <v>0.28100000000000003</v>
      </c>
      <c r="B86" s="54">
        <v>0.11199999999999999</v>
      </c>
      <c r="C86" s="54">
        <v>0.13827719199999999</v>
      </c>
      <c r="D86" s="54">
        <v>0.43499995939350139</v>
      </c>
      <c r="E86" s="54">
        <v>0</v>
      </c>
      <c r="F86" s="54">
        <v>0.20220908756702083</v>
      </c>
      <c r="G86" s="54">
        <v>0</v>
      </c>
      <c r="H86" s="54">
        <v>0.68245451314546257</v>
      </c>
      <c r="I86" s="54">
        <v>0.52280128834355832</v>
      </c>
      <c r="J86" s="55">
        <v>0</v>
      </c>
      <c r="K86" s="54">
        <v>0.30499999999999994</v>
      </c>
      <c r="L86" s="54">
        <v>4.2999999999999997E-2</v>
      </c>
      <c r="M86" s="54">
        <v>0.13100000000000001</v>
      </c>
      <c r="N86" s="54">
        <v>0.60160360920970757</v>
      </c>
      <c r="O86" s="54">
        <v>0</v>
      </c>
      <c r="P86" s="54">
        <v>1</v>
      </c>
      <c r="Q86" s="54">
        <v>0</v>
      </c>
      <c r="R86" s="54">
        <v>0.82634348588741824</v>
      </c>
      <c r="S86" s="54">
        <v>0.35871345897017359</v>
      </c>
      <c r="T86" s="48">
        <v>0</v>
      </c>
      <c r="U86" s="56">
        <v>0</v>
      </c>
      <c r="V86" s="56">
        <f>1</f>
        <v>1</v>
      </c>
      <c r="W86" s="57">
        <v>0</v>
      </c>
      <c r="X86" s="58">
        <v>0</v>
      </c>
      <c r="Y86" s="58">
        <v>1</v>
      </c>
      <c r="Z86" s="58">
        <v>987.11730249000004</v>
      </c>
      <c r="AA86" s="58">
        <v>330</v>
      </c>
    </row>
    <row r="87" spans="1:27" s="48" customFormat="1" x14ac:dyDescent="0.35">
      <c r="A87" s="54">
        <v>0.29399999999999998</v>
      </c>
      <c r="B87" s="54">
        <v>0.122</v>
      </c>
      <c r="C87" s="54">
        <v>0.16269359799999999</v>
      </c>
      <c r="D87" s="54">
        <v>0.43000008121299732</v>
      </c>
      <c r="E87" s="54">
        <v>0</v>
      </c>
      <c r="F87" s="54">
        <v>0</v>
      </c>
      <c r="G87" s="54">
        <v>0</v>
      </c>
      <c r="H87" s="54">
        <v>0.68245451314546257</v>
      </c>
      <c r="I87" s="54">
        <v>0.56261809815950914</v>
      </c>
      <c r="J87" s="55">
        <v>0</v>
      </c>
      <c r="K87" s="54">
        <v>0.34500000000000003</v>
      </c>
      <c r="L87" s="54">
        <v>0.11499999999999999</v>
      </c>
      <c r="M87" s="54">
        <v>0.154</v>
      </c>
      <c r="N87" s="54">
        <v>0.5866888612321095</v>
      </c>
      <c r="O87" s="54">
        <v>0</v>
      </c>
      <c r="P87" s="54">
        <v>1</v>
      </c>
      <c r="Q87" s="54">
        <v>0</v>
      </c>
      <c r="R87" s="54">
        <v>0.82634348588741824</v>
      </c>
      <c r="S87" s="54">
        <v>0.40373549488054605</v>
      </c>
      <c r="T87" s="48">
        <v>0</v>
      </c>
      <c r="U87" s="56">
        <v>0</v>
      </c>
      <c r="V87" s="56">
        <f>1</f>
        <v>1</v>
      </c>
      <c r="W87" s="57">
        <v>0</v>
      </c>
      <c r="X87" s="58">
        <v>0</v>
      </c>
      <c r="Y87" s="58">
        <v>0.96280895410986711</v>
      </c>
      <c r="Z87" s="58">
        <v>0</v>
      </c>
      <c r="AA87" s="58">
        <v>330</v>
      </c>
    </row>
    <row r="88" spans="1:27" s="48" customFormat="1" x14ac:dyDescent="0.35">
      <c r="A88" s="54">
        <v>0.28199999999999997</v>
      </c>
      <c r="B88" s="54">
        <v>0.114</v>
      </c>
      <c r="C88" s="54">
        <v>0.18848293999999999</v>
      </c>
      <c r="D88" s="54">
        <v>0.43199995127220159</v>
      </c>
      <c r="E88" s="54">
        <v>0</v>
      </c>
      <c r="F88" s="54">
        <v>0</v>
      </c>
      <c r="G88" s="54">
        <v>0</v>
      </c>
      <c r="H88" s="54">
        <v>0.68245451314546257</v>
      </c>
      <c r="I88" s="54">
        <v>0.56248355828220864</v>
      </c>
      <c r="J88" s="55">
        <v>0</v>
      </c>
      <c r="K88" s="54">
        <v>0.33499999999999996</v>
      </c>
      <c r="L88" s="54">
        <v>0.23800000000000002</v>
      </c>
      <c r="M88" s="54">
        <v>0.193</v>
      </c>
      <c r="N88" s="54">
        <v>0.58425575606720592</v>
      </c>
      <c r="O88" s="54">
        <v>0</v>
      </c>
      <c r="P88" s="54">
        <v>1</v>
      </c>
      <c r="Q88" s="54">
        <v>0</v>
      </c>
      <c r="R88" s="54">
        <v>0.82634348588741824</v>
      </c>
      <c r="S88" s="54">
        <v>0.41695548300934854</v>
      </c>
      <c r="T88" s="48">
        <v>0</v>
      </c>
      <c r="U88" s="56">
        <v>0</v>
      </c>
      <c r="V88" s="56">
        <f>1</f>
        <v>1</v>
      </c>
      <c r="W88" s="57">
        <v>0</v>
      </c>
      <c r="X88" s="58">
        <v>0</v>
      </c>
      <c r="Y88" s="58">
        <v>0.58114971051437148</v>
      </c>
      <c r="Z88" s="58">
        <v>0</v>
      </c>
      <c r="AA88" s="58">
        <v>330</v>
      </c>
    </row>
    <row r="89" spans="1:27" s="48" customFormat="1" x14ac:dyDescent="0.35">
      <c r="A89" s="54">
        <v>0.255</v>
      </c>
      <c r="B89" s="54">
        <v>0.09</v>
      </c>
      <c r="C89" s="54">
        <v>0.20757709799999999</v>
      </c>
      <c r="D89" s="54">
        <v>0.42400006497039783</v>
      </c>
      <c r="E89" s="54">
        <v>0</v>
      </c>
      <c r="F89" s="54">
        <v>0</v>
      </c>
      <c r="G89" s="54">
        <v>0</v>
      </c>
      <c r="H89" s="54">
        <v>0.68245451314546257</v>
      </c>
      <c r="I89" s="54">
        <v>0.53294987730061349</v>
      </c>
      <c r="J89" s="55">
        <v>0</v>
      </c>
      <c r="K89" s="54">
        <v>0.25700000000000001</v>
      </c>
      <c r="L89" s="54">
        <v>0.33099999999999996</v>
      </c>
      <c r="M89" s="54">
        <v>0.23399999999999999</v>
      </c>
      <c r="N89" s="54">
        <v>0.59029184816428126</v>
      </c>
      <c r="O89" s="54">
        <v>0</v>
      </c>
      <c r="P89" s="54">
        <v>1</v>
      </c>
      <c r="Q89" s="54">
        <v>0</v>
      </c>
      <c r="R89" s="54">
        <v>0.82634348588741824</v>
      </c>
      <c r="S89" s="54">
        <v>0.37884426472770444</v>
      </c>
      <c r="T89" s="48">
        <v>0</v>
      </c>
      <c r="U89" s="56">
        <v>0</v>
      </c>
      <c r="V89" s="56">
        <f>1</f>
        <v>1</v>
      </c>
      <c r="W89" s="57">
        <v>0.62782949274599997</v>
      </c>
      <c r="X89" s="58">
        <v>0</v>
      </c>
      <c r="Y89" s="58">
        <v>0.58085371378947137</v>
      </c>
      <c r="Z89" s="58">
        <v>0</v>
      </c>
      <c r="AA89" s="58">
        <v>330</v>
      </c>
    </row>
    <row r="90" spans="1:27" s="48" customFormat="1" x14ac:dyDescent="0.35">
      <c r="A90" s="54">
        <v>0.189</v>
      </c>
      <c r="B90" s="54">
        <v>5.0999999999999997E-2</v>
      </c>
      <c r="C90" s="54">
        <v>0.21244671500000001</v>
      </c>
      <c r="D90" s="54">
        <v>0.42499979696750673</v>
      </c>
      <c r="E90" s="54">
        <v>0</v>
      </c>
      <c r="F90" s="54">
        <v>0</v>
      </c>
      <c r="G90" s="54">
        <v>0</v>
      </c>
      <c r="H90" s="54">
        <v>0.68245451314546257</v>
      </c>
      <c r="I90" s="54">
        <v>0.44948757668711659</v>
      </c>
      <c r="J90" s="55">
        <v>0</v>
      </c>
      <c r="K90" s="54">
        <v>0.15699999999999997</v>
      </c>
      <c r="L90" s="54">
        <v>0.35600000000000004</v>
      </c>
      <c r="M90" s="54">
        <v>0.26700000000000002</v>
      </c>
      <c r="N90" s="54">
        <v>0.59544243932794028</v>
      </c>
      <c r="O90" s="54">
        <v>0</v>
      </c>
      <c r="P90" s="54">
        <v>1</v>
      </c>
      <c r="Q90" s="54">
        <v>0</v>
      </c>
      <c r="R90" s="54">
        <v>0.82634348588741824</v>
      </c>
      <c r="S90" s="54">
        <v>0.3169425730820597</v>
      </c>
      <c r="T90" s="48">
        <v>0</v>
      </c>
      <c r="U90" s="56">
        <v>0</v>
      </c>
      <c r="V90" s="56">
        <f>1</f>
        <v>1</v>
      </c>
      <c r="W90" s="57">
        <v>0</v>
      </c>
      <c r="X90" s="58">
        <v>0</v>
      </c>
      <c r="Y90" s="58">
        <v>1</v>
      </c>
      <c r="Z90" s="58">
        <v>0</v>
      </c>
      <c r="AA90" s="58">
        <v>330</v>
      </c>
    </row>
    <row r="91" spans="1:27" s="48" customFormat="1" x14ac:dyDescent="0.35">
      <c r="A91" s="54">
        <v>5.1999999999999998E-2</v>
      </c>
      <c r="B91" s="54">
        <v>0</v>
      </c>
      <c r="C91" s="54">
        <v>0.20457370999999999</v>
      </c>
      <c r="D91" s="54">
        <v>0.44899986193790453</v>
      </c>
      <c r="E91" s="54">
        <v>0</v>
      </c>
      <c r="F91" s="54">
        <v>0.23203283156840868</v>
      </c>
      <c r="G91" s="54">
        <v>0</v>
      </c>
      <c r="H91" s="54">
        <v>0.68245451314546257</v>
      </c>
      <c r="I91" s="54">
        <v>0.29873024539877302</v>
      </c>
      <c r="J91" s="55">
        <v>0</v>
      </c>
      <c r="K91" s="54">
        <v>6.4000000000000001E-2</v>
      </c>
      <c r="L91" s="54">
        <v>0.22</v>
      </c>
      <c r="M91" s="54">
        <v>0.316</v>
      </c>
      <c r="N91" s="54">
        <v>0.60199626633478531</v>
      </c>
      <c r="O91" s="54">
        <v>0</v>
      </c>
      <c r="P91" s="54">
        <v>1</v>
      </c>
      <c r="Q91" s="54">
        <v>0</v>
      </c>
      <c r="R91" s="54">
        <v>0.82634348588741824</v>
      </c>
      <c r="S91" s="54">
        <v>0.2780603205223327</v>
      </c>
      <c r="T91" s="48">
        <v>0</v>
      </c>
      <c r="U91" s="56">
        <v>0</v>
      </c>
      <c r="V91" s="56">
        <f>1</f>
        <v>1</v>
      </c>
      <c r="W91" s="57">
        <v>1</v>
      </c>
      <c r="X91" s="58">
        <v>0</v>
      </c>
      <c r="Y91" s="58">
        <v>0.87442654348372717</v>
      </c>
      <c r="Z91" s="58">
        <v>1240</v>
      </c>
      <c r="AA91" s="58">
        <v>330</v>
      </c>
    </row>
    <row r="92" spans="1:27" s="48" customFormat="1" x14ac:dyDescent="0.35">
      <c r="A92" s="54">
        <v>0</v>
      </c>
      <c r="B92" s="54">
        <v>0</v>
      </c>
      <c r="C92" s="54">
        <v>0.22267505300000001</v>
      </c>
      <c r="D92" s="54">
        <v>0.45499987818050402</v>
      </c>
      <c r="E92" s="54">
        <v>0</v>
      </c>
      <c r="F92" s="54">
        <v>0.23203283156840868</v>
      </c>
      <c r="G92" s="54">
        <v>0</v>
      </c>
      <c r="H92" s="54">
        <v>0.68245451314546257</v>
      </c>
      <c r="I92" s="54">
        <v>0.25960263803680983</v>
      </c>
      <c r="J92" s="55">
        <v>0</v>
      </c>
      <c r="K92" s="54">
        <v>0</v>
      </c>
      <c r="L92" s="54">
        <v>0.16499999999999998</v>
      </c>
      <c r="M92" s="54">
        <v>0.36399999999999999</v>
      </c>
      <c r="N92" s="54">
        <v>0.61056253889234602</v>
      </c>
      <c r="O92" s="54">
        <v>0</v>
      </c>
      <c r="P92" s="54">
        <v>1</v>
      </c>
      <c r="Q92" s="54">
        <v>0</v>
      </c>
      <c r="R92" s="54">
        <v>0.82634348588741824</v>
      </c>
      <c r="S92" s="54">
        <v>0.27129841222733342</v>
      </c>
      <c r="T92" s="48">
        <v>0</v>
      </c>
      <c r="U92" s="56">
        <v>0</v>
      </c>
      <c r="V92" s="56">
        <f>1</f>
        <v>1</v>
      </c>
      <c r="W92" s="57">
        <v>1</v>
      </c>
      <c r="X92" s="58">
        <v>0</v>
      </c>
      <c r="Y92" s="58">
        <v>1</v>
      </c>
      <c r="Z92" s="58">
        <v>1240</v>
      </c>
      <c r="AA92" s="58">
        <v>330</v>
      </c>
    </row>
    <row r="93" spans="1:27" s="48" customFormat="1" x14ac:dyDescent="0.35">
      <c r="A93" s="54">
        <v>0</v>
      </c>
      <c r="B93" s="54">
        <v>0</v>
      </c>
      <c r="C93" s="54">
        <v>0.254737767</v>
      </c>
      <c r="D93" s="54">
        <v>0.4669999106657029</v>
      </c>
      <c r="E93" s="54">
        <v>0</v>
      </c>
      <c r="F93" s="54">
        <v>0.23203283156840868</v>
      </c>
      <c r="G93" s="54">
        <v>0</v>
      </c>
      <c r="H93" s="54">
        <v>0.68245451314546257</v>
      </c>
      <c r="I93" s="54">
        <v>0.2969311042944785</v>
      </c>
      <c r="J93" s="55">
        <v>0</v>
      </c>
      <c r="K93" s="54">
        <v>0</v>
      </c>
      <c r="L93" s="54">
        <v>0.14599999999999999</v>
      </c>
      <c r="M93" s="54">
        <v>0.38800000000000001</v>
      </c>
      <c r="N93" s="54">
        <v>0.62000622277535777</v>
      </c>
      <c r="O93" s="54">
        <v>0</v>
      </c>
      <c r="P93" s="54">
        <v>1</v>
      </c>
      <c r="Q93" s="54">
        <v>0</v>
      </c>
      <c r="R93" s="54">
        <v>0.82634348588741824</v>
      </c>
      <c r="S93" s="54">
        <v>0.28904429440569818</v>
      </c>
      <c r="T93" s="48">
        <v>0</v>
      </c>
      <c r="U93" s="56">
        <v>0</v>
      </c>
      <c r="V93" s="56">
        <f>1</f>
        <v>1</v>
      </c>
      <c r="W93" s="57">
        <v>1</v>
      </c>
      <c r="X93" s="58">
        <v>0</v>
      </c>
      <c r="Y93" s="58">
        <v>1</v>
      </c>
      <c r="Z93" s="58">
        <v>1240</v>
      </c>
      <c r="AA93" s="58">
        <v>330</v>
      </c>
    </row>
    <row r="94" spans="1:27" s="48" customFormat="1" x14ac:dyDescent="0.35">
      <c r="A94" s="54">
        <v>0</v>
      </c>
      <c r="B94" s="54">
        <v>0</v>
      </c>
      <c r="C94" s="54">
        <v>0.27501555100000002</v>
      </c>
      <c r="D94" s="54">
        <v>0.47299992690830239</v>
      </c>
      <c r="E94" s="54">
        <v>0</v>
      </c>
      <c r="F94" s="54">
        <v>0.23355253881070101</v>
      </c>
      <c r="G94" s="54">
        <v>0</v>
      </c>
      <c r="H94" s="54">
        <v>0.68245451314546257</v>
      </c>
      <c r="I94" s="54">
        <v>0.32056757668711661</v>
      </c>
      <c r="J94" s="55">
        <v>0</v>
      </c>
      <c r="K94" s="54">
        <v>0</v>
      </c>
      <c r="L94" s="54">
        <v>0.14799999999999999</v>
      </c>
      <c r="M94" s="54">
        <v>0.43099999999999999</v>
      </c>
      <c r="N94" s="54">
        <v>0.62357311761045431</v>
      </c>
      <c r="O94" s="54">
        <v>0</v>
      </c>
      <c r="P94" s="54">
        <v>1</v>
      </c>
      <c r="Q94" s="54">
        <v>0</v>
      </c>
      <c r="R94" s="54">
        <v>0.82634348588741824</v>
      </c>
      <c r="S94" s="54">
        <v>0.31937468467131624</v>
      </c>
      <c r="T94" s="48">
        <v>0</v>
      </c>
      <c r="U94" s="56">
        <v>0</v>
      </c>
      <c r="V94" s="56">
        <f>1</f>
        <v>1</v>
      </c>
      <c r="W94" s="57">
        <v>1</v>
      </c>
      <c r="X94" s="58">
        <v>0</v>
      </c>
      <c r="Y94" s="58">
        <v>1</v>
      </c>
      <c r="Z94" s="58">
        <v>1240</v>
      </c>
      <c r="AA94" s="58">
        <v>330</v>
      </c>
    </row>
    <row r="95" spans="1:27" s="48" customFormat="1" x14ac:dyDescent="0.35">
      <c r="A95" s="54">
        <v>0</v>
      </c>
      <c r="B95" s="54">
        <v>0</v>
      </c>
      <c r="C95" s="54">
        <v>0.28818690899999999</v>
      </c>
      <c r="D95" s="54">
        <v>0.4669999106657029</v>
      </c>
      <c r="E95" s="54">
        <v>0</v>
      </c>
      <c r="F95" s="54">
        <v>0.3060459106658493</v>
      </c>
      <c r="G95" s="54">
        <v>0</v>
      </c>
      <c r="H95" s="54">
        <v>0.68245451314546257</v>
      </c>
      <c r="I95" s="54">
        <v>0.33592055214723926</v>
      </c>
      <c r="J95" s="55">
        <v>0</v>
      </c>
      <c r="K95" s="54">
        <v>0</v>
      </c>
      <c r="L95" s="54">
        <v>0.16800000000000001</v>
      </c>
      <c r="M95" s="54">
        <v>0.49800000000000005</v>
      </c>
      <c r="N95" s="54">
        <v>0.62135345364032357</v>
      </c>
      <c r="O95" s="54">
        <v>0</v>
      </c>
      <c r="P95" s="54">
        <v>1</v>
      </c>
      <c r="Q95" s="54">
        <v>0</v>
      </c>
      <c r="R95" s="54">
        <v>0.82634348588741824</v>
      </c>
      <c r="S95" s="54">
        <v>0.36329314438343968</v>
      </c>
      <c r="T95" s="48">
        <v>0</v>
      </c>
      <c r="U95" s="56">
        <v>0</v>
      </c>
      <c r="V95" s="56">
        <f>1</f>
        <v>1</v>
      </c>
      <c r="W95" s="57">
        <v>1</v>
      </c>
      <c r="X95" s="58">
        <v>0</v>
      </c>
      <c r="Y95" s="58">
        <v>1</v>
      </c>
      <c r="Z95" s="58">
        <v>1240</v>
      </c>
      <c r="AA95" s="58">
        <v>330</v>
      </c>
    </row>
    <row r="96" spans="1:27" s="48" customFormat="1" x14ac:dyDescent="0.35">
      <c r="A96" s="54">
        <v>0</v>
      </c>
      <c r="B96" s="54">
        <v>0</v>
      </c>
      <c r="C96" s="54">
        <v>0.31947301099999997</v>
      </c>
      <c r="D96" s="54">
        <v>0.46500004060649869</v>
      </c>
      <c r="E96" s="54">
        <v>0</v>
      </c>
      <c r="F96" s="54">
        <v>0.23203283156840868</v>
      </c>
      <c r="G96" s="54">
        <v>0</v>
      </c>
      <c r="H96" s="54">
        <v>0.68245451314546257</v>
      </c>
      <c r="I96" s="54">
        <v>0.37238871165644172</v>
      </c>
      <c r="J96" s="55">
        <v>0</v>
      </c>
      <c r="K96" s="54">
        <v>0</v>
      </c>
      <c r="L96" s="54">
        <v>0.20500000000000002</v>
      </c>
      <c r="M96" s="54">
        <v>0.53500000000000003</v>
      </c>
      <c r="N96" s="54">
        <v>0.60562912258867452</v>
      </c>
      <c r="O96" s="54">
        <v>0</v>
      </c>
      <c r="P96" s="54">
        <v>1</v>
      </c>
      <c r="Q96" s="54">
        <v>0</v>
      </c>
      <c r="R96" s="54">
        <v>0.82634348588741824</v>
      </c>
      <c r="S96" s="54">
        <v>0.3864834545184746</v>
      </c>
      <c r="T96" s="48">
        <v>0</v>
      </c>
      <c r="U96" s="56">
        <v>0</v>
      </c>
      <c r="V96" s="56">
        <f>1</f>
        <v>1</v>
      </c>
      <c r="W96" s="57">
        <v>0.14925558578000001</v>
      </c>
      <c r="X96" s="58">
        <v>0</v>
      </c>
      <c r="Y96" s="58">
        <v>1</v>
      </c>
      <c r="Z96" s="58">
        <v>194.64011808999999</v>
      </c>
      <c r="AA96" s="58">
        <v>330</v>
      </c>
    </row>
    <row r="97" spans="1:27" s="48" customFormat="1" x14ac:dyDescent="0.35">
      <c r="A97" s="54">
        <v>0</v>
      </c>
      <c r="B97" s="54">
        <v>0</v>
      </c>
      <c r="C97" s="54">
        <v>0.353982937</v>
      </c>
      <c r="D97" s="54">
        <v>0.46500004060649869</v>
      </c>
      <c r="E97" s="54">
        <v>0</v>
      </c>
      <c r="F97" s="54">
        <v>0</v>
      </c>
      <c r="G97" s="54">
        <v>0</v>
      </c>
      <c r="H97" s="54">
        <v>0.68245451314546257</v>
      </c>
      <c r="I97" s="54">
        <v>0.41261466257668711</v>
      </c>
      <c r="J97" s="55">
        <v>0</v>
      </c>
      <c r="K97" s="54">
        <v>0</v>
      </c>
      <c r="L97" s="54">
        <v>0.23599999999999999</v>
      </c>
      <c r="M97" s="54">
        <v>0.55800000000000005</v>
      </c>
      <c r="N97" s="54">
        <v>0.60581767268201614</v>
      </c>
      <c r="O97" s="54">
        <v>0</v>
      </c>
      <c r="P97" s="54">
        <v>1</v>
      </c>
      <c r="Q97" s="54">
        <v>0</v>
      </c>
      <c r="R97" s="54">
        <v>0.82634348588741824</v>
      </c>
      <c r="S97" s="54">
        <v>0.39477333432259981</v>
      </c>
      <c r="T97" s="48">
        <v>0</v>
      </c>
      <c r="U97" s="56">
        <v>0</v>
      </c>
      <c r="V97" s="56">
        <f>1</f>
        <v>1</v>
      </c>
      <c r="W97" s="57">
        <v>0</v>
      </c>
      <c r="X97" s="58">
        <v>0</v>
      </c>
      <c r="Y97" s="58">
        <v>0.45274181287259513</v>
      </c>
      <c r="Z97" s="58">
        <v>0</v>
      </c>
      <c r="AA97" s="58">
        <v>128.65667970999999</v>
      </c>
    </row>
    <row r="98" spans="1:27" s="48" customFormat="1" x14ac:dyDescent="0.35">
      <c r="A98" s="54">
        <v>0</v>
      </c>
      <c r="B98" s="54">
        <v>0</v>
      </c>
      <c r="C98" s="54">
        <v>0.36701989000000002</v>
      </c>
      <c r="D98" s="54">
        <v>0.445000121819496</v>
      </c>
      <c r="E98" s="54">
        <v>0</v>
      </c>
      <c r="F98" s="54">
        <v>0</v>
      </c>
      <c r="G98" s="54">
        <v>0</v>
      </c>
      <c r="H98" s="54">
        <v>0.68245451314546257</v>
      </c>
      <c r="I98" s="54">
        <v>0.42781098159509207</v>
      </c>
      <c r="J98" s="55">
        <v>0</v>
      </c>
      <c r="K98" s="54">
        <v>0</v>
      </c>
      <c r="L98" s="54">
        <v>0.25</v>
      </c>
      <c r="M98" s="54">
        <v>0.57599999999999996</v>
      </c>
      <c r="N98" s="54">
        <v>0.57914312383322963</v>
      </c>
      <c r="O98" s="54">
        <v>0</v>
      </c>
      <c r="P98" s="54">
        <v>1</v>
      </c>
      <c r="Q98" s="54">
        <v>0</v>
      </c>
      <c r="R98" s="54">
        <v>0.82634348588741824</v>
      </c>
      <c r="S98" s="54">
        <v>0.3972325270811693</v>
      </c>
      <c r="T98" s="48">
        <v>0</v>
      </c>
      <c r="U98" s="56">
        <v>0</v>
      </c>
      <c r="V98" s="56">
        <f>1</f>
        <v>1</v>
      </c>
      <c r="W98" s="57">
        <v>0</v>
      </c>
      <c r="X98" s="58">
        <v>0</v>
      </c>
      <c r="Y98" s="58">
        <v>0.58233433207805452</v>
      </c>
      <c r="Z98" s="58">
        <v>0</v>
      </c>
      <c r="AA98" s="58">
        <v>330</v>
      </c>
    </row>
    <row r="99" spans="1:27" s="48" customFormat="1" x14ac:dyDescent="0.35">
      <c r="A99" s="54">
        <v>0</v>
      </c>
      <c r="B99" s="54">
        <v>0</v>
      </c>
      <c r="C99" s="54">
        <v>0.342508282</v>
      </c>
      <c r="D99" s="54">
        <v>0.41999991878700271</v>
      </c>
      <c r="E99" s="54">
        <v>0</v>
      </c>
      <c r="F99" s="54">
        <v>0</v>
      </c>
      <c r="G99" s="54">
        <v>0</v>
      </c>
      <c r="H99" s="54">
        <v>0.68245451314546257</v>
      </c>
      <c r="I99" s="54">
        <v>0.39923941717791411</v>
      </c>
      <c r="J99" s="55">
        <v>0</v>
      </c>
      <c r="K99" s="54">
        <v>0</v>
      </c>
      <c r="L99" s="54">
        <v>0.24299999999999999</v>
      </c>
      <c r="M99" s="54">
        <v>0.59099999999999997</v>
      </c>
      <c r="N99" s="54">
        <v>0.57756191661481027</v>
      </c>
      <c r="O99" s="54">
        <v>0</v>
      </c>
      <c r="P99" s="54">
        <v>1</v>
      </c>
      <c r="Q99" s="54">
        <v>0</v>
      </c>
      <c r="R99" s="54">
        <v>0.82634348588741824</v>
      </c>
      <c r="S99" s="54">
        <v>0.40193975367265172</v>
      </c>
      <c r="T99" s="48">
        <v>0</v>
      </c>
      <c r="U99" s="56">
        <v>0</v>
      </c>
      <c r="V99" s="56">
        <f>1</f>
        <v>1</v>
      </c>
      <c r="W99" s="57">
        <v>0</v>
      </c>
      <c r="X99" s="58">
        <v>0</v>
      </c>
      <c r="Y99" s="58">
        <v>0.58233433207805452</v>
      </c>
      <c r="Z99" s="58">
        <v>0</v>
      </c>
      <c r="AA99" s="58">
        <v>330</v>
      </c>
    </row>
    <row r="100" spans="1:27" s="48" customFormat="1" x14ac:dyDescent="0.35">
      <c r="A100" s="54">
        <v>0</v>
      </c>
      <c r="B100" s="54">
        <v>0</v>
      </c>
      <c r="C100" s="54">
        <v>0.33470191500000002</v>
      </c>
      <c r="D100" s="54">
        <v>0.41900018678989387</v>
      </c>
      <c r="E100" s="54">
        <v>0</v>
      </c>
      <c r="F100" s="54">
        <v>0</v>
      </c>
      <c r="G100" s="54">
        <v>0</v>
      </c>
      <c r="H100" s="54">
        <v>0.68245451314546257</v>
      </c>
      <c r="I100" s="54">
        <v>0.39014006134969326</v>
      </c>
      <c r="J100" s="55">
        <v>0</v>
      </c>
      <c r="K100" s="54">
        <v>0</v>
      </c>
      <c r="L100" s="54">
        <v>0.24199999999999999</v>
      </c>
      <c r="M100" s="54">
        <v>0.59699999999999998</v>
      </c>
      <c r="N100" s="54">
        <v>0.58091039203484751</v>
      </c>
      <c r="O100" s="54">
        <v>0</v>
      </c>
      <c r="P100" s="54">
        <v>1</v>
      </c>
      <c r="Q100" s="54">
        <v>0</v>
      </c>
      <c r="R100" s="54">
        <v>0.82634348588741824</v>
      </c>
      <c r="S100" s="54">
        <v>0.40435109066627095</v>
      </c>
      <c r="T100" s="48">
        <v>0</v>
      </c>
      <c r="U100" s="56">
        <v>0</v>
      </c>
      <c r="V100" s="56">
        <f>1</f>
        <v>1</v>
      </c>
      <c r="W100" s="57">
        <v>0</v>
      </c>
      <c r="X100" s="58">
        <v>0</v>
      </c>
      <c r="Y100" s="58">
        <v>0.43258373855327792</v>
      </c>
      <c r="Z100" s="58">
        <v>0</v>
      </c>
      <c r="AA100" s="58">
        <v>97.336652130000004</v>
      </c>
    </row>
    <row r="101" spans="1:27" s="48" customFormat="1" x14ac:dyDescent="0.35">
      <c r="A101" s="54">
        <v>0</v>
      </c>
      <c r="B101" s="54">
        <v>0</v>
      </c>
      <c r="C101" s="54">
        <v>0.35738882900000002</v>
      </c>
      <c r="D101" s="54">
        <v>0.40700015430469494</v>
      </c>
      <c r="E101" s="54">
        <v>0</v>
      </c>
      <c r="F101" s="54">
        <v>0</v>
      </c>
      <c r="G101" s="54">
        <v>0</v>
      </c>
      <c r="H101" s="54">
        <v>0.68245451314546257</v>
      </c>
      <c r="I101" s="54">
        <v>0.41658469325153374</v>
      </c>
      <c r="J101" s="55">
        <v>0</v>
      </c>
      <c r="K101" s="54">
        <v>0</v>
      </c>
      <c r="L101" s="54">
        <v>0.26200000000000001</v>
      </c>
      <c r="M101" s="54">
        <v>0.58299999999999996</v>
      </c>
      <c r="N101" s="54">
        <v>0.58569010578718106</v>
      </c>
      <c r="O101" s="54">
        <v>0</v>
      </c>
      <c r="P101" s="54">
        <v>1</v>
      </c>
      <c r="Q101" s="54">
        <v>0</v>
      </c>
      <c r="R101" s="54">
        <v>0.82634348588741824</v>
      </c>
      <c r="S101" s="54">
        <v>0.39393188900430332</v>
      </c>
      <c r="T101" s="48">
        <v>0</v>
      </c>
      <c r="U101" s="56">
        <v>0</v>
      </c>
      <c r="V101" s="56">
        <f>1</f>
        <v>1</v>
      </c>
      <c r="W101" s="57">
        <v>0</v>
      </c>
      <c r="X101" s="58">
        <v>0</v>
      </c>
      <c r="Y101" s="58">
        <v>0.36993432874453297</v>
      </c>
      <c r="Z101" s="58">
        <v>0</v>
      </c>
      <c r="AA101" s="58">
        <v>0</v>
      </c>
    </row>
    <row r="102" spans="1:27" s="48" customFormat="1" x14ac:dyDescent="0.35">
      <c r="A102" s="54">
        <v>0</v>
      </c>
      <c r="B102" s="54">
        <v>0</v>
      </c>
      <c r="C102" s="54">
        <v>0.41485719700000001</v>
      </c>
      <c r="D102" s="54">
        <v>0.4010001380620955</v>
      </c>
      <c r="E102" s="54">
        <v>0</v>
      </c>
      <c r="F102" s="54">
        <v>0</v>
      </c>
      <c r="G102" s="54">
        <v>0</v>
      </c>
      <c r="H102" s="54">
        <v>0.68245451314546257</v>
      </c>
      <c r="I102" s="54">
        <v>0.48357180981595094</v>
      </c>
      <c r="J102" s="55">
        <v>0</v>
      </c>
      <c r="K102" s="54">
        <v>0</v>
      </c>
      <c r="L102" s="54">
        <v>0.28300000000000003</v>
      </c>
      <c r="M102" s="54">
        <v>0.56299999999999994</v>
      </c>
      <c r="N102" s="54">
        <v>0.58854075917859361</v>
      </c>
      <c r="O102" s="54">
        <v>0</v>
      </c>
      <c r="P102" s="54">
        <v>1</v>
      </c>
      <c r="Q102" s="54">
        <v>0</v>
      </c>
      <c r="R102" s="54">
        <v>0.82634348588741824</v>
      </c>
      <c r="S102" s="54">
        <v>0.37934730672206557</v>
      </c>
      <c r="T102" s="48">
        <v>0</v>
      </c>
      <c r="U102" s="56">
        <v>0</v>
      </c>
      <c r="V102" s="56">
        <f>1</f>
        <v>1</v>
      </c>
      <c r="W102" s="57">
        <v>0</v>
      </c>
      <c r="X102" s="58">
        <v>0</v>
      </c>
      <c r="Y102" s="58">
        <v>0.58203833535315441</v>
      </c>
      <c r="Z102" s="58">
        <v>0</v>
      </c>
      <c r="AA102" s="58">
        <v>330</v>
      </c>
    </row>
    <row r="103" spans="1:27" s="48" customFormat="1" x14ac:dyDescent="0.35">
      <c r="A103" s="54">
        <v>0</v>
      </c>
      <c r="B103" s="54">
        <v>0</v>
      </c>
      <c r="C103" s="54">
        <v>0.47076277500000002</v>
      </c>
      <c r="D103" s="54">
        <v>0.39800012994079575</v>
      </c>
      <c r="E103" s="54">
        <v>0</v>
      </c>
      <c r="F103" s="54">
        <v>0</v>
      </c>
      <c r="G103" s="54">
        <v>0</v>
      </c>
      <c r="H103" s="54">
        <v>0.68245451314546257</v>
      </c>
      <c r="I103" s="54">
        <v>0.54873726993865024</v>
      </c>
      <c r="J103" s="55">
        <v>0</v>
      </c>
      <c r="K103" s="54">
        <v>0</v>
      </c>
      <c r="L103" s="54">
        <v>0.3</v>
      </c>
      <c r="M103" s="54">
        <v>0.55700000000000005</v>
      </c>
      <c r="N103" s="54">
        <v>0.58027442439327936</v>
      </c>
      <c r="O103" s="54">
        <v>0</v>
      </c>
      <c r="P103" s="54">
        <v>1</v>
      </c>
      <c r="Q103" s="54">
        <v>0</v>
      </c>
      <c r="R103" s="54">
        <v>0.82634348588741824</v>
      </c>
      <c r="S103" s="54">
        <v>0.37455349458376613</v>
      </c>
      <c r="T103" s="48">
        <v>0</v>
      </c>
      <c r="U103" s="56">
        <v>0</v>
      </c>
      <c r="V103" s="56">
        <f>1</f>
        <v>1</v>
      </c>
      <c r="W103" s="57">
        <v>0</v>
      </c>
      <c r="X103" s="58">
        <v>0</v>
      </c>
      <c r="Y103" s="58">
        <v>0.58144634189691791</v>
      </c>
      <c r="Z103" s="58">
        <v>0</v>
      </c>
      <c r="AA103" s="58">
        <v>330</v>
      </c>
    </row>
    <row r="104" spans="1:27" s="48" customFormat="1" x14ac:dyDescent="0.35">
      <c r="A104" s="54">
        <v>0</v>
      </c>
      <c r="B104" s="54">
        <v>0</v>
      </c>
      <c r="C104" s="54">
        <v>0.49756946400000002</v>
      </c>
      <c r="D104" s="54">
        <v>0.40199987005920429</v>
      </c>
      <c r="E104" s="54">
        <v>0</v>
      </c>
      <c r="F104" s="54">
        <v>0</v>
      </c>
      <c r="G104" s="54">
        <v>0</v>
      </c>
      <c r="H104" s="54">
        <v>0.68245451314546257</v>
      </c>
      <c r="I104" s="54">
        <v>0.57998404907975454</v>
      </c>
      <c r="J104" s="55">
        <v>0</v>
      </c>
      <c r="K104" s="54">
        <v>0</v>
      </c>
      <c r="L104" s="54">
        <v>0.29299999999999998</v>
      </c>
      <c r="M104" s="54">
        <v>0.56100000000000005</v>
      </c>
      <c r="N104" s="54">
        <v>0.57440510267579337</v>
      </c>
      <c r="O104" s="54">
        <v>0</v>
      </c>
      <c r="P104" s="54">
        <v>1</v>
      </c>
      <c r="Q104" s="54">
        <v>0</v>
      </c>
      <c r="R104" s="54">
        <v>0.82634348588741824</v>
      </c>
      <c r="S104" s="54">
        <v>0.37719060691497253</v>
      </c>
      <c r="T104" s="48">
        <v>0</v>
      </c>
      <c r="U104" s="56">
        <v>0</v>
      </c>
      <c r="V104" s="56">
        <f>1</f>
        <v>1</v>
      </c>
      <c r="W104" s="57">
        <v>0</v>
      </c>
      <c r="X104" s="58">
        <v>0</v>
      </c>
      <c r="Y104" s="58">
        <v>0.36875034183849625</v>
      </c>
      <c r="Z104" s="58">
        <v>0</v>
      </c>
      <c r="AA104" s="58">
        <v>0</v>
      </c>
    </row>
    <row r="105" spans="1:27" s="48" customFormat="1" x14ac:dyDescent="0.35">
      <c r="A105" s="54">
        <v>0</v>
      </c>
      <c r="B105" s="54">
        <v>0</v>
      </c>
      <c r="C105" s="54">
        <v>0.51359013099999995</v>
      </c>
      <c r="D105" s="54">
        <v>0.40900002436389921</v>
      </c>
      <c r="E105" s="54">
        <v>0</v>
      </c>
      <c r="F105" s="54">
        <v>0</v>
      </c>
      <c r="G105" s="54">
        <v>0</v>
      </c>
      <c r="H105" s="54">
        <v>0.68245451314546257</v>
      </c>
      <c r="I105" s="54">
        <v>0.59865831288343552</v>
      </c>
      <c r="J105" s="55">
        <v>0</v>
      </c>
      <c r="K105" s="54">
        <v>0</v>
      </c>
      <c r="L105" s="54">
        <v>0.27099999999999996</v>
      </c>
      <c r="M105" s="54">
        <v>0.53800000000000003</v>
      </c>
      <c r="N105" s="54">
        <v>0.55938207840696952</v>
      </c>
      <c r="O105" s="54">
        <v>0</v>
      </c>
      <c r="P105" s="54">
        <v>1</v>
      </c>
      <c r="Q105" s="54">
        <v>0</v>
      </c>
      <c r="R105" s="54">
        <v>0.82634348588741824</v>
      </c>
      <c r="S105" s="54">
        <v>0.36183306128505716</v>
      </c>
      <c r="T105" s="48">
        <v>0</v>
      </c>
      <c r="U105" s="56">
        <v>0</v>
      </c>
      <c r="V105" s="56">
        <f>1</f>
        <v>1</v>
      </c>
      <c r="W105" s="57">
        <v>0</v>
      </c>
      <c r="X105" s="58">
        <v>0</v>
      </c>
      <c r="Y105" s="58">
        <v>0.3684543451135962</v>
      </c>
      <c r="Z105" s="58">
        <v>0</v>
      </c>
      <c r="AA105" s="58">
        <v>0</v>
      </c>
    </row>
    <row r="106" spans="1:27" s="48" customFormat="1" x14ac:dyDescent="0.35">
      <c r="A106" s="54">
        <v>0</v>
      </c>
      <c r="B106" s="54">
        <v>0</v>
      </c>
      <c r="C106" s="54">
        <v>0.54317550699999995</v>
      </c>
      <c r="D106" s="54">
        <v>0.42100005684909814</v>
      </c>
      <c r="E106" s="54">
        <v>0</v>
      </c>
      <c r="F106" s="54">
        <v>0</v>
      </c>
      <c r="G106" s="54">
        <v>0</v>
      </c>
      <c r="H106" s="54">
        <v>0.68245451314546257</v>
      </c>
      <c r="I106" s="54">
        <v>0.63605898773006142</v>
      </c>
      <c r="J106" s="55">
        <v>0</v>
      </c>
      <c r="K106" s="54">
        <v>0</v>
      </c>
      <c r="L106" s="54">
        <v>0.27699999999999997</v>
      </c>
      <c r="M106" s="54">
        <v>0.501</v>
      </c>
      <c r="N106" s="54">
        <v>0.54305164903546976</v>
      </c>
      <c r="O106" s="54">
        <v>0</v>
      </c>
      <c r="P106" s="54">
        <v>1</v>
      </c>
      <c r="Q106" s="54">
        <v>0</v>
      </c>
      <c r="R106" s="54">
        <v>0.82634348588741824</v>
      </c>
      <c r="S106" s="54">
        <v>0.33695296037987832</v>
      </c>
      <c r="T106" s="48">
        <v>0</v>
      </c>
      <c r="U106" s="56">
        <v>0</v>
      </c>
      <c r="V106" s="56">
        <f>1</f>
        <v>1</v>
      </c>
      <c r="W106" s="57">
        <v>0</v>
      </c>
      <c r="X106" s="58">
        <v>0</v>
      </c>
      <c r="Y106" s="58">
        <v>0.3684543451135962</v>
      </c>
      <c r="Z106" s="58">
        <v>0</v>
      </c>
      <c r="AA106" s="58">
        <v>0</v>
      </c>
    </row>
    <row r="107" spans="1:27" s="48" customFormat="1" x14ac:dyDescent="0.35">
      <c r="A107" s="54">
        <v>6.3E-2</v>
      </c>
      <c r="B107" s="54">
        <v>1.9E-2</v>
      </c>
      <c r="C107" s="54">
        <v>0.57570690099999999</v>
      </c>
      <c r="D107" s="54">
        <v>0.42700007309169763</v>
      </c>
      <c r="E107" s="54">
        <v>0</v>
      </c>
      <c r="F107" s="54">
        <v>0</v>
      </c>
      <c r="G107" s="54">
        <v>0.24358505774374567</v>
      </c>
      <c r="H107" s="54">
        <v>0.68245451314546257</v>
      </c>
      <c r="I107" s="54">
        <v>0.74957457055214727</v>
      </c>
      <c r="J107" s="55">
        <v>0</v>
      </c>
      <c r="K107" s="54">
        <v>4.7999999999999994E-2</v>
      </c>
      <c r="L107" s="54">
        <v>0.311</v>
      </c>
      <c r="M107" s="54">
        <v>0.47000000000000003</v>
      </c>
      <c r="N107" s="54">
        <v>0.54292283758556314</v>
      </c>
      <c r="O107" s="54">
        <v>0</v>
      </c>
      <c r="P107" s="54">
        <v>0.5846117918447864</v>
      </c>
      <c r="Q107" s="54">
        <v>0</v>
      </c>
      <c r="R107" s="54">
        <v>0.82634348588741824</v>
      </c>
      <c r="S107" s="54">
        <v>0.35224417569372307</v>
      </c>
      <c r="T107" s="48">
        <v>0</v>
      </c>
      <c r="U107" s="56">
        <v>0</v>
      </c>
      <c r="V107" s="56">
        <f>1</f>
        <v>1</v>
      </c>
      <c r="W107" s="57">
        <v>0</v>
      </c>
      <c r="X107" s="58">
        <v>0</v>
      </c>
      <c r="Y107" s="58">
        <v>0.15605434178007468</v>
      </c>
      <c r="Z107" s="58">
        <v>0</v>
      </c>
      <c r="AA107" s="58">
        <v>0</v>
      </c>
    </row>
    <row r="108" spans="1:27" s="48" customFormat="1" x14ac:dyDescent="0.35">
      <c r="A108" s="54">
        <v>0.187</v>
      </c>
      <c r="B108" s="54">
        <v>0.05</v>
      </c>
      <c r="C108" s="54">
        <v>0.61551767300000004</v>
      </c>
      <c r="D108" s="54">
        <v>0.41200003248519895</v>
      </c>
      <c r="E108" s="54">
        <v>0</v>
      </c>
      <c r="F108" s="54">
        <v>0</v>
      </c>
      <c r="G108" s="54">
        <v>1</v>
      </c>
      <c r="H108" s="54">
        <v>0.68245451314546257</v>
      </c>
      <c r="I108" s="54">
        <v>0.94068760736196322</v>
      </c>
      <c r="J108" s="55">
        <v>0</v>
      </c>
      <c r="K108" s="54">
        <v>0.19499999999999998</v>
      </c>
      <c r="L108" s="54">
        <v>0.36499999999999999</v>
      </c>
      <c r="M108" s="54">
        <v>0.435</v>
      </c>
      <c r="N108" s="54">
        <v>0.54569943995021775</v>
      </c>
      <c r="O108" s="54">
        <v>0</v>
      </c>
      <c r="P108" s="54">
        <v>0</v>
      </c>
      <c r="Q108" s="54">
        <v>1</v>
      </c>
      <c r="R108" s="54">
        <v>0.82634348588741824</v>
      </c>
      <c r="S108" s="54">
        <v>0.44075293070188454</v>
      </c>
      <c r="T108" s="48">
        <v>0</v>
      </c>
      <c r="U108" s="56">
        <v>0</v>
      </c>
      <c r="V108" s="56">
        <f>1</f>
        <v>1</v>
      </c>
      <c r="W108" s="57">
        <v>0</v>
      </c>
      <c r="X108" s="58">
        <v>0</v>
      </c>
      <c r="Y108" s="58">
        <v>0.15605434178007468</v>
      </c>
      <c r="Z108" s="58">
        <v>0</v>
      </c>
      <c r="AA108" s="58">
        <v>0</v>
      </c>
    </row>
    <row r="109" spans="1:27" s="48" customFormat="1" x14ac:dyDescent="0.35">
      <c r="A109" s="54">
        <v>0.27200000000000002</v>
      </c>
      <c r="B109" s="54">
        <v>9.3000000000000013E-2</v>
      </c>
      <c r="C109" s="54">
        <v>0.64408793200000003</v>
      </c>
      <c r="D109" s="54">
        <v>0.40400014618339519</v>
      </c>
      <c r="E109" s="54">
        <v>0</v>
      </c>
      <c r="F109" s="54">
        <v>0</v>
      </c>
      <c r="G109" s="54">
        <v>1</v>
      </c>
      <c r="H109" s="54">
        <v>0.68245451314546257</v>
      </c>
      <c r="I109" s="54">
        <v>1</v>
      </c>
      <c r="J109" s="55">
        <v>7.8644188582640689E-2</v>
      </c>
      <c r="K109" s="54">
        <v>0.34699999999999998</v>
      </c>
      <c r="L109" s="54">
        <v>0.499</v>
      </c>
      <c r="M109" s="54">
        <v>0.39999999999999997</v>
      </c>
      <c r="N109" s="54">
        <v>0.55619228375855634</v>
      </c>
      <c r="O109" s="54">
        <v>0</v>
      </c>
      <c r="P109" s="54">
        <v>0</v>
      </c>
      <c r="Q109" s="54">
        <v>1</v>
      </c>
      <c r="R109" s="54">
        <v>0.82634348588741824</v>
      </c>
      <c r="S109" s="54">
        <v>0.53586919424246915</v>
      </c>
      <c r="T109" s="48">
        <v>0</v>
      </c>
      <c r="U109" s="56">
        <v>0</v>
      </c>
      <c r="V109" s="56">
        <f>1</f>
        <v>1</v>
      </c>
      <c r="W109" s="57">
        <v>0</v>
      </c>
      <c r="X109" s="58">
        <v>0</v>
      </c>
      <c r="Y109" s="58">
        <v>0.15635033850497476</v>
      </c>
      <c r="Z109" s="58">
        <v>0</v>
      </c>
      <c r="AA109" s="58">
        <v>0</v>
      </c>
    </row>
    <row r="110" spans="1:27" s="48" customFormat="1" x14ac:dyDescent="0.35">
      <c r="A110" s="54">
        <v>0.32200000000000001</v>
      </c>
      <c r="B110" s="54">
        <v>0.14099999999999902</v>
      </c>
      <c r="C110" s="54">
        <v>0.67036331400000004</v>
      </c>
      <c r="D110" s="54">
        <v>0.39899986193790454</v>
      </c>
      <c r="E110" s="54">
        <v>0</v>
      </c>
      <c r="F110" s="54">
        <v>0</v>
      </c>
      <c r="G110" s="54">
        <v>1</v>
      </c>
      <c r="H110" s="54">
        <v>0.68245451314546257</v>
      </c>
      <c r="I110" s="54">
        <v>1</v>
      </c>
      <c r="J110" s="55">
        <v>0.17664554017296988</v>
      </c>
      <c r="K110" s="54">
        <v>0.45299999999999996</v>
      </c>
      <c r="L110" s="54">
        <v>0.57299999999999995</v>
      </c>
      <c r="M110" s="54">
        <v>0.375</v>
      </c>
      <c r="N110" s="54">
        <v>0.55786309894212815</v>
      </c>
      <c r="O110" s="54">
        <v>0</v>
      </c>
      <c r="P110" s="54">
        <v>0</v>
      </c>
      <c r="Q110" s="54">
        <v>1</v>
      </c>
      <c r="R110" s="54">
        <v>0.82634348588741824</v>
      </c>
      <c r="S110" s="54">
        <v>0.60035301973586586</v>
      </c>
      <c r="T110" s="48">
        <v>0</v>
      </c>
      <c r="U110" s="56">
        <v>0</v>
      </c>
      <c r="V110" s="56">
        <f>1</f>
        <v>1</v>
      </c>
      <c r="W110" s="57">
        <v>0</v>
      </c>
      <c r="X110" s="58">
        <v>0</v>
      </c>
      <c r="Y110" s="58">
        <v>0.15664633522987487</v>
      </c>
      <c r="Z110" s="58">
        <v>0</v>
      </c>
      <c r="AA110" s="58">
        <v>0</v>
      </c>
    </row>
    <row r="111" spans="1:27" s="48" customFormat="1" x14ac:dyDescent="0.35">
      <c r="A111" s="54">
        <v>0.34499999999999997</v>
      </c>
      <c r="B111" s="54">
        <v>0.17800000000000002</v>
      </c>
      <c r="C111" s="54">
        <v>0.68859970000000004</v>
      </c>
      <c r="D111" s="54">
        <v>0.38699982945270561</v>
      </c>
      <c r="E111" s="54">
        <v>0</v>
      </c>
      <c r="F111" s="54">
        <v>0</v>
      </c>
      <c r="G111" s="54">
        <v>1</v>
      </c>
      <c r="H111" s="54">
        <v>0.68245451314546257</v>
      </c>
      <c r="I111" s="54">
        <v>1</v>
      </c>
      <c r="J111" s="55">
        <v>0.22797255134780081</v>
      </c>
      <c r="K111" s="54">
        <v>0.498</v>
      </c>
      <c r="L111" s="54">
        <v>0.61399999999999999</v>
      </c>
      <c r="M111" s="54">
        <v>0.37</v>
      </c>
      <c r="N111" s="54">
        <v>0.54186247666459242</v>
      </c>
      <c r="O111" s="54">
        <v>0</v>
      </c>
      <c r="P111" s="54">
        <v>0</v>
      </c>
      <c r="Q111" s="54">
        <v>1</v>
      </c>
      <c r="R111" s="54">
        <v>0.82634348588741824</v>
      </c>
      <c r="S111" s="54">
        <v>0.62770448137705881</v>
      </c>
      <c r="T111" s="48">
        <v>0</v>
      </c>
      <c r="U111" s="56">
        <v>0</v>
      </c>
      <c r="V111" s="56">
        <f>1</f>
        <v>1</v>
      </c>
      <c r="W111" s="57">
        <v>0</v>
      </c>
      <c r="X111" s="58">
        <v>0</v>
      </c>
      <c r="Y111" s="58">
        <v>0.15664633522987487</v>
      </c>
      <c r="Z111" s="58">
        <v>0</v>
      </c>
      <c r="AA111" s="58">
        <v>0</v>
      </c>
    </row>
    <row r="112" spans="1:27" s="48" customFormat="1" x14ac:dyDescent="0.35">
      <c r="A112" s="54">
        <v>0.35</v>
      </c>
      <c r="B112" s="54">
        <v>0.184</v>
      </c>
      <c r="C112" s="54">
        <v>0.69667436500000002</v>
      </c>
      <c r="D112" s="54">
        <v>0.39099997563610084</v>
      </c>
      <c r="E112" s="54">
        <v>0</v>
      </c>
      <c r="F112" s="54">
        <v>0</v>
      </c>
      <c r="G112" s="54">
        <v>1</v>
      </c>
      <c r="H112" s="54">
        <v>0.68245451314546257</v>
      </c>
      <c r="I112" s="54">
        <v>1</v>
      </c>
      <c r="J112" s="55">
        <v>0.22962169681428896</v>
      </c>
      <c r="K112" s="54">
        <v>0.47599999999999992</v>
      </c>
      <c r="L112" s="54">
        <v>0.627</v>
      </c>
      <c r="M112" s="54">
        <v>0.36699999999999999</v>
      </c>
      <c r="N112" s="54">
        <v>0.54720597386434355</v>
      </c>
      <c r="O112" s="54">
        <v>0</v>
      </c>
      <c r="P112" s="54">
        <v>0</v>
      </c>
      <c r="Q112" s="54">
        <v>1</v>
      </c>
      <c r="R112" s="54">
        <v>0.82634348588741824</v>
      </c>
      <c r="S112" s="54">
        <v>0.60356796260572787</v>
      </c>
      <c r="T112" s="48">
        <v>0</v>
      </c>
      <c r="U112" s="56">
        <v>0</v>
      </c>
      <c r="V112" s="56">
        <f>1</f>
        <v>1</v>
      </c>
      <c r="W112" s="57">
        <v>0</v>
      </c>
      <c r="X112" s="58">
        <v>0</v>
      </c>
      <c r="Y112" s="58">
        <v>0.15635033850497476</v>
      </c>
      <c r="Z112" s="58">
        <v>0</v>
      </c>
      <c r="AA112" s="58">
        <v>0</v>
      </c>
    </row>
    <row r="113" spans="1:27" s="48" customFormat="1" x14ac:dyDescent="0.35">
      <c r="A113" s="54">
        <v>0.32100000000000001</v>
      </c>
      <c r="B113" s="54">
        <v>0.14899999999999902</v>
      </c>
      <c r="C113" s="54">
        <v>0.68744846599999998</v>
      </c>
      <c r="D113" s="54">
        <v>0.38600009745559682</v>
      </c>
      <c r="E113" s="54">
        <v>0</v>
      </c>
      <c r="F113" s="54">
        <v>0</v>
      </c>
      <c r="G113" s="54">
        <v>1</v>
      </c>
      <c r="H113" s="54">
        <v>0.68245451314546257</v>
      </c>
      <c r="I113" s="54">
        <v>1</v>
      </c>
      <c r="J113" s="55">
        <v>0.15760114295699332</v>
      </c>
      <c r="K113" s="54">
        <v>0.38700000000000001</v>
      </c>
      <c r="L113" s="54">
        <v>0.60099999999999998</v>
      </c>
      <c r="M113" s="54">
        <v>0.36799999999999999</v>
      </c>
      <c r="N113" s="54">
        <v>0.55132482887367773</v>
      </c>
      <c r="O113" s="54">
        <v>0</v>
      </c>
      <c r="P113" s="54">
        <v>0</v>
      </c>
      <c r="Q113" s="54">
        <v>1</v>
      </c>
      <c r="R113" s="54">
        <v>0.82634348588741824</v>
      </c>
      <c r="S113" s="54">
        <v>0.53099295147648018</v>
      </c>
      <c r="T113" s="48">
        <v>0</v>
      </c>
      <c r="U113" s="56">
        <v>0</v>
      </c>
      <c r="V113" s="56">
        <f>1</f>
        <v>1</v>
      </c>
      <c r="W113" s="57">
        <v>0</v>
      </c>
      <c r="X113" s="58">
        <v>0</v>
      </c>
      <c r="Y113" s="58">
        <v>0.15605434178007468</v>
      </c>
      <c r="Z113" s="58">
        <v>0</v>
      </c>
      <c r="AA113" s="58">
        <v>0</v>
      </c>
    </row>
    <row r="114" spans="1:27" s="48" customFormat="1" x14ac:dyDescent="0.35">
      <c r="A114" s="54">
        <v>0.22800000000000001</v>
      </c>
      <c r="B114" s="54">
        <v>8.4000000000000005E-2</v>
      </c>
      <c r="C114" s="54">
        <v>0.67320856200000001</v>
      </c>
      <c r="D114" s="54">
        <v>0.39899986193790454</v>
      </c>
      <c r="E114" s="54">
        <v>0</v>
      </c>
      <c r="F114" s="54">
        <v>0</v>
      </c>
      <c r="G114" s="54">
        <v>1</v>
      </c>
      <c r="H114" s="54">
        <v>0.68245451314546257</v>
      </c>
      <c r="I114" s="54">
        <v>1</v>
      </c>
      <c r="J114" s="55">
        <v>2.9488248322091133E-2</v>
      </c>
      <c r="K114" s="54">
        <v>0.25700000000000001</v>
      </c>
      <c r="L114" s="54">
        <v>0.55999999999999994</v>
      </c>
      <c r="M114" s="54">
        <v>0.36799999999999999</v>
      </c>
      <c r="N114" s="54">
        <v>0.54871935283136286</v>
      </c>
      <c r="O114" s="54">
        <v>0</v>
      </c>
      <c r="P114" s="54">
        <v>0</v>
      </c>
      <c r="Q114" s="54">
        <v>1</v>
      </c>
      <c r="R114" s="54">
        <v>0.82634348588741824</v>
      </c>
      <c r="S114" s="54">
        <v>0.42847774150467427</v>
      </c>
      <c r="T114" s="48">
        <v>0</v>
      </c>
      <c r="U114" s="56">
        <v>0</v>
      </c>
      <c r="V114" s="56">
        <f>1</f>
        <v>1</v>
      </c>
      <c r="W114" s="57">
        <v>0</v>
      </c>
      <c r="X114" s="58">
        <v>0</v>
      </c>
      <c r="Y114" s="58">
        <v>0.15605434178007468</v>
      </c>
      <c r="Z114" s="58">
        <v>0</v>
      </c>
      <c r="AA114" s="58">
        <v>0</v>
      </c>
    </row>
    <row r="115" spans="1:27" s="48" customFormat="1" x14ac:dyDescent="0.35">
      <c r="A115" s="54">
        <v>5.8000000000000003E-2</v>
      </c>
      <c r="B115" s="54">
        <v>1.09999999999999E-2</v>
      </c>
      <c r="C115" s="54">
        <v>0.61049664199999998</v>
      </c>
      <c r="D115" s="54">
        <v>0.44999999999999996</v>
      </c>
      <c r="E115" s="54">
        <v>0</v>
      </c>
      <c r="F115" s="54">
        <v>0</v>
      </c>
      <c r="G115" s="54">
        <v>0</v>
      </c>
      <c r="H115" s="54">
        <v>0.68245451314546257</v>
      </c>
      <c r="I115" s="54">
        <v>0.77844328220858894</v>
      </c>
      <c r="J115" s="55">
        <v>0</v>
      </c>
      <c r="K115" s="54">
        <v>0.11</v>
      </c>
      <c r="L115" s="54">
        <v>0.33200000000000002</v>
      </c>
      <c r="M115" s="54">
        <v>0.36899999999999999</v>
      </c>
      <c r="N115" s="54">
        <v>0.55333229620410707</v>
      </c>
      <c r="O115" s="54">
        <v>0</v>
      </c>
      <c r="P115" s="54">
        <v>1</v>
      </c>
      <c r="Q115" s="54">
        <v>0</v>
      </c>
      <c r="R115" s="54">
        <v>0.82634348588741824</v>
      </c>
      <c r="S115" s="54">
        <v>0.32054518474551119</v>
      </c>
      <c r="T115" s="48">
        <v>0</v>
      </c>
      <c r="U115" s="56">
        <v>0</v>
      </c>
      <c r="V115" s="56">
        <f>1</f>
        <v>1</v>
      </c>
      <c r="W115" s="57">
        <v>0</v>
      </c>
      <c r="X115" s="58">
        <v>0</v>
      </c>
      <c r="Y115" s="58">
        <v>0.3684543451135962</v>
      </c>
      <c r="Z115" s="58">
        <v>0</v>
      </c>
      <c r="AA115" s="58">
        <v>0</v>
      </c>
    </row>
    <row r="116" spans="1:27" s="48" customFormat="1" x14ac:dyDescent="0.35">
      <c r="A116" s="54">
        <v>0</v>
      </c>
      <c r="B116" s="54">
        <v>0</v>
      </c>
      <c r="C116" s="54">
        <v>0.53394372199999995</v>
      </c>
      <c r="D116" s="54">
        <v>0.45900002436389925</v>
      </c>
      <c r="E116" s="54">
        <v>0</v>
      </c>
      <c r="F116" s="54">
        <v>0</v>
      </c>
      <c r="G116" s="54">
        <v>0</v>
      </c>
      <c r="H116" s="54">
        <v>0.68245451314546257</v>
      </c>
      <c r="I116" s="54">
        <v>0.62246214723926374</v>
      </c>
      <c r="J116" s="55">
        <v>0</v>
      </c>
      <c r="K116" s="54">
        <v>0</v>
      </c>
      <c r="L116" s="54">
        <v>0.16999999999999998</v>
      </c>
      <c r="M116" s="54">
        <v>0.36099999999999999</v>
      </c>
      <c r="N116" s="54">
        <v>0.56475980087118849</v>
      </c>
      <c r="O116" s="54">
        <v>0</v>
      </c>
      <c r="P116" s="54">
        <v>1</v>
      </c>
      <c r="Q116" s="54">
        <v>0</v>
      </c>
      <c r="R116" s="54">
        <v>0.82634348588741824</v>
      </c>
      <c r="S116" s="54">
        <v>0.24629833803234902</v>
      </c>
      <c r="T116" s="48">
        <v>0</v>
      </c>
      <c r="U116" s="56">
        <v>0</v>
      </c>
      <c r="V116" s="56">
        <f>1</f>
        <v>1</v>
      </c>
      <c r="W116" s="57">
        <v>0</v>
      </c>
      <c r="X116" s="58">
        <v>0</v>
      </c>
      <c r="Y116" s="58">
        <v>0.36875034183849625</v>
      </c>
      <c r="Z116" s="58">
        <v>0</v>
      </c>
      <c r="AA116" s="58">
        <v>0</v>
      </c>
    </row>
    <row r="117" spans="1:27" s="48" customFormat="1" x14ac:dyDescent="0.35">
      <c r="A117" s="54">
        <v>0</v>
      </c>
      <c r="B117" s="54">
        <v>0</v>
      </c>
      <c r="C117" s="54">
        <v>0.48341007800000002</v>
      </c>
      <c r="D117" s="54">
        <v>0.46000016242599473</v>
      </c>
      <c r="E117" s="54">
        <v>0</v>
      </c>
      <c r="F117" s="54">
        <v>0.53872521475479973</v>
      </c>
      <c r="G117" s="54">
        <v>0</v>
      </c>
      <c r="H117" s="54">
        <v>0.68245451314546257</v>
      </c>
      <c r="I117" s="54">
        <v>0.5634793865030675</v>
      </c>
      <c r="J117" s="55">
        <v>0</v>
      </c>
      <c r="K117" s="54">
        <v>0</v>
      </c>
      <c r="L117" s="54">
        <v>0.13899999999999998</v>
      </c>
      <c r="M117" s="54">
        <v>0.33900000000000002</v>
      </c>
      <c r="N117" s="54">
        <v>0.57456378344741754</v>
      </c>
      <c r="O117" s="54">
        <v>0</v>
      </c>
      <c r="P117" s="54">
        <v>1</v>
      </c>
      <c r="Q117" s="54">
        <v>0</v>
      </c>
      <c r="R117" s="54">
        <v>0.82634348588741824</v>
      </c>
      <c r="S117" s="54">
        <v>0.22885969728446356</v>
      </c>
      <c r="T117" s="48">
        <v>0</v>
      </c>
      <c r="U117" s="56">
        <v>0</v>
      </c>
      <c r="V117" s="56">
        <f>1</f>
        <v>1</v>
      </c>
      <c r="W117" s="57">
        <v>0</v>
      </c>
      <c r="X117" s="58">
        <v>0</v>
      </c>
      <c r="Y117" s="58">
        <v>0.58144634189691791</v>
      </c>
      <c r="Z117" s="58">
        <v>0</v>
      </c>
      <c r="AA117" s="58">
        <v>330</v>
      </c>
    </row>
    <row r="118" spans="1:27" s="48" customFormat="1" x14ac:dyDescent="0.35">
      <c r="A118" s="54">
        <v>0</v>
      </c>
      <c r="B118" s="54">
        <v>0</v>
      </c>
      <c r="C118" s="54">
        <v>0.46995061100000002</v>
      </c>
      <c r="D118" s="54">
        <v>0.46000016242599473</v>
      </c>
      <c r="E118" s="54">
        <v>0</v>
      </c>
      <c r="F118" s="54">
        <v>0.42027445525941676</v>
      </c>
      <c r="G118" s="54">
        <v>0</v>
      </c>
      <c r="H118" s="54">
        <v>0.68245451314546257</v>
      </c>
      <c r="I118" s="54">
        <v>0.54779058282208593</v>
      </c>
      <c r="J118" s="55">
        <v>0</v>
      </c>
      <c r="K118" s="54">
        <v>0</v>
      </c>
      <c r="L118" s="54">
        <v>0.151</v>
      </c>
      <c r="M118" s="54">
        <v>0.315</v>
      </c>
      <c r="N118" s="54">
        <v>0.56778158058494088</v>
      </c>
      <c r="O118" s="54">
        <v>0</v>
      </c>
      <c r="P118" s="54">
        <v>1</v>
      </c>
      <c r="Q118" s="54">
        <v>0</v>
      </c>
      <c r="R118" s="54">
        <v>0.82634348588741824</v>
      </c>
      <c r="S118" s="54">
        <v>0.21291007567888409</v>
      </c>
      <c r="T118" s="48">
        <v>0</v>
      </c>
      <c r="U118" s="56">
        <v>0</v>
      </c>
      <c r="V118" s="56">
        <f>1</f>
        <v>1</v>
      </c>
      <c r="W118" s="57">
        <v>0</v>
      </c>
      <c r="X118" s="58">
        <v>0</v>
      </c>
      <c r="Y118" s="58">
        <v>0.58174233862181801</v>
      </c>
      <c r="Z118" s="58">
        <v>0</v>
      </c>
      <c r="AA118" s="58">
        <v>330</v>
      </c>
    </row>
    <row r="119" spans="1:27" s="48" customFormat="1" x14ac:dyDescent="0.35">
      <c r="A119" s="54">
        <v>0</v>
      </c>
      <c r="B119" s="54">
        <v>0</v>
      </c>
      <c r="C119" s="54">
        <v>0.47026385700000001</v>
      </c>
      <c r="D119" s="54">
        <v>0.45799988630180372</v>
      </c>
      <c r="E119" s="54">
        <v>0</v>
      </c>
      <c r="F119" s="54">
        <v>0</v>
      </c>
      <c r="G119" s="54">
        <v>0</v>
      </c>
      <c r="H119" s="54">
        <v>0.68245451314546257</v>
      </c>
      <c r="I119" s="54">
        <v>0.54815570552147241</v>
      </c>
      <c r="J119" s="55">
        <v>0</v>
      </c>
      <c r="K119" s="54">
        <v>0</v>
      </c>
      <c r="L119" s="54">
        <v>0.191</v>
      </c>
      <c r="M119" s="54">
        <v>0.28500000000000003</v>
      </c>
      <c r="N119" s="54">
        <v>0.56755880522713131</v>
      </c>
      <c r="O119" s="54">
        <v>0</v>
      </c>
      <c r="P119" s="54">
        <v>1</v>
      </c>
      <c r="Q119" s="54">
        <v>0</v>
      </c>
      <c r="R119" s="54">
        <v>0.82634348588741824</v>
      </c>
      <c r="S119" s="54">
        <v>0.19269105208487908</v>
      </c>
      <c r="T119" s="48">
        <v>0</v>
      </c>
      <c r="U119" s="56">
        <v>0</v>
      </c>
      <c r="V119" s="56">
        <f>1</f>
        <v>1</v>
      </c>
      <c r="W119" s="57">
        <v>0</v>
      </c>
      <c r="X119" s="58">
        <v>0</v>
      </c>
      <c r="Y119" s="58">
        <v>0.36963833201963286</v>
      </c>
      <c r="Z119" s="58">
        <v>0</v>
      </c>
      <c r="AA119" s="58">
        <v>0</v>
      </c>
    </row>
    <row r="120" spans="1:27" s="48" customFormat="1" x14ac:dyDescent="0.35">
      <c r="A120" s="54">
        <v>0</v>
      </c>
      <c r="B120" s="54">
        <v>0</v>
      </c>
      <c r="C120" s="54">
        <v>0.469347454</v>
      </c>
      <c r="D120" s="54">
        <v>0.45199987005920433</v>
      </c>
      <c r="E120" s="54">
        <v>0</v>
      </c>
      <c r="F120" s="54">
        <v>0.33043436847966556</v>
      </c>
      <c r="G120" s="54">
        <v>0</v>
      </c>
      <c r="H120" s="54">
        <v>0.68245451314546257</v>
      </c>
      <c r="I120" s="54">
        <v>0.54708751533742328</v>
      </c>
      <c r="J120" s="55">
        <v>0</v>
      </c>
      <c r="K120" s="54">
        <v>0</v>
      </c>
      <c r="L120" s="54">
        <v>0.23899999999999999</v>
      </c>
      <c r="M120" s="54">
        <v>0.246</v>
      </c>
      <c r="N120" s="54">
        <v>0.55865525824517737</v>
      </c>
      <c r="O120" s="54">
        <v>0</v>
      </c>
      <c r="P120" s="54">
        <v>1</v>
      </c>
      <c r="Q120" s="54">
        <v>0</v>
      </c>
      <c r="R120" s="54">
        <v>0.82634348588741824</v>
      </c>
      <c r="S120" s="54">
        <v>0.16659630508977594</v>
      </c>
      <c r="T120" s="48">
        <v>0</v>
      </c>
      <c r="U120" s="56">
        <v>0</v>
      </c>
      <c r="V120" s="56">
        <f>1</f>
        <v>1</v>
      </c>
      <c r="W120" s="57">
        <v>0</v>
      </c>
      <c r="X120" s="58">
        <v>0</v>
      </c>
      <c r="Y120" s="58">
        <v>0.58233433207805452</v>
      </c>
      <c r="Z120" s="58">
        <v>0</v>
      </c>
      <c r="AA120" s="58">
        <v>330</v>
      </c>
    </row>
    <row r="121" spans="1:27" s="48" customFormat="1" x14ac:dyDescent="0.35">
      <c r="A121" s="54">
        <v>0</v>
      </c>
      <c r="B121" s="54">
        <v>0</v>
      </c>
      <c r="C121" s="54">
        <v>0.47874165400000002</v>
      </c>
      <c r="D121" s="54">
        <v>0.43499995939350139</v>
      </c>
      <c r="E121" s="54">
        <v>0</v>
      </c>
      <c r="F121" s="54">
        <v>0.34810809869391163</v>
      </c>
      <c r="G121" s="54">
        <v>0</v>
      </c>
      <c r="H121" s="54">
        <v>0.68245451314546257</v>
      </c>
      <c r="I121" s="54">
        <v>0.55803773006134971</v>
      </c>
      <c r="J121" s="55">
        <v>0</v>
      </c>
      <c r="K121" s="54">
        <v>0</v>
      </c>
      <c r="L121" s="54">
        <v>0.27200000000000002</v>
      </c>
      <c r="M121" s="54">
        <v>0.21199999999999999</v>
      </c>
      <c r="N121" s="54">
        <v>0.55756129433727442</v>
      </c>
      <c r="O121" s="54">
        <v>0</v>
      </c>
      <c r="P121" s="54">
        <v>1</v>
      </c>
      <c r="Q121" s="54">
        <v>0</v>
      </c>
      <c r="R121" s="54">
        <v>0.82634348588741824</v>
      </c>
      <c r="S121" s="54">
        <v>0.14411262798634811</v>
      </c>
      <c r="T121" s="48">
        <v>0</v>
      </c>
      <c r="U121" s="56">
        <v>0</v>
      </c>
      <c r="V121" s="56">
        <f>1</f>
        <v>1</v>
      </c>
      <c r="W121" s="57">
        <v>0</v>
      </c>
      <c r="X121" s="58">
        <v>0</v>
      </c>
      <c r="Y121" s="58">
        <v>0.36993432874453297</v>
      </c>
      <c r="Z121" s="58">
        <v>0</v>
      </c>
      <c r="AA121" s="58">
        <v>0</v>
      </c>
    </row>
    <row r="122" spans="1:27" s="48" customFormat="1" x14ac:dyDescent="0.35">
      <c r="A122" s="54">
        <v>0</v>
      </c>
      <c r="B122" s="54">
        <v>0</v>
      </c>
      <c r="C122" s="54">
        <v>0.49302268599999999</v>
      </c>
      <c r="D122" s="54">
        <v>0.3600001624259947</v>
      </c>
      <c r="E122" s="54">
        <v>0</v>
      </c>
      <c r="F122" s="54">
        <v>0.3739441871841917</v>
      </c>
      <c r="G122" s="54">
        <v>0.21751027532233547</v>
      </c>
      <c r="H122" s="54">
        <v>0.68245451314546257</v>
      </c>
      <c r="I122" s="54">
        <v>0.57468417177914111</v>
      </c>
      <c r="J122" s="55">
        <v>0</v>
      </c>
      <c r="K122" s="54">
        <v>0</v>
      </c>
      <c r="L122" s="54">
        <v>0.28099999999999997</v>
      </c>
      <c r="M122" s="54">
        <v>0.17899999999999999</v>
      </c>
      <c r="N122" s="54">
        <v>0.5449396390790292</v>
      </c>
      <c r="O122" s="54">
        <v>0</v>
      </c>
      <c r="P122" s="54">
        <v>1</v>
      </c>
      <c r="Q122" s="54">
        <v>0</v>
      </c>
      <c r="R122" s="54">
        <v>0.82634348588741824</v>
      </c>
      <c r="S122" s="54">
        <v>0.12256722065588366</v>
      </c>
      <c r="T122" s="48">
        <v>0</v>
      </c>
      <c r="U122" s="56">
        <v>0</v>
      </c>
      <c r="V122" s="56">
        <f>1</f>
        <v>1</v>
      </c>
      <c r="W122" s="57">
        <v>0</v>
      </c>
      <c r="X122" s="58">
        <v>0</v>
      </c>
      <c r="Y122" s="58">
        <v>0.15758813974523786</v>
      </c>
      <c r="Z122" s="58">
        <v>0</v>
      </c>
      <c r="AA122" s="58">
        <v>0</v>
      </c>
    </row>
    <row r="123" spans="1:27" s="48" customFormat="1" x14ac:dyDescent="0.35">
      <c r="A123" s="54">
        <v>0</v>
      </c>
      <c r="B123" s="54">
        <v>0</v>
      </c>
      <c r="C123" s="54">
        <v>0.493862256</v>
      </c>
      <c r="D123" s="54">
        <v>0.3540001461833952</v>
      </c>
      <c r="E123" s="54">
        <v>0</v>
      </c>
      <c r="F123" s="54">
        <v>0</v>
      </c>
      <c r="G123" s="54">
        <v>0.21751027532233547</v>
      </c>
      <c r="H123" s="54">
        <v>0.68245451314546257</v>
      </c>
      <c r="I123" s="54">
        <v>0.57566282208588959</v>
      </c>
      <c r="J123" s="55">
        <v>0</v>
      </c>
      <c r="K123" s="54">
        <v>0</v>
      </c>
      <c r="L123" s="54">
        <v>0.25599999999999995</v>
      </c>
      <c r="M123" s="54">
        <v>0.14799999999999999</v>
      </c>
      <c r="N123" s="54">
        <v>0.54010516490354699</v>
      </c>
      <c r="O123" s="54">
        <v>0</v>
      </c>
      <c r="P123" s="54">
        <v>1</v>
      </c>
      <c r="Q123" s="54">
        <v>0</v>
      </c>
      <c r="R123" s="54">
        <v>0.82634348588741824</v>
      </c>
      <c r="S123" s="54">
        <v>0.10278824751446804</v>
      </c>
      <c r="T123" s="48">
        <v>0</v>
      </c>
      <c r="U123" s="56">
        <v>0</v>
      </c>
      <c r="V123" s="56">
        <f>1</f>
        <v>1</v>
      </c>
      <c r="W123" s="57">
        <v>0</v>
      </c>
      <c r="X123" s="58">
        <v>0</v>
      </c>
      <c r="Y123" s="58">
        <v>0.18151701415551796</v>
      </c>
      <c r="Z123" s="58">
        <v>0</v>
      </c>
      <c r="AA123" s="58">
        <v>0</v>
      </c>
    </row>
    <row r="124" spans="1:27" s="48" customFormat="1" x14ac:dyDescent="0.35">
      <c r="A124" s="54">
        <v>0</v>
      </c>
      <c r="B124" s="54">
        <v>0</v>
      </c>
      <c r="C124" s="54">
        <v>0.48728855799999998</v>
      </c>
      <c r="D124" s="54">
        <v>0.35100013806209546</v>
      </c>
      <c r="E124" s="54">
        <v>0</v>
      </c>
      <c r="F124" s="54">
        <v>0</v>
      </c>
      <c r="G124" s="54">
        <v>0.21751027532233547</v>
      </c>
      <c r="H124" s="54">
        <v>0.68245451314546257</v>
      </c>
      <c r="I124" s="54">
        <v>0.56800027607361969</v>
      </c>
      <c r="J124" s="55">
        <v>0</v>
      </c>
      <c r="K124" s="54">
        <v>0</v>
      </c>
      <c r="L124" s="54">
        <v>0.221</v>
      </c>
      <c r="M124" s="54">
        <v>0.127</v>
      </c>
      <c r="N124" s="54">
        <v>0.53860485376477907</v>
      </c>
      <c r="O124" s="54">
        <v>0</v>
      </c>
      <c r="P124" s="54">
        <v>1</v>
      </c>
      <c r="Q124" s="54">
        <v>0.83221073200938223</v>
      </c>
      <c r="R124" s="54">
        <v>0.82634348588741824</v>
      </c>
      <c r="S124" s="54">
        <v>8.9796408962754121E-2</v>
      </c>
      <c r="T124" s="48">
        <v>0</v>
      </c>
      <c r="U124" s="56">
        <v>0</v>
      </c>
      <c r="V124" s="56">
        <f>1</f>
        <v>1</v>
      </c>
      <c r="W124" s="57">
        <v>0</v>
      </c>
      <c r="X124" s="58">
        <v>0</v>
      </c>
      <c r="Y124" s="58">
        <v>0.36998814307875938</v>
      </c>
      <c r="Z124" s="58">
        <v>0</v>
      </c>
      <c r="AA124" s="58">
        <v>0</v>
      </c>
    </row>
    <row r="125" spans="1:27" s="48" customFormat="1" x14ac:dyDescent="0.35">
      <c r="A125" s="54">
        <v>0</v>
      </c>
      <c r="B125" s="54">
        <v>0</v>
      </c>
      <c r="C125" s="54">
        <v>0.486031353</v>
      </c>
      <c r="D125" s="54">
        <v>0.35000000000000003</v>
      </c>
      <c r="E125" s="54">
        <v>0</v>
      </c>
      <c r="F125" s="54">
        <v>0</v>
      </c>
      <c r="G125" s="54">
        <v>0.21751027532233547</v>
      </c>
      <c r="H125" s="54">
        <v>0.68245451314546257</v>
      </c>
      <c r="I125" s="54">
        <v>0.56653484662576692</v>
      </c>
      <c r="J125" s="55">
        <v>0</v>
      </c>
      <c r="K125" s="54">
        <v>0</v>
      </c>
      <c r="L125" s="54">
        <v>0.19899999999999998</v>
      </c>
      <c r="M125" s="54">
        <v>0.113</v>
      </c>
      <c r="N125" s="54">
        <v>0.54358431860609835</v>
      </c>
      <c r="O125" s="54">
        <v>0</v>
      </c>
      <c r="P125" s="54">
        <v>1</v>
      </c>
      <c r="Q125" s="54">
        <v>0</v>
      </c>
      <c r="R125" s="54">
        <v>0.82634348588741824</v>
      </c>
      <c r="S125" s="54">
        <v>8.183714200920017E-2</v>
      </c>
      <c r="T125" s="48">
        <v>0</v>
      </c>
      <c r="U125" s="56">
        <v>0</v>
      </c>
      <c r="V125" s="56">
        <f>1</f>
        <v>1</v>
      </c>
      <c r="W125" s="57">
        <v>0</v>
      </c>
      <c r="X125" s="58">
        <v>0</v>
      </c>
      <c r="Y125" s="58">
        <v>0.15758813974523786</v>
      </c>
      <c r="Z125" s="58">
        <v>0</v>
      </c>
      <c r="AA125" s="58">
        <v>0</v>
      </c>
    </row>
    <row r="126" spans="1:27" s="48" customFormat="1" x14ac:dyDescent="0.35">
      <c r="A126" s="54">
        <v>0</v>
      </c>
      <c r="B126" s="54">
        <v>0</v>
      </c>
      <c r="C126" s="54">
        <v>0.48435212300000002</v>
      </c>
      <c r="D126" s="54">
        <v>0.34899986193790455</v>
      </c>
      <c r="E126" s="54">
        <v>0</v>
      </c>
      <c r="F126" s="54">
        <v>2.468231173230187E-2</v>
      </c>
      <c r="G126" s="54">
        <v>0.21751027532233547</v>
      </c>
      <c r="H126" s="54">
        <v>0.68245451314546257</v>
      </c>
      <c r="I126" s="54">
        <v>0.56457748466257662</v>
      </c>
      <c r="J126" s="55">
        <v>0</v>
      </c>
      <c r="K126" s="54">
        <v>0</v>
      </c>
      <c r="L126" s="54">
        <v>0.19899999999999998</v>
      </c>
      <c r="M126" s="54">
        <v>0.107</v>
      </c>
      <c r="N126" s="54">
        <v>0.54068699439950219</v>
      </c>
      <c r="O126" s="54">
        <v>0</v>
      </c>
      <c r="P126" s="54">
        <v>1</v>
      </c>
      <c r="Q126" s="54">
        <v>0</v>
      </c>
      <c r="R126" s="54">
        <v>0.82634348588741824</v>
      </c>
      <c r="S126" s="54">
        <v>7.9417050007419498E-2</v>
      </c>
      <c r="T126" s="48">
        <v>0</v>
      </c>
      <c r="U126" s="56">
        <v>0</v>
      </c>
      <c r="V126" s="56">
        <f>1</f>
        <v>1</v>
      </c>
      <c r="W126" s="57">
        <v>0</v>
      </c>
      <c r="X126" s="58">
        <v>0</v>
      </c>
      <c r="Y126" s="58">
        <v>0.15699101644917537</v>
      </c>
      <c r="Z126" s="58">
        <v>0</v>
      </c>
      <c r="AA126" s="58">
        <v>0</v>
      </c>
    </row>
    <row r="127" spans="1:27" s="48" customFormat="1" x14ac:dyDescent="0.35">
      <c r="A127" s="54">
        <v>0</v>
      </c>
      <c r="B127" s="54">
        <v>0</v>
      </c>
      <c r="C127" s="54">
        <v>0.478839827</v>
      </c>
      <c r="D127" s="54">
        <v>0.35000000000000003</v>
      </c>
      <c r="E127" s="54">
        <v>0</v>
      </c>
      <c r="F127" s="54">
        <v>0.21132984001446636</v>
      </c>
      <c r="G127" s="54">
        <v>0.21751027532233547</v>
      </c>
      <c r="H127" s="54">
        <v>0.68245451314546257</v>
      </c>
      <c r="I127" s="54">
        <v>0.55815214723926376</v>
      </c>
      <c r="J127" s="55">
        <v>0</v>
      </c>
      <c r="K127" s="54">
        <v>0</v>
      </c>
      <c r="L127" s="54">
        <v>0.219</v>
      </c>
      <c r="M127" s="54">
        <v>0.111</v>
      </c>
      <c r="N127" s="54">
        <v>0.54120846297448666</v>
      </c>
      <c r="O127" s="54">
        <v>0</v>
      </c>
      <c r="P127" s="54">
        <v>1</v>
      </c>
      <c r="Q127" s="54">
        <v>0</v>
      </c>
      <c r="R127" s="54">
        <v>0.82634348588741824</v>
      </c>
      <c r="S127" s="54">
        <v>8.3844264727704412E-2</v>
      </c>
      <c r="T127" s="48">
        <v>0</v>
      </c>
      <c r="U127" s="56">
        <v>0</v>
      </c>
      <c r="V127" s="56">
        <f>1</f>
        <v>1</v>
      </c>
      <c r="W127" s="57">
        <v>0</v>
      </c>
      <c r="X127" s="58">
        <v>0</v>
      </c>
      <c r="Y127" s="58">
        <v>0.15639389315954927</v>
      </c>
      <c r="Z127" s="58">
        <v>0</v>
      </c>
      <c r="AA127" s="58">
        <v>0</v>
      </c>
    </row>
    <row r="128" spans="1:27" s="48" customFormat="1" x14ac:dyDescent="0.35">
      <c r="A128" s="54">
        <v>0</v>
      </c>
      <c r="B128" s="54">
        <v>0</v>
      </c>
      <c r="C128" s="54">
        <v>0.47275232099999998</v>
      </c>
      <c r="D128" s="54">
        <v>0.34800012994079571</v>
      </c>
      <c r="E128" s="54">
        <v>0</v>
      </c>
      <c r="F128" s="54">
        <v>0.42595993468602572</v>
      </c>
      <c r="G128" s="54">
        <v>0.21751027532233547</v>
      </c>
      <c r="H128" s="54">
        <v>0.68245451314546257</v>
      </c>
      <c r="I128" s="54">
        <v>0.55105634969325157</v>
      </c>
      <c r="J128" s="55">
        <v>0</v>
      </c>
      <c r="K128" s="54">
        <v>0</v>
      </c>
      <c r="L128" s="54">
        <v>0.24799999999999997</v>
      </c>
      <c r="M128" s="54">
        <v>0.111</v>
      </c>
      <c r="N128" s="54">
        <v>0.5533683883011824</v>
      </c>
      <c r="O128" s="54">
        <v>0</v>
      </c>
      <c r="P128" s="54">
        <v>1</v>
      </c>
      <c r="Q128" s="54">
        <v>2.0469519072191817E-2</v>
      </c>
      <c r="R128" s="54">
        <v>0.82634348588741824</v>
      </c>
      <c r="S128" s="54">
        <v>8.4606692387594593E-2</v>
      </c>
      <c r="T128" s="48">
        <v>0</v>
      </c>
      <c r="U128" s="56">
        <v>0</v>
      </c>
      <c r="V128" s="56">
        <f>1</f>
        <v>1</v>
      </c>
      <c r="W128" s="57">
        <v>0</v>
      </c>
      <c r="X128" s="58">
        <v>0</v>
      </c>
      <c r="Y128" s="58">
        <v>0.156095331511518</v>
      </c>
      <c r="Z128" s="58">
        <v>0</v>
      </c>
      <c r="AA128" s="58">
        <v>0</v>
      </c>
    </row>
    <row r="129" spans="1:27" s="48" customFormat="1" x14ac:dyDescent="0.35">
      <c r="A129" s="54">
        <v>0</v>
      </c>
      <c r="B129" s="54">
        <v>0</v>
      </c>
      <c r="C129" s="54">
        <v>0.45748428800000002</v>
      </c>
      <c r="D129" s="54">
        <v>0.34699999187870029</v>
      </c>
      <c r="E129" s="54">
        <v>0</v>
      </c>
      <c r="F129" s="54">
        <v>0.35077049837621049</v>
      </c>
      <c r="G129" s="54">
        <v>0.21751027532233547</v>
      </c>
      <c r="H129" s="54">
        <v>0.68245451314546257</v>
      </c>
      <c r="I129" s="54">
        <v>0.53325941717791414</v>
      </c>
      <c r="J129" s="55">
        <v>0</v>
      </c>
      <c r="K129" s="54">
        <v>0</v>
      </c>
      <c r="L129" s="54">
        <v>0.26999999999999996</v>
      </c>
      <c r="M129" s="54">
        <v>0.11</v>
      </c>
      <c r="N129" s="54">
        <v>0.58012134411947724</v>
      </c>
      <c r="O129" s="54">
        <v>0</v>
      </c>
      <c r="P129" s="54">
        <v>1</v>
      </c>
      <c r="Q129" s="54">
        <v>2.0764499082616628E-2</v>
      </c>
      <c r="R129" s="54">
        <v>0.82634348588741824</v>
      </c>
      <c r="S129" s="54">
        <v>8.2918162932185777E-2</v>
      </c>
      <c r="T129" s="48">
        <v>0</v>
      </c>
      <c r="U129" s="56">
        <v>0</v>
      </c>
      <c r="V129" s="56">
        <f>1</f>
        <v>1</v>
      </c>
      <c r="W129" s="57">
        <v>0</v>
      </c>
      <c r="X129" s="58">
        <v>0</v>
      </c>
      <c r="Y129" s="58">
        <v>0.36879389649307076</v>
      </c>
      <c r="Z129" s="58">
        <v>0</v>
      </c>
      <c r="AA129" s="58">
        <v>0</v>
      </c>
    </row>
    <row r="130" spans="1:27" s="48" customFormat="1" x14ac:dyDescent="0.35">
      <c r="A130" s="54">
        <v>0</v>
      </c>
      <c r="B130" s="54">
        <v>0</v>
      </c>
      <c r="C130" s="54">
        <v>0.43651181900000002</v>
      </c>
      <c r="D130" s="54">
        <v>0.35100013806209546</v>
      </c>
      <c r="E130" s="54">
        <v>0</v>
      </c>
      <c r="F130" s="54">
        <v>0.76796716843159141</v>
      </c>
      <c r="G130" s="54">
        <v>0.21751027532233547</v>
      </c>
      <c r="H130" s="54">
        <v>0.68245451314546257</v>
      </c>
      <c r="I130" s="54">
        <v>0.51420082822085889</v>
      </c>
      <c r="J130" s="55">
        <v>0</v>
      </c>
      <c r="K130" s="54">
        <v>0</v>
      </c>
      <c r="L130" s="54">
        <v>0.26999999999999996</v>
      </c>
      <c r="M130" s="54">
        <v>0.11</v>
      </c>
      <c r="N130" s="54">
        <v>0.58815370255133792</v>
      </c>
      <c r="O130" s="54">
        <v>0</v>
      </c>
      <c r="P130" s="54">
        <v>1</v>
      </c>
      <c r="Q130" s="54">
        <v>0.13426472920510815</v>
      </c>
      <c r="R130" s="54">
        <v>0.82634348588741824</v>
      </c>
      <c r="S130" s="54">
        <v>8.1065365781273185E-2</v>
      </c>
      <c r="T130" s="48">
        <v>0</v>
      </c>
      <c r="U130" s="56">
        <v>0</v>
      </c>
      <c r="V130" s="56">
        <f>1</f>
        <v>1</v>
      </c>
      <c r="W130" s="57">
        <v>0</v>
      </c>
      <c r="X130" s="58">
        <v>0</v>
      </c>
      <c r="Y130" s="58">
        <v>0.36879389649307076</v>
      </c>
      <c r="Z130" s="58">
        <v>0</v>
      </c>
      <c r="AA130" s="58">
        <v>0</v>
      </c>
    </row>
    <row r="131" spans="1:27" s="48" customFormat="1" x14ac:dyDescent="0.35">
      <c r="A131" s="54">
        <v>0.12</v>
      </c>
      <c r="B131" s="54">
        <v>8.1000000000000003E-2</v>
      </c>
      <c r="C131" s="54">
        <v>0.43123141399999998</v>
      </c>
      <c r="D131" s="54">
        <v>0.35300000812129972</v>
      </c>
      <c r="E131" s="54">
        <v>0</v>
      </c>
      <c r="F131" s="54">
        <v>0</v>
      </c>
      <c r="G131" s="54">
        <v>0.41767120832610777</v>
      </c>
      <c r="H131" s="54">
        <v>0.68245451314546257</v>
      </c>
      <c r="I131" s="54">
        <v>0.64673769938650305</v>
      </c>
      <c r="J131" s="55">
        <v>0</v>
      </c>
      <c r="K131" s="54">
        <v>5.5E-2</v>
      </c>
      <c r="L131" s="54">
        <v>0.21299999999999999</v>
      </c>
      <c r="M131" s="54">
        <v>0.11799999999999999</v>
      </c>
      <c r="N131" s="54">
        <v>0.58981580584940885</v>
      </c>
      <c r="O131" s="54">
        <v>0</v>
      </c>
      <c r="P131" s="54">
        <v>1</v>
      </c>
      <c r="Q131" s="54">
        <v>0</v>
      </c>
      <c r="R131" s="54">
        <v>0.82634348588741824</v>
      </c>
      <c r="S131" s="54">
        <v>0.12222392046297671</v>
      </c>
      <c r="T131" s="48">
        <v>0</v>
      </c>
      <c r="U131" s="56">
        <v>0</v>
      </c>
      <c r="V131" s="56">
        <f>1</f>
        <v>1</v>
      </c>
      <c r="W131" s="57">
        <v>0</v>
      </c>
      <c r="X131" s="58">
        <v>0</v>
      </c>
      <c r="Y131" s="58">
        <v>0.15639389315954927</v>
      </c>
      <c r="Z131" s="58">
        <v>0</v>
      </c>
      <c r="AA131" s="58">
        <v>0</v>
      </c>
    </row>
    <row r="132" spans="1:27" s="48" customFormat="1" x14ac:dyDescent="0.35">
      <c r="A132" s="54">
        <v>0.30599999999999999</v>
      </c>
      <c r="B132" s="54">
        <v>0.21600000000000003</v>
      </c>
      <c r="C132" s="54">
        <v>0.43856399200000001</v>
      </c>
      <c r="D132" s="54">
        <v>0.35000000000000003</v>
      </c>
      <c r="E132" s="54">
        <v>0</v>
      </c>
      <c r="F132" s="54">
        <v>0</v>
      </c>
      <c r="G132" s="54">
        <v>1</v>
      </c>
      <c r="H132" s="54">
        <v>0.68245451314546257</v>
      </c>
      <c r="I132" s="54">
        <v>0.86266079754601221</v>
      </c>
      <c r="J132" s="55">
        <v>0</v>
      </c>
      <c r="K132" s="54">
        <v>0.20399999999999999</v>
      </c>
      <c r="L132" s="54">
        <v>0.126</v>
      </c>
      <c r="M132" s="54">
        <v>0.124</v>
      </c>
      <c r="N132" s="54">
        <v>0.58814685749844431</v>
      </c>
      <c r="O132" s="54">
        <v>0</v>
      </c>
      <c r="P132" s="54">
        <v>0.20203767428788208</v>
      </c>
      <c r="Q132" s="54">
        <v>0</v>
      </c>
      <c r="R132" s="54">
        <v>0.82634348588741824</v>
      </c>
      <c r="S132" s="54">
        <v>0.23378468615521589</v>
      </c>
      <c r="T132" s="48">
        <v>0</v>
      </c>
      <c r="U132" s="56">
        <v>0</v>
      </c>
      <c r="V132" s="56">
        <f>1</f>
        <v>1</v>
      </c>
      <c r="W132" s="57">
        <v>0</v>
      </c>
      <c r="X132" s="58">
        <v>0</v>
      </c>
      <c r="Y132" s="58">
        <v>0.15639389315954927</v>
      </c>
      <c r="Z132" s="58">
        <v>0</v>
      </c>
      <c r="AA132" s="58">
        <v>0</v>
      </c>
    </row>
    <row r="133" spans="1:27" s="48" customFormat="1" x14ac:dyDescent="0.35">
      <c r="A133" s="54">
        <v>0.373</v>
      </c>
      <c r="B133" s="54">
        <v>0.36</v>
      </c>
      <c r="C133" s="54">
        <v>0.450905371</v>
      </c>
      <c r="D133" s="54">
        <v>0.34899986193790455</v>
      </c>
      <c r="E133" s="54">
        <v>0</v>
      </c>
      <c r="F133" s="54">
        <v>0</v>
      </c>
      <c r="G133" s="54">
        <v>1</v>
      </c>
      <c r="H133" s="54">
        <v>0.68245451314546257</v>
      </c>
      <c r="I133" s="54">
        <v>0.99457042944785279</v>
      </c>
      <c r="J133" s="55">
        <v>0</v>
      </c>
      <c r="K133" s="54">
        <v>0.34899999999999998</v>
      </c>
      <c r="L133" s="54">
        <v>0.105</v>
      </c>
      <c r="M133" s="54">
        <v>0.13200000000000001</v>
      </c>
      <c r="N133" s="54">
        <v>0.58725015556938398</v>
      </c>
      <c r="O133" s="54">
        <v>0</v>
      </c>
      <c r="P133" s="54">
        <v>1</v>
      </c>
      <c r="Q133" s="54">
        <v>0</v>
      </c>
      <c r="R133" s="54">
        <v>0.82634348588741824</v>
      </c>
      <c r="S133" s="54">
        <v>0.3470699658703072</v>
      </c>
      <c r="T133" s="48">
        <v>0</v>
      </c>
      <c r="U133" s="56">
        <v>0</v>
      </c>
      <c r="V133" s="56">
        <f>1</f>
        <v>1</v>
      </c>
      <c r="W133" s="57">
        <v>0</v>
      </c>
      <c r="X133" s="58">
        <v>0</v>
      </c>
      <c r="Y133" s="58">
        <v>0.156095331511518</v>
      </c>
      <c r="Z133" s="58">
        <v>0</v>
      </c>
      <c r="AA133" s="58">
        <v>0</v>
      </c>
    </row>
    <row r="134" spans="1:27" s="48" customFormat="1" x14ac:dyDescent="0.35">
      <c r="A134" s="54">
        <v>0.38400000000000001</v>
      </c>
      <c r="B134" s="54">
        <v>0.45799999999999996</v>
      </c>
      <c r="C134" s="54">
        <v>0.47123206899999998</v>
      </c>
      <c r="D134" s="54">
        <v>0.34800012994079571</v>
      </c>
      <c r="E134" s="54">
        <v>0</v>
      </c>
      <c r="F134" s="54">
        <v>0</v>
      </c>
      <c r="G134" s="54">
        <v>1</v>
      </c>
      <c r="H134" s="54">
        <v>0.68245451314546257</v>
      </c>
      <c r="I134" s="54">
        <v>1</v>
      </c>
      <c r="J134" s="55">
        <v>5.355752995814702E-2</v>
      </c>
      <c r="K134" s="54">
        <v>0.41099999999999998</v>
      </c>
      <c r="L134" s="54">
        <v>0.17099999999999999</v>
      </c>
      <c r="M134" s="54">
        <v>0.15000000000000002</v>
      </c>
      <c r="N134" s="54">
        <v>0.59229807093963904</v>
      </c>
      <c r="O134" s="54">
        <v>0</v>
      </c>
      <c r="P134" s="54">
        <v>0.60375200566442666</v>
      </c>
      <c r="Q134" s="54">
        <v>0</v>
      </c>
      <c r="R134" s="54">
        <v>0.82634348588741824</v>
      </c>
      <c r="S134" s="54">
        <v>0.40883046446060245</v>
      </c>
      <c r="T134" s="48">
        <v>0</v>
      </c>
      <c r="U134" s="56">
        <v>0</v>
      </c>
      <c r="V134" s="56">
        <f>1</f>
        <v>1</v>
      </c>
      <c r="W134" s="57">
        <v>0</v>
      </c>
      <c r="X134" s="58">
        <v>0</v>
      </c>
      <c r="Y134" s="58">
        <v>0.15639389315954927</v>
      </c>
      <c r="Z134" s="58">
        <v>0</v>
      </c>
      <c r="AA134" s="58">
        <v>0</v>
      </c>
    </row>
    <row r="135" spans="1:27" s="48" customFormat="1" x14ac:dyDescent="0.35">
      <c r="A135" s="54">
        <v>0.38100000000000001</v>
      </c>
      <c r="B135" s="54">
        <v>0.48</v>
      </c>
      <c r="C135" s="54">
        <v>0.47521060700000001</v>
      </c>
      <c r="D135" s="54">
        <v>0.34899986193790455</v>
      </c>
      <c r="E135" s="54">
        <v>0</v>
      </c>
      <c r="F135" s="54">
        <v>0</v>
      </c>
      <c r="G135" s="54">
        <v>1</v>
      </c>
      <c r="H135" s="54">
        <v>0.68245451314546257</v>
      </c>
      <c r="I135" s="54">
        <v>1</v>
      </c>
      <c r="J135" s="55">
        <v>5.554067823729042E-2</v>
      </c>
      <c r="K135" s="54">
        <v>0.40799999999999997</v>
      </c>
      <c r="L135" s="54">
        <v>0.27300000000000002</v>
      </c>
      <c r="M135" s="54">
        <v>0.17499999999999999</v>
      </c>
      <c r="N135" s="54">
        <v>0.60151711263223395</v>
      </c>
      <c r="O135" s="54">
        <v>0</v>
      </c>
      <c r="P135" s="54">
        <v>0</v>
      </c>
      <c r="Q135" s="54">
        <v>0</v>
      </c>
      <c r="R135" s="54">
        <v>0.82634348588741824</v>
      </c>
      <c r="S135" s="54">
        <v>0.42678683780976406</v>
      </c>
      <c r="T135" s="48">
        <v>0</v>
      </c>
      <c r="U135" s="56">
        <v>0</v>
      </c>
      <c r="V135" s="56">
        <f>1</f>
        <v>1</v>
      </c>
      <c r="W135" s="57">
        <v>0</v>
      </c>
      <c r="X135" s="58">
        <v>0</v>
      </c>
      <c r="Y135" s="58">
        <v>0.15639389315954927</v>
      </c>
      <c r="Z135" s="58">
        <v>0</v>
      </c>
      <c r="AA135" s="58">
        <v>0</v>
      </c>
    </row>
    <row r="136" spans="1:27" s="48" customFormat="1" x14ac:dyDescent="0.35">
      <c r="A136" s="54">
        <v>0.36899999999999999</v>
      </c>
      <c r="B136" s="54">
        <v>0.41699999999999904</v>
      </c>
      <c r="C136" s="54">
        <v>0.46109752100000001</v>
      </c>
      <c r="D136" s="54">
        <v>0.34899986193790455</v>
      </c>
      <c r="E136" s="54">
        <v>0</v>
      </c>
      <c r="F136" s="54">
        <v>0</v>
      </c>
      <c r="G136" s="54">
        <v>1</v>
      </c>
      <c r="H136" s="54">
        <v>0.68245451314546257</v>
      </c>
      <c r="I136" s="54">
        <v>1</v>
      </c>
      <c r="J136" s="55">
        <v>6.5910818196363756E-3</v>
      </c>
      <c r="K136" s="54">
        <v>0.35099999999999998</v>
      </c>
      <c r="L136" s="54">
        <v>0.35600000000000004</v>
      </c>
      <c r="M136" s="54">
        <v>0.22099999999999997</v>
      </c>
      <c r="N136" s="54">
        <v>0.60996328562538893</v>
      </c>
      <c r="O136" s="54">
        <v>0</v>
      </c>
      <c r="P136" s="54">
        <v>0</v>
      </c>
      <c r="Q136" s="54">
        <v>0</v>
      </c>
      <c r="R136" s="54">
        <v>0.82634348588741824</v>
      </c>
      <c r="S136" s="54">
        <v>0.41466530642528565</v>
      </c>
      <c r="T136" s="48">
        <v>0</v>
      </c>
      <c r="U136" s="56">
        <v>0</v>
      </c>
      <c r="V136" s="56">
        <f>1</f>
        <v>1</v>
      </c>
      <c r="W136" s="57">
        <v>0</v>
      </c>
      <c r="X136" s="58">
        <v>0</v>
      </c>
      <c r="Y136" s="58">
        <v>0.156095331511518</v>
      </c>
      <c r="Z136" s="58">
        <v>0</v>
      </c>
      <c r="AA136" s="58">
        <v>0</v>
      </c>
    </row>
    <row r="137" spans="1:27" s="48" customFormat="1" x14ac:dyDescent="0.35">
      <c r="A137" s="54">
        <v>0.33900000000000002</v>
      </c>
      <c r="B137" s="54">
        <v>0.28899999999999998</v>
      </c>
      <c r="C137" s="54">
        <v>0.43415106799999997</v>
      </c>
      <c r="D137" s="54">
        <v>0.34699999187870029</v>
      </c>
      <c r="E137" s="54">
        <v>0</v>
      </c>
      <c r="F137" s="54">
        <v>0</v>
      </c>
      <c r="G137" s="54">
        <v>1</v>
      </c>
      <c r="H137" s="54">
        <v>0.68245451314546257</v>
      </c>
      <c r="I137" s="54">
        <v>0.89839223926380363</v>
      </c>
      <c r="J137" s="55">
        <v>0</v>
      </c>
      <c r="K137" s="54">
        <v>0.27299999999999996</v>
      </c>
      <c r="L137" s="54">
        <v>0.40699999999999997</v>
      </c>
      <c r="M137" s="54">
        <v>0.29099999999999998</v>
      </c>
      <c r="N137" s="54">
        <v>0.61163347853142502</v>
      </c>
      <c r="O137" s="54">
        <v>0</v>
      </c>
      <c r="P137" s="54">
        <v>0</v>
      </c>
      <c r="Q137" s="54">
        <v>0</v>
      </c>
      <c r="R137" s="54">
        <v>0.82634348588741824</v>
      </c>
      <c r="S137" s="54">
        <v>0.40237639115595786</v>
      </c>
      <c r="T137" s="48">
        <v>0</v>
      </c>
      <c r="U137" s="56">
        <v>0</v>
      </c>
      <c r="V137" s="56">
        <f>1</f>
        <v>1</v>
      </c>
      <c r="W137" s="57">
        <v>0</v>
      </c>
      <c r="X137" s="58">
        <v>0</v>
      </c>
      <c r="Y137" s="58">
        <v>0.15639389315954927</v>
      </c>
      <c r="Z137" s="58">
        <v>0</v>
      </c>
      <c r="AA137" s="58">
        <v>0</v>
      </c>
    </row>
    <row r="138" spans="1:27" s="48" customFormat="1" x14ac:dyDescent="0.35">
      <c r="A138" s="54">
        <v>0.23899999999999999</v>
      </c>
      <c r="B138" s="54">
        <v>0.13699999999999998</v>
      </c>
      <c r="C138" s="54">
        <v>0.412526432</v>
      </c>
      <c r="D138" s="54">
        <v>0.34899986193790455</v>
      </c>
      <c r="E138" s="54">
        <v>0</v>
      </c>
      <c r="F138" s="54">
        <v>0</v>
      </c>
      <c r="G138" s="54">
        <v>1</v>
      </c>
      <c r="H138" s="54">
        <v>0.68245451314546257</v>
      </c>
      <c r="I138" s="54">
        <v>0.73518171779141106</v>
      </c>
      <c r="J138" s="55">
        <v>0</v>
      </c>
      <c r="K138" s="54">
        <v>0.16999999999999998</v>
      </c>
      <c r="L138" s="54">
        <v>0.42799999999999999</v>
      </c>
      <c r="M138" s="54">
        <v>0.35399999999999998</v>
      </c>
      <c r="N138" s="54">
        <v>0.6126042314872433</v>
      </c>
      <c r="O138" s="54">
        <v>0</v>
      </c>
      <c r="P138" s="54">
        <v>0</v>
      </c>
      <c r="Q138" s="54">
        <v>1</v>
      </c>
      <c r="R138" s="54">
        <v>0.82634348588741824</v>
      </c>
      <c r="S138" s="54">
        <v>0.36447848345451844</v>
      </c>
      <c r="T138" s="48">
        <v>0</v>
      </c>
      <c r="U138" s="56">
        <v>0</v>
      </c>
      <c r="V138" s="56">
        <f>1</f>
        <v>1</v>
      </c>
      <c r="W138" s="57">
        <v>0</v>
      </c>
      <c r="X138" s="58">
        <v>0</v>
      </c>
      <c r="Y138" s="58">
        <v>0.15639389315954927</v>
      </c>
      <c r="Z138" s="58">
        <v>0</v>
      </c>
      <c r="AA138" s="58">
        <v>0</v>
      </c>
    </row>
    <row r="139" spans="1:27" s="48" customFormat="1" x14ac:dyDescent="0.35">
      <c r="A139" s="54">
        <v>5.6000000000000001E-2</v>
      </c>
      <c r="B139" s="54">
        <v>1.7000000000000001E-2</v>
      </c>
      <c r="C139" s="54">
        <v>0.34461741800000001</v>
      </c>
      <c r="D139" s="54">
        <v>0.35900002436389922</v>
      </c>
      <c r="E139" s="54">
        <v>0</v>
      </c>
      <c r="F139" s="54">
        <v>0.5805952422636611</v>
      </c>
      <c r="G139" s="54">
        <v>0.21751027532233547</v>
      </c>
      <c r="H139" s="54">
        <v>0.68245451314546257</v>
      </c>
      <c r="I139" s="54">
        <v>0.46669684049079752</v>
      </c>
      <c r="J139" s="55">
        <v>0</v>
      </c>
      <c r="K139" s="54">
        <v>6.9999999999999993E-2</v>
      </c>
      <c r="L139" s="54">
        <v>0.28099999999999997</v>
      </c>
      <c r="M139" s="54">
        <v>0.40200000000000002</v>
      </c>
      <c r="N139" s="54">
        <v>0.62155133789670192</v>
      </c>
      <c r="O139" s="54">
        <v>0</v>
      </c>
      <c r="P139" s="54">
        <v>1</v>
      </c>
      <c r="Q139" s="54">
        <v>0</v>
      </c>
      <c r="R139" s="54">
        <v>0.82634348588741824</v>
      </c>
      <c r="S139" s="54">
        <v>0.31795993470841372</v>
      </c>
      <c r="T139" s="48">
        <v>0</v>
      </c>
      <c r="U139" s="56">
        <v>0</v>
      </c>
      <c r="V139" s="56">
        <f>1</f>
        <v>1</v>
      </c>
      <c r="W139" s="57">
        <v>0</v>
      </c>
      <c r="X139" s="58">
        <v>0</v>
      </c>
      <c r="Y139" s="58">
        <v>0.30183786306462623</v>
      </c>
      <c r="Z139" s="58">
        <v>0</v>
      </c>
      <c r="AA139" s="58">
        <v>0</v>
      </c>
    </row>
    <row r="140" spans="1:27" s="48" customFormat="1" x14ac:dyDescent="0.35">
      <c r="A140" s="54">
        <v>0</v>
      </c>
      <c r="B140" s="54">
        <v>0</v>
      </c>
      <c r="C140" s="54">
        <v>0.34607711600000002</v>
      </c>
      <c r="D140" s="54">
        <v>0.37200019491119363</v>
      </c>
      <c r="E140" s="54">
        <v>0</v>
      </c>
      <c r="F140" s="54">
        <v>0.76796716843159141</v>
      </c>
      <c r="G140" s="54">
        <v>0.21751027532233547</v>
      </c>
      <c r="H140" s="54">
        <v>0.68245451314546257</v>
      </c>
      <c r="I140" s="54">
        <v>0.40353435582822084</v>
      </c>
      <c r="J140" s="55">
        <v>0</v>
      </c>
      <c r="K140" s="54">
        <v>0</v>
      </c>
      <c r="L140" s="54">
        <v>0.23800000000000002</v>
      </c>
      <c r="M140" s="54">
        <v>0.45800000000000002</v>
      </c>
      <c r="N140" s="54">
        <v>0.62640572495332925</v>
      </c>
      <c r="O140" s="54">
        <v>0</v>
      </c>
      <c r="P140" s="54">
        <v>1</v>
      </c>
      <c r="Q140" s="54">
        <v>0</v>
      </c>
      <c r="R140" s="54">
        <v>0.82634348588741824</v>
      </c>
      <c r="S140" s="54">
        <v>0.30839531087698469</v>
      </c>
      <c r="T140" s="48">
        <v>0</v>
      </c>
      <c r="U140" s="56">
        <v>0</v>
      </c>
      <c r="V140" s="56">
        <f>1</f>
        <v>1</v>
      </c>
      <c r="W140" s="57">
        <v>0</v>
      </c>
      <c r="X140" s="58">
        <v>0</v>
      </c>
      <c r="Y140" s="58">
        <v>0.156095331511518</v>
      </c>
      <c r="Z140" s="58">
        <v>0</v>
      </c>
      <c r="AA140" s="58">
        <v>0</v>
      </c>
    </row>
    <row r="141" spans="1:27" s="48" customFormat="1" x14ac:dyDescent="0.35">
      <c r="A141" s="54">
        <v>0</v>
      </c>
      <c r="B141" s="54">
        <v>0</v>
      </c>
      <c r="C141" s="54">
        <v>0.38436776900000003</v>
      </c>
      <c r="D141" s="54">
        <v>0.37100005684909815</v>
      </c>
      <c r="E141" s="54">
        <v>0</v>
      </c>
      <c r="F141" s="54">
        <v>0.76796716843159141</v>
      </c>
      <c r="G141" s="54">
        <v>0.21751027532233547</v>
      </c>
      <c r="H141" s="54">
        <v>0.68245451314546257</v>
      </c>
      <c r="I141" s="54">
        <v>0.44803226993865031</v>
      </c>
      <c r="J141" s="55">
        <v>0</v>
      </c>
      <c r="K141" s="54">
        <v>0</v>
      </c>
      <c r="L141" s="54">
        <v>0.253</v>
      </c>
      <c r="M141" s="54">
        <v>0.50600000000000001</v>
      </c>
      <c r="N141" s="54">
        <v>0.62530118232731802</v>
      </c>
      <c r="O141" s="54">
        <v>0</v>
      </c>
      <c r="P141" s="54">
        <v>1</v>
      </c>
      <c r="Q141" s="54">
        <v>0.28173097111545475</v>
      </c>
      <c r="R141" s="54">
        <v>0.82634348588741824</v>
      </c>
      <c r="S141" s="54">
        <v>0.33690651431963198</v>
      </c>
      <c r="T141" s="48">
        <v>0</v>
      </c>
      <c r="U141" s="56">
        <v>0</v>
      </c>
      <c r="V141" s="56">
        <f>1</f>
        <v>1</v>
      </c>
      <c r="W141" s="57">
        <v>0</v>
      </c>
      <c r="X141" s="58">
        <v>0</v>
      </c>
      <c r="Y141" s="58">
        <v>0.36879389649307076</v>
      </c>
      <c r="Z141" s="58">
        <v>0</v>
      </c>
      <c r="AA141" s="58">
        <v>0</v>
      </c>
    </row>
    <row r="142" spans="1:27" s="48" customFormat="1" x14ac:dyDescent="0.35">
      <c r="A142" s="54">
        <v>0</v>
      </c>
      <c r="B142" s="54">
        <v>0</v>
      </c>
      <c r="C142" s="54">
        <v>0.41364261899999999</v>
      </c>
      <c r="D142" s="54">
        <v>0.36900018678989388</v>
      </c>
      <c r="E142" s="54">
        <v>0</v>
      </c>
      <c r="F142" s="54">
        <v>0.76796716843159141</v>
      </c>
      <c r="G142" s="54">
        <v>0.21751027532233547</v>
      </c>
      <c r="H142" s="54">
        <v>0.68245451314546257</v>
      </c>
      <c r="I142" s="54">
        <v>0.48215604294478526</v>
      </c>
      <c r="J142" s="55">
        <v>0</v>
      </c>
      <c r="K142" s="54">
        <v>0</v>
      </c>
      <c r="L142" s="54">
        <v>0.29599999999999999</v>
      </c>
      <c r="M142" s="54">
        <v>0.54799999999999993</v>
      </c>
      <c r="N142" s="54">
        <v>0.62520597386434351</v>
      </c>
      <c r="O142" s="54">
        <v>0</v>
      </c>
      <c r="P142" s="54">
        <v>1</v>
      </c>
      <c r="Q142" s="54">
        <v>0</v>
      </c>
      <c r="R142" s="54">
        <v>0.82634348588741824</v>
      </c>
      <c r="S142" s="54">
        <v>0.36460609882771927</v>
      </c>
      <c r="T142" s="48">
        <v>0</v>
      </c>
      <c r="U142" s="56">
        <v>0</v>
      </c>
      <c r="V142" s="56">
        <f>1</f>
        <v>1</v>
      </c>
      <c r="W142" s="57">
        <v>0</v>
      </c>
      <c r="X142" s="58">
        <v>0</v>
      </c>
      <c r="Y142" s="58">
        <v>0.15669245480758048</v>
      </c>
      <c r="Z142" s="58">
        <v>0</v>
      </c>
      <c r="AA142" s="58">
        <v>0</v>
      </c>
    </row>
    <row r="143" spans="1:27" s="48" customFormat="1" x14ac:dyDescent="0.35">
      <c r="A143" s="54">
        <v>0</v>
      </c>
      <c r="B143" s="54">
        <v>0</v>
      </c>
      <c r="C143" s="54">
        <v>0.43220439799999999</v>
      </c>
      <c r="D143" s="54">
        <v>0.36999991878700267</v>
      </c>
      <c r="E143" s="54">
        <v>0</v>
      </c>
      <c r="F143" s="54">
        <v>0.76796716843159141</v>
      </c>
      <c r="G143" s="54">
        <v>0.21751027532233547</v>
      </c>
      <c r="H143" s="54">
        <v>0.68245451314546257</v>
      </c>
      <c r="I143" s="54">
        <v>0.503792300613497</v>
      </c>
      <c r="J143" s="55">
        <v>0</v>
      </c>
      <c r="K143" s="54">
        <v>0</v>
      </c>
      <c r="L143" s="54">
        <v>0.374</v>
      </c>
      <c r="M143" s="54">
        <v>0.58399999999999996</v>
      </c>
      <c r="N143" s="54">
        <v>0.62175046670815182</v>
      </c>
      <c r="O143" s="54">
        <v>0</v>
      </c>
      <c r="P143" s="54">
        <v>0.74970679163017562</v>
      </c>
      <c r="Q143" s="54">
        <v>0</v>
      </c>
      <c r="R143" s="54">
        <v>0.82634348588741824</v>
      </c>
      <c r="S143" s="54">
        <v>0.38848805460750857</v>
      </c>
      <c r="T143" s="48">
        <v>0</v>
      </c>
      <c r="U143" s="56">
        <v>0</v>
      </c>
      <c r="V143" s="56">
        <f>1</f>
        <v>1</v>
      </c>
      <c r="W143" s="57">
        <v>0</v>
      </c>
      <c r="X143" s="58">
        <v>0</v>
      </c>
      <c r="Y143" s="58">
        <v>0.36939101978269684</v>
      </c>
      <c r="Z143" s="58">
        <v>0</v>
      </c>
      <c r="AA143" s="58">
        <v>0</v>
      </c>
    </row>
    <row r="144" spans="1:27" s="48" customFormat="1" x14ac:dyDescent="0.35">
      <c r="A144" s="54">
        <v>0</v>
      </c>
      <c r="B144" s="54">
        <v>0</v>
      </c>
      <c r="C144" s="54">
        <v>0.45847632599999999</v>
      </c>
      <c r="D144" s="54">
        <v>0.36200003248519891</v>
      </c>
      <c r="E144" s="54">
        <v>0</v>
      </c>
      <c r="F144" s="54">
        <v>0.6186619166905567</v>
      </c>
      <c r="G144" s="54">
        <v>0.21751027532233547</v>
      </c>
      <c r="H144" s="54">
        <v>0.68245451314546257</v>
      </c>
      <c r="I144" s="54">
        <v>0.53441576687116565</v>
      </c>
      <c r="J144" s="55">
        <v>0</v>
      </c>
      <c r="K144" s="54">
        <v>0</v>
      </c>
      <c r="L144" s="54">
        <v>0.45700000000000002</v>
      </c>
      <c r="M144" s="54">
        <v>0.61899999999999999</v>
      </c>
      <c r="N144" s="54">
        <v>0.61293030491599254</v>
      </c>
      <c r="O144" s="54">
        <v>0</v>
      </c>
      <c r="P144" s="54">
        <v>1</v>
      </c>
      <c r="Q144" s="54">
        <v>0.48859093374250717</v>
      </c>
      <c r="R144" s="54">
        <v>0.82634348588741824</v>
      </c>
      <c r="S144" s="54">
        <v>0.41134834545184745</v>
      </c>
      <c r="T144" s="48">
        <v>0</v>
      </c>
      <c r="U144" s="56">
        <v>0</v>
      </c>
      <c r="V144" s="56">
        <f>1</f>
        <v>1</v>
      </c>
      <c r="W144" s="57">
        <v>0</v>
      </c>
      <c r="X144" s="58">
        <v>0</v>
      </c>
      <c r="Y144" s="58">
        <v>0.15758813974523786</v>
      </c>
      <c r="Z144" s="58">
        <v>0</v>
      </c>
      <c r="AA144" s="58">
        <v>0</v>
      </c>
    </row>
    <row r="145" spans="1:27" s="48" customFormat="1" x14ac:dyDescent="0.35">
      <c r="A145" s="54">
        <v>0</v>
      </c>
      <c r="B145" s="54">
        <v>0</v>
      </c>
      <c r="C145" s="54">
        <v>0.48614243400000001</v>
      </c>
      <c r="D145" s="54">
        <v>0.35799988630180374</v>
      </c>
      <c r="E145" s="54">
        <v>0</v>
      </c>
      <c r="F145" s="54">
        <v>0.14790723402342551</v>
      </c>
      <c r="G145" s="54">
        <v>0.21751027532233547</v>
      </c>
      <c r="H145" s="54">
        <v>0.68245451314546257</v>
      </c>
      <c r="I145" s="54">
        <v>0.56666432515337428</v>
      </c>
      <c r="J145" s="55">
        <v>0</v>
      </c>
      <c r="K145" s="54">
        <v>0</v>
      </c>
      <c r="L145" s="54">
        <v>0.53</v>
      </c>
      <c r="M145" s="54">
        <v>0.65300000000000002</v>
      </c>
      <c r="N145" s="54">
        <v>0.60488363410080892</v>
      </c>
      <c r="O145" s="54">
        <v>0</v>
      </c>
      <c r="P145" s="54">
        <v>0.82835205661174938</v>
      </c>
      <c r="Q145" s="54">
        <v>1</v>
      </c>
      <c r="R145" s="54">
        <v>0.82634348588741824</v>
      </c>
      <c r="S145" s="54">
        <v>0.43427696987683634</v>
      </c>
      <c r="T145" s="48">
        <v>0</v>
      </c>
      <c r="U145" s="56">
        <v>0</v>
      </c>
      <c r="V145" s="56">
        <f>1</f>
        <v>1</v>
      </c>
      <c r="W145" s="57">
        <v>0</v>
      </c>
      <c r="X145" s="58">
        <v>0</v>
      </c>
      <c r="Y145" s="58">
        <v>0.36998814307875938</v>
      </c>
      <c r="Z145" s="58">
        <v>0</v>
      </c>
      <c r="AA145" s="58">
        <v>0</v>
      </c>
    </row>
    <row r="146" spans="1:27" s="48" customFormat="1" x14ac:dyDescent="0.35">
      <c r="A146" s="54">
        <v>0</v>
      </c>
      <c r="B146" s="54">
        <v>0</v>
      </c>
      <c r="C146" s="54">
        <v>0.52357058199999995</v>
      </c>
      <c r="D146" s="54">
        <v>0.35900002436389922</v>
      </c>
      <c r="E146" s="54">
        <v>0</v>
      </c>
      <c r="F146" s="54">
        <v>0</v>
      </c>
      <c r="G146" s="54">
        <v>0.21751027532233547</v>
      </c>
      <c r="H146" s="54">
        <v>0.68245451314546257</v>
      </c>
      <c r="I146" s="54">
        <v>0.61029187116564421</v>
      </c>
      <c r="J146" s="55">
        <v>0</v>
      </c>
      <c r="K146" s="54">
        <v>0</v>
      </c>
      <c r="L146" s="54">
        <v>0.62</v>
      </c>
      <c r="M146" s="54">
        <v>0.68300000000000005</v>
      </c>
      <c r="N146" s="54">
        <v>0.57243248288736781</v>
      </c>
      <c r="O146" s="54">
        <v>0</v>
      </c>
      <c r="P146" s="54">
        <v>0</v>
      </c>
      <c r="Q146" s="54">
        <v>0.52065019051081574</v>
      </c>
      <c r="R146" s="54">
        <v>0.82634348588741824</v>
      </c>
      <c r="S146" s="54">
        <v>0.4540189939160113</v>
      </c>
      <c r="T146" s="48">
        <v>0</v>
      </c>
      <c r="U146" s="56">
        <v>0</v>
      </c>
      <c r="V146" s="56">
        <f>1</f>
        <v>1</v>
      </c>
      <c r="W146" s="57">
        <v>0</v>
      </c>
      <c r="X146" s="58">
        <v>0</v>
      </c>
      <c r="Y146" s="58">
        <v>0.15758877440288419</v>
      </c>
      <c r="Z146" s="58">
        <v>0</v>
      </c>
      <c r="AA146" s="58">
        <v>0</v>
      </c>
    </row>
    <row r="147" spans="1:27" s="48" customFormat="1" x14ac:dyDescent="0.35">
      <c r="A147" s="54">
        <v>0</v>
      </c>
      <c r="B147" s="54">
        <v>0</v>
      </c>
      <c r="C147" s="54">
        <v>0.564047148</v>
      </c>
      <c r="D147" s="54">
        <v>0.35900002436389922</v>
      </c>
      <c r="E147" s="54">
        <v>0</v>
      </c>
      <c r="F147" s="54">
        <v>0.57464892627010622</v>
      </c>
      <c r="G147" s="54">
        <v>1</v>
      </c>
      <c r="H147" s="54">
        <v>0.68245451314546257</v>
      </c>
      <c r="I147" s="54">
        <v>0.65747273006134976</v>
      </c>
      <c r="J147" s="55">
        <v>0</v>
      </c>
      <c r="K147" s="54">
        <v>0</v>
      </c>
      <c r="L147" s="54">
        <v>0.70799999999999996</v>
      </c>
      <c r="M147" s="54">
        <v>0.70399999999999996</v>
      </c>
      <c r="N147" s="54">
        <v>0.57423708774113258</v>
      </c>
      <c r="O147" s="54">
        <v>0</v>
      </c>
      <c r="P147" s="54">
        <v>0</v>
      </c>
      <c r="Q147" s="54">
        <v>1</v>
      </c>
      <c r="R147" s="54">
        <v>0.82634348588741824</v>
      </c>
      <c r="S147" s="54">
        <v>0.46781762872829796</v>
      </c>
      <c r="T147" s="48">
        <v>0</v>
      </c>
      <c r="U147" s="56">
        <v>0</v>
      </c>
      <c r="V147" s="56">
        <f>1</f>
        <v>1</v>
      </c>
      <c r="W147" s="57">
        <v>0</v>
      </c>
      <c r="X147" s="58">
        <v>0</v>
      </c>
      <c r="Y147" s="58">
        <v>0.15758877440288419</v>
      </c>
      <c r="Z147" s="58">
        <v>0</v>
      </c>
      <c r="AA147" s="58">
        <v>0</v>
      </c>
    </row>
    <row r="148" spans="1:27" s="48" customFormat="1" x14ac:dyDescent="0.35">
      <c r="A148" s="54">
        <v>0</v>
      </c>
      <c r="B148" s="54">
        <v>0</v>
      </c>
      <c r="C148" s="54">
        <v>0.60432528500000005</v>
      </c>
      <c r="D148" s="54">
        <v>0.3600001624259947</v>
      </c>
      <c r="E148" s="54">
        <v>0</v>
      </c>
      <c r="F148" s="54">
        <v>0.57464892627010622</v>
      </c>
      <c r="G148" s="54">
        <v>1</v>
      </c>
      <c r="H148" s="54">
        <v>0.68245451314546257</v>
      </c>
      <c r="I148" s="54">
        <v>0.70442230061349698</v>
      </c>
      <c r="J148" s="55">
        <v>0</v>
      </c>
      <c r="K148" s="54">
        <v>0</v>
      </c>
      <c r="L148" s="54">
        <v>0.75199999999999989</v>
      </c>
      <c r="M148" s="54">
        <v>0.72599999999999998</v>
      </c>
      <c r="N148" s="54">
        <v>0.57625202240199136</v>
      </c>
      <c r="O148" s="54">
        <v>0</v>
      </c>
      <c r="P148" s="54">
        <v>0</v>
      </c>
      <c r="Q148" s="54">
        <v>1</v>
      </c>
      <c r="R148" s="54">
        <v>0.82634348588741824</v>
      </c>
      <c r="S148" s="54">
        <v>0.48282630954147504</v>
      </c>
      <c r="T148" s="48">
        <v>0</v>
      </c>
      <c r="U148" s="56">
        <v>0</v>
      </c>
      <c r="V148" s="56">
        <f>1</f>
        <v>1</v>
      </c>
      <c r="W148" s="57">
        <v>0</v>
      </c>
      <c r="X148" s="58">
        <v>0</v>
      </c>
      <c r="Y148" s="58">
        <v>0.15758877440288419</v>
      </c>
      <c r="Z148" s="58">
        <v>0</v>
      </c>
      <c r="AA148" s="58">
        <v>0</v>
      </c>
    </row>
    <row r="149" spans="1:27" s="48" customFormat="1" x14ac:dyDescent="0.35">
      <c r="A149" s="54">
        <v>0</v>
      </c>
      <c r="B149" s="54">
        <v>0</v>
      </c>
      <c r="C149" s="54">
        <v>0.64680523499999998</v>
      </c>
      <c r="D149" s="54">
        <v>0.3600001624259947</v>
      </c>
      <c r="E149" s="54">
        <v>0</v>
      </c>
      <c r="F149" s="54">
        <v>0.57464892627010622</v>
      </c>
      <c r="G149" s="54">
        <v>1</v>
      </c>
      <c r="H149" s="54">
        <v>0.68245451314546257</v>
      </c>
      <c r="I149" s="54">
        <v>0.75393840490797548</v>
      </c>
      <c r="J149" s="55">
        <v>0</v>
      </c>
      <c r="K149" s="54">
        <v>0</v>
      </c>
      <c r="L149" s="54">
        <v>0.78800000000000003</v>
      </c>
      <c r="M149" s="54">
        <v>0.73299999999999998</v>
      </c>
      <c r="N149" s="54">
        <v>0.58007093963907896</v>
      </c>
      <c r="O149" s="54">
        <v>0</v>
      </c>
      <c r="P149" s="54">
        <v>0</v>
      </c>
      <c r="Q149" s="54">
        <v>1</v>
      </c>
      <c r="R149" s="54">
        <v>0.82634348588741824</v>
      </c>
      <c r="S149" s="54">
        <v>0.48726613740911112</v>
      </c>
      <c r="T149" s="48">
        <v>0</v>
      </c>
      <c r="U149" s="56">
        <v>0</v>
      </c>
      <c r="V149" s="56">
        <f>1</f>
        <v>1</v>
      </c>
      <c r="W149" s="57">
        <v>0</v>
      </c>
      <c r="X149" s="58">
        <v>0</v>
      </c>
      <c r="Y149" s="58">
        <v>0.15758877440288419</v>
      </c>
      <c r="Z149" s="58">
        <v>0</v>
      </c>
      <c r="AA149" s="58">
        <v>0</v>
      </c>
    </row>
    <row r="150" spans="1:27" s="48" customFormat="1" x14ac:dyDescent="0.35">
      <c r="A150" s="54">
        <v>0</v>
      </c>
      <c r="B150" s="54">
        <v>0</v>
      </c>
      <c r="C150" s="54">
        <v>0.68888568299999997</v>
      </c>
      <c r="D150" s="54">
        <v>0.35700015430469495</v>
      </c>
      <c r="E150" s="54">
        <v>0</v>
      </c>
      <c r="F150" s="54">
        <v>0</v>
      </c>
      <c r="G150" s="54">
        <v>1</v>
      </c>
      <c r="H150" s="54">
        <v>0.68245451314546257</v>
      </c>
      <c r="I150" s="54">
        <v>0.80298883435582824</v>
      </c>
      <c r="J150" s="55">
        <v>0</v>
      </c>
      <c r="K150" s="54">
        <v>0</v>
      </c>
      <c r="L150" s="54">
        <v>0.80799999999999994</v>
      </c>
      <c r="M150" s="54">
        <v>0.72</v>
      </c>
      <c r="N150" s="54">
        <v>0.58005413814561302</v>
      </c>
      <c r="O150" s="54">
        <v>0</v>
      </c>
      <c r="P150" s="54">
        <v>0</v>
      </c>
      <c r="Q150" s="54">
        <v>1</v>
      </c>
      <c r="R150" s="54">
        <v>0.82634348588741824</v>
      </c>
      <c r="S150" s="54">
        <v>0.47855557204332988</v>
      </c>
      <c r="T150" s="48">
        <v>0</v>
      </c>
      <c r="U150" s="56">
        <v>0</v>
      </c>
      <c r="V150" s="56">
        <f>1</f>
        <v>1</v>
      </c>
      <c r="W150" s="57">
        <v>0</v>
      </c>
      <c r="X150" s="58">
        <v>0</v>
      </c>
      <c r="Y150" s="58">
        <v>0.1569916511068217</v>
      </c>
      <c r="Z150" s="58">
        <v>0</v>
      </c>
      <c r="AA150" s="58">
        <v>0</v>
      </c>
    </row>
    <row r="151" spans="1:27" s="48" customFormat="1" x14ac:dyDescent="0.35">
      <c r="A151" s="54">
        <v>0</v>
      </c>
      <c r="B151" s="54">
        <v>0</v>
      </c>
      <c r="C151" s="54">
        <v>0.70893419700000004</v>
      </c>
      <c r="D151" s="54">
        <v>0.35900002436389922</v>
      </c>
      <c r="E151" s="54">
        <v>0</v>
      </c>
      <c r="F151" s="54">
        <v>0</v>
      </c>
      <c r="G151" s="54">
        <v>1</v>
      </c>
      <c r="H151" s="54">
        <v>0.68245451314546257</v>
      </c>
      <c r="I151" s="54">
        <v>0.82635806748466256</v>
      </c>
      <c r="J151" s="55">
        <v>0</v>
      </c>
      <c r="K151" s="54">
        <v>0</v>
      </c>
      <c r="L151" s="54">
        <v>0.79500000000000004</v>
      </c>
      <c r="M151" s="54">
        <v>0.68899999999999995</v>
      </c>
      <c r="N151" s="54">
        <v>0.58121717485998758</v>
      </c>
      <c r="O151" s="54">
        <v>0</v>
      </c>
      <c r="P151" s="54">
        <v>0</v>
      </c>
      <c r="Q151" s="54">
        <v>1</v>
      </c>
      <c r="R151" s="54">
        <v>0.82634348588741824</v>
      </c>
      <c r="S151" s="54">
        <v>0.45816938714942873</v>
      </c>
      <c r="T151" s="48">
        <v>0</v>
      </c>
      <c r="U151" s="56">
        <v>0</v>
      </c>
      <c r="V151" s="56">
        <f>1</f>
        <v>1</v>
      </c>
      <c r="W151" s="57">
        <v>0</v>
      </c>
      <c r="X151" s="58">
        <v>0</v>
      </c>
      <c r="Y151" s="58">
        <v>0.15639452781719557</v>
      </c>
      <c r="Z151" s="58">
        <v>0</v>
      </c>
      <c r="AA151" s="58">
        <v>0</v>
      </c>
    </row>
    <row r="152" spans="1:27" s="48" customFormat="1" x14ac:dyDescent="0.35">
      <c r="A152" s="54">
        <v>0</v>
      </c>
      <c r="B152" s="54">
        <v>0</v>
      </c>
      <c r="C152" s="54">
        <v>0.69710707999999999</v>
      </c>
      <c r="D152" s="54">
        <v>0.36099989442310348</v>
      </c>
      <c r="E152" s="54">
        <v>0</v>
      </c>
      <c r="F152" s="54">
        <v>0.47865394485069812</v>
      </c>
      <c r="G152" s="54">
        <v>1</v>
      </c>
      <c r="H152" s="54">
        <v>0.68245451314546257</v>
      </c>
      <c r="I152" s="54">
        <v>0.8125719631901841</v>
      </c>
      <c r="J152" s="55">
        <v>0</v>
      </c>
      <c r="K152" s="54">
        <v>0</v>
      </c>
      <c r="L152" s="54">
        <v>0.78999999999999992</v>
      </c>
      <c r="M152" s="54">
        <v>0.69400000000000006</v>
      </c>
      <c r="N152" s="54">
        <v>0.58722650902302431</v>
      </c>
      <c r="O152" s="54">
        <v>0</v>
      </c>
      <c r="P152" s="54">
        <v>0</v>
      </c>
      <c r="Q152" s="54">
        <v>1</v>
      </c>
      <c r="R152" s="54">
        <v>0.82634348588741824</v>
      </c>
      <c r="S152" s="54">
        <v>0.46185739723994657</v>
      </c>
      <c r="T152" s="48">
        <v>0</v>
      </c>
      <c r="U152" s="56">
        <v>0</v>
      </c>
      <c r="V152" s="56">
        <f>1</f>
        <v>1</v>
      </c>
      <c r="W152" s="57">
        <v>0</v>
      </c>
      <c r="X152" s="58">
        <v>0</v>
      </c>
      <c r="Y152" s="58">
        <v>0.15609596616916432</v>
      </c>
      <c r="Z152" s="58">
        <v>0</v>
      </c>
      <c r="AA152" s="58">
        <v>0</v>
      </c>
    </row>
    <row r="153" spans="1:27" s="48" customFormat="1" x14ac:dyDescent="0.35">
      <c r="A153" s="54">
        <v>0</v>
      </c>
      <c r="B153" s="54">
        <v>0</v>
      </c>
      <c r="C153" s="54">
        <v>0.67072794400000002</v>
      </c>
      <c r="D153" s="54">
        <v>0.36200003248519891</v>
      </c>
      <c r="E153" s="54">
        <v>0</v>
      </c>
      <c r="F153" s="54">
        <v>4.1369609772287236E-2</v>
      </c>
      <c r="G153" s="54">
        <v>1</v>
      </c>
      <c r="H153" s="54">
        <v>0.68245451314546257</v>
      </c>
      <c r="I153" s="54">
        <v>0.78182352760736196</v>
      </c>
      <c r="J153" s="55">
        <v>0</v>
      </c>
      <c r="K153" s="54">
        <v>0</v>
      </c>
      <c r="L153" s="54">
        <v>0.77799999999999991</v>
      </c>
      <c r="M153" s="54">
        <v>0.67500000000000004</v>
      </c>
      <c r="N153" s="54">
        <v>0.63246421904169259</v>
      </c>
      <c r="O153" s="54">
        <v>0</v>
      </c>
      <c r="P153" s="54">
        <v>0</v>
      </c>
      <c r="Q153" s="54">
        <v>0.80225493431847794</v>
      </c>
      <c r="R153" s="54">
        <v>0.82634348588741824</v>
      </c>
      <c r="S153" s="54">
        <v>0.44929818964238016</v>
      </c>
      <c r="T153" s="48">
        <v>0</v>
      </c>
      <c r="U153" s="56">
        <v>0</v>
      </c>
      <c r="V153" s="56">
        <f>1</f>
        <v>1</v>
      </c>
      <c r="W153" s="57">
        <v>0</v>
      </c>
      <c r="X153" s="58">
        <v>0</v>
      </c>
      <c r="Y153" s="58">
        <v>0.15639452781719557</v>
      </c>
      <c r="Z153" s="58">
        <v>0</v>
      </c>
      <c r="AA153" s="58">
        <v>0</v>
      </c>
    </row>
    <row r="154" spans="1:27" s="48" customFormat="1" x14ac:dyDescent="0.35">
      <c r="A154" s="54">
        <v>0</v>
      </c>
      <c r="B154" s="54">
        <v>0</v>
      </c>
      <c r="C154" s="54">
        <v>0.63980309599999996</v>
      </c>
      <c r="D154" s="54">
        <v>0.36200003248519891</v>
      </c>
      <c r="E154" s="54">
        <v>0</v>
      </c>
      <c r="F154" s="54">
        <v>0.53013338688677869</v>
      </c>
      <c r="G154" s="54">
        <v>0.21751027532233547</v>
      </c>
      <c r="H154" s="54">
        <v>0.68245451314546257</v>
      </c>
      <c r="I154" s="54">
        <v>0.74721300613496933</v>
      </c>
      <c r="J154" s="55">
        <v>0</v>
      </c>
      <c r="K154" s="54">
        <v>0</v>
      </c>
      <c r="L154" s="54">
        <v>0.72</v>
      </c>
      <c r="M154" s="54">
        <v>0.60499999999999998</v>
      </c>
      <c r="N154" s="54">
        <v>0.64205662725575607</v>
      </c>
      <c r="O154" s="54">
        <v>0</v>
      </c>
      <c r="P154" s="54">
        <v>0</v>
      </c>
      <c r="Q154" s="54">
        <v>1</v>
      </c>
      <c r="R154" s="54">
        <v>0.82634348588741824</v>
      </c>
      <c r="S154" s="54">
        <v>0.40280011871197502</v>
      </c>
      <c r="T154" s="48">
        <v>0</v>
      </c>
      <c r="U154" s="56">
        <v>0</v>
      </c>
      <c r="V154" s="56">
        <f>1</f>
        <v>1</v>
      </c>
      <c r="W154" s="57">
        <v>0</v>
      </c>
      <c r="X154" s="58">
        <v>0</v>
      </c>
      <c r="Y154" s="58">
        <v>0.15639452781719557</v>
      </c>
      <c r="Z154" s="58">
        <v>0</v>
      </c>
      <c r="AA154" s="58">
        <v>0</v>
      </c>
    </row>
    <row r="155" spans="1:27" s="48" customFormat="1" x14ac:dyDescent="0.35">
      <c r="A155" s="54">
        <v>0.03</v>
      </c>
      <c r="B155" s="54">
        <v>0</v>
      </c>
      <c r="C155" s="54">
        <v>0.60584827900000005</v>
      </c>
      <c r="D155" s="54">
        <v>0.3680000487277984</v>
      </c>
      <c r="E155" s="54">
        <v>0</v>
      </c>
      <c r="F155" s="54">
        <v>0.46473087621122644</v>
      </c>
      <c r="G155" s="54">
        <v>0.21751027532233547</v>
      </c>
      <c r="H155" s="54">
        <v>0.68245451314546257</v>
      </c>
      <c r="I155" s="54">
        <v>0.74525730061349693</v>
      </c>
      <c r="J155" s="55">
        <v>0</v>
      </c>
      <c r="K155" s="54">
        <v>1.1999999999999999E-2</v>
      </c>
      <c r="L155" s="54">
        <v>0.66499999999999992</v>
      </c>
      <c r="M155" s="54">
        <v>0.52800000000000002</v>
      </c>
      <c r="N155" s="54">
        <v>0</v>
      </c>
      <c r="O155" s="54">
        <v>0</v>
      </c>
      <c r="P155" s="54">
        <v>0</v>
      </c>
      <c r="Q155" s="54">
        <v>0</v>
      </c>
      <c r="R155" s="54">
        <v>0.82634348588741824</v>
      </c>
      <c r="S155" s="54">
        <v>0.36293686006825937</v>
      </c>
      <c r="T155" s="48">
        <v>0</v>
      </c>
      <c r="U155" s="56">
        <v>0</v>
      </c>
      <c r="V155" s="56">
        <f>1</f>
        <v>1</v>
      </c>
      <c r="W155" s="57">
        <v>0</v>
      </c>
      <c r="X155" s="58">
        <v>0</v>
      </c>
      <c r="Y155" s="58">
        <v>0.15639452781719557</v>
      </c>
      <c r="Z155" s="58">
        <v>0</v>
      </c>
      <c r="AA155" s="58">
        <v>0</v>
      </c>
    </row>
    <row r="156" spans="1:27" s="48" customFormat="1" x14ac:dyDescent="0.35">
      <c r="A156" s="54">
        <v>8.2000000000000003E-2</v>
      </c>
      <c r="B156" s="54">
        <v>1.7000000000000001E-2</v>
      </c>
      <c r="C156" s="54">
        <v>0.60256063999999998</v>
      </c>
      <c r="D156" s="54">
        <v>0.36600017866859413</v>
      </c>
      <c r="E156" s="54">
        <v>0</v>
      </c>
      <c r="F156" s="54">
        <v>0.31490707835133547</v>
      </c>
      <c r="G156" s="54">
        <v>1</v>
      </c>
      <c r="H156" s="54">
        <v>0.68245451314546257</v>
      </c>
      <c r="I156" s="54">
        <v>0.81252889570552145</v>
      </c>
      <c r="J156" s="55">
        <v>0</v>
      </c>
      <c r="K156" s="54">
        <v>4.8999999999999995E-2</v>
      </c>
      <c r="L156" s="54">
        <v>0.621</v>
      </c>
      <c r="M156" s="54">
        <v>0.44599999999999995</v>
      </c>
      <c r="N156" s="54">
        <v>0.64305476042314869</v>
      </c>
      <c r="O156" s="54">
        <v>0</v>
      </c>
      <c r="P156" s="54">
        <v>0</v>
      </c>
      <c r="Q156" s="54">
        <v>1</v>
      </c>
      <c r="R156" s="54">
        <v>0.82634348588741824</v>
      </c>
      <c r="S156" s="54">
        <v>0.34637691052084879</v>
      </c>
      <c r="T156" s="48">
        <v>0</v>
      </c>
      <c r="U156" s="56">
        <v>0</v>
      </c>
      <c r="V156" s="56">
        <f>1</f>
        <v>1</v>
      </c>
      <c r="W156" s="57">
        <v>0</v>
      </c>
      <c r="X156" s="58">
        <v>0</v>
      </c>
      <c r="Y156" s="58">
        <v>0.15639452781719557</v>
      </c>
      <c r="Z156" s="58">
        <v>0</v>
      </c>
      <c r="AA156" s="58">
        <v>0</v>
      </c>
    </row>
    <row r="157" spans="1:27" s="48" customFormat="1" x14ac:dyDescent="0.35">
      <c r="A157" s="54">
        <v>0.13600000000000001</v>
      </c>
      <c r="B157" s="54">
        <v>2.7999999999999997E-2</v>
      </c>
      <c r="C157" s="54">
        <v>0.61838280300000004</v>
      </c>
      <c r="D157" s="54">
        <v>0.36999991878700267</v>
      </c>
      <c r="E157" s="54">
        <v>0</v>
      </c>
      <c r="F157" s="54">
        <v>0.22042296815564269</v>
      </c>
      <c r="G157" s="54">
        <v>1</v>
      </c>
      <c r="H157" s="54">
        <v>0.68245451314546257</v>
      </c>
      <c r="I157" s="54">
        <v>0.9044041104294479</v>
      </c>
      <c r="J157" s="55">
        <v>0</v>
      </c>
      <c r="K157" s="54">
        <v>0.09</v>
      </c>
      <c r="L157" s="54">
        <v>0.57499999999999996</v>
      </c>
      <c r="M157" s="54">
        <v>0.371</v>
      </c>
      <c r="N157" s="54">
        <v>0.63741319228375859</v>
      </c>
      <c r="O157" s="54">
        <v>0</v>
      </c>
      <c r="P157" s="54">
        <v>0</v>
      </c>
      <c r="Q157" s="54">
        <v>1</v>
      </c>
      <c r="R157" s="54">
        <v>0.82634348588741824</v>
      </c>
      <c r="S157" s="54">
        <v>0.34000779047336399</v>
      </c>
      <c r="T157" s="48">
        <v>0</v>
      </c>
      <c r="U157" s="56">
        <v>0</v>
      </c>
      <c r="V157" s="56">
        <f>1</f>
        <v>1</v>
      </c>
      <c r="W157" s="57">
        <v>0</v>
      </c>
      <c r="X157" s="58">
        <v>0</v>
      </c>
      <c r="Y157" s="58">
        <v>0.15609596616916432</v>
      </c>
      <c r="Z157" s="58">
        <v>0</v>
      </c>
      <c r="AA157" s="58">
        <v>0</v>
      </c>
    </row>
    <row r="158" spans="1:27" s="48" customFormat="1" x14ac:dyDescent="0.35">
      <c r="A158" s="54">
        <v>0.184</v>
      </c>
      <c r="B158" s="54">
        <v>3.59999999999999E-2</v>
      </c>
      <c r="C158" s="54">
        <v>0.65846688499999995</v>
      </c>
      <c r="D158" s="54">
        <v>0.36900018678989388</v>
      </c>
      <c r="E158" s="54">
        <v>0</v>
      </c>
      <c r="F158" s="54">
        <v>4.0509217826694838E-2</v>
      </c>
      <c r="G158" s="54">
        <v>1</v>
      </c>
      <c r="H158" s="54">
        <v>0.68245451314546257</v>
      </c>
      <c r="I158" s="54">
        <v>1</v>
      </c>
      <c r="J158" s="55">
        <v>1.2696949026939174E-2</v>
      </c>
      <c r="K158" s="54">
        <v>0.15199999999999997</v>
      </c>
      <c r="L158" s="54">
        <v>0.58399999999999996</v>
      </c>
      <c r="M158" s="54">
        <v>0.33100000000000002</v>
      </c>
      <c r="N158" s="54">
        <v>0.63307840696950834</v>
      </c>
      <c r="O158" s="54">
        <v>0</v>
      </c>
      <c r="P158" s="54">
        <v>0</v>
      </c>
      <c r="Q158" s="54">
        <v>0.17189157420119885</v>
      </c>
      <c r="R158" s="54">
        <v>0.82634348588741824</v>
      </c>
      <c r="S158" s="54">
        <v>0.36941400801305835</v>
      </c>
      <c r="T158" s="48">
        <v>0</v>
      </c>
      <c r="U158" s="56">
        <v>0</v>
      </c>
      <c r="V158" s="56">
        <f>1</f>
        <v>1</v>
      </c>
      <c r="W158" s="57">
        <v>0</v>
      </c>
      <c r="X158" s="58">
        <v>0</v>
      </c>
      <c r="Y158" s="58">
        <v>0.15639452781719557</v>
      </c>
      <c r="Z158" s="58">
        <v>0</v>
      </c>
      <c r="AA158" s="58">
        <v>0</v>
      </c>
    </row>
    <row r="159" spans="1:27" s="48" customFormat="1" x14ac:dyDescent="0.35">
      <c r="A159" s="54">
        <v>0.20899999999999999</v>
      </c>
      <c r="B159" s="54">
        <v>3.9E-2</v>
      </c>
      <c r="C159" s="54">
        <v>0.69550253799999995</v>
      </c>
      <c r="D159" s="54">
        <v>0.36999991878700267</v>
      </c>
      <c r="E159" s="54">
        <v>0</v>
      </c>
      <c r="F159" s="54">
        <v>0</v>
      </c>
      <c r="G159" s="54">
        <v>1</v>
      </c>
      <c r="H159" s="54">
        <v>0.68245451314546257</v>
      </c>
      <c r="I159" s="54">
        <v>1</v>
      </c>
      <c r="J159" s="55">
        <v>7.7996446285863469E-2</v>
      </c>
      <c r="K159" s="54">
        <v>0.20699999999999999</v>
      </c>
      <c r="L159" s="54">
        <v>0.61899999999999999</v>
      </c>
      <c r="M159" s="54">
        <v>0.32400000000000001</v>
      </c>
      <c r="N159" s="54">
        <v>0.63141692594897325</v>
      </c>
      <c r="O159" s="54">
        <v>0</v>
      </c>
      <c r="P159" s="54">
        <v>0</v>
      </c>
      <c r="Q159" s="54">
        <v>1</v>
      </c>
      <c r="R159" s="54">
        <v>0.82634348588741824</v>
      </c>
      <c r="S159" s="54">
        <v>0.40885079388633327</v>
      </c>
      <c r="T159" s="48">
        <v>0</v>
      </c>
      <c r="U159" s="56">
        <v>0</v>
      </c>
      <c r="V159" s="56">
        <f>1</f>
        <v>1</v>
      </c>
      <c r="W159" s="57">
        <v>0</v>
      </c>
      <c r="X159" s="58">
        <v>0</v>
      </c>
      <c r="Y159" s="58">
        <v>0.15639452781719557</v>
      </c>
      <c r="Z159" s="58">
        <v>0</v>
      </c>
      <c r="AA159" s="58">
        <v>0</v>
      </c>
    </row>
    <row r="160" spans="1:27" s="48" customFormat="1" x14ac:dyDescent="0.35">
      <c r="A160" s="54">
        <v>0.20899999999999999</v>
      </c>
      <c r="B160" s="54">
        <v>3.4000000000000002E-2</v>
      </c>
      <c r="C160" s="54">
        <v>0.72059707900000003</v>
      </c>
      <c r="D160" s="54">
        <v>0.37100005684909815</v>
      </c>
      <c r="E160" s="54">
        <v>0</v>
      </c>
      <c r="F160" s="54">
        <v>0</v>
      </c>
      <c r="G160" s="54">
        <v>1</v>
      </c>
      <c r="H160" s="54">
        <v>0.68245451314546257</v>
      </c>
      <c r="I160" s="54">
        <v>1</v>
      </c>
      <c r="J160" s="55">
        <v>9.9448047983561966E-2</v>
      </c>
      <c r="K160" s="54">
        <v>0.23899999999999999</v>
      </c>
      <c r="L160" s="54">
        <v>0.63</v>
      </c>
      <c r="M160" s="54">
        <v>0.33200000000000002</v>
      </c>
      <c r="N160" s="54">
        <v>0.62502613565650278</v>
      </c>
      <c r="O160" s="54">
        <v>0</v>
      </c>
      <c r="P160" s="54">
        <v>0</v>
      </c>
      <c r="Q160" s="54">
        <v>1</v>
      </c>
      <c r="R160" s="54">
        <v>0.82634348588741824</v>
      </c>
      <c r="S160" s="54">
        <v>0.43360276005342041</v>
      </c>
      <c r="T160" s="48">
        <v>0</v>
      </c>
      <c r="U160" s="56">
        <v>0</v>
      </c>
      <c r="V160" s="56">
        <f>1</f>
        <v>1</v>
      </c>
      <c r="W160" s="57">
        <v>0</v>
      </c>
      <c r="X160" s="58">
        <v>0</v>
      </c>
      <c r="Y160" s="58">
        <v>0.15609596616916432</v>
      </c>
      <c r="Z160" s="58">
        <v>0</v>
      </c>
      <c r="AA160" s="58">
        <v>0</v>
      </c>
    </row>
    <row r="161" spans="1:27" s="48" customFormat="1" x14ac:dyDescent="0.35">
      <c r="A161" s="54">
        <v>0.17399999999999999</v>
      </c>
      <c r="B161" s="54">
        <v>2.1999999999999898E-2</v>
      </c>
      <c r="C161" s="54">
        <v>0.739312894</v>
      </c>
      <c r="D161" s="54">
        <v>0.36600017866859413</v>
      </c>
      <c r="E161" s="54">
        <v>0</v>
      </c>
      <c r="F161" s="54">
        <v>0</v>
      </c>
      <c r="G161" s="54">
        <v>1</v>
      </c>
      <c r="H161" s="54">
        <v>0.68245451314546257</v>
      </c>
      <c r="I161" s="54">
        <v>1</v>
      </c>
      <c r="J161" s="55">
        <v>7.0319907957119648E-2</v>
      </c>
      <c r="K161" s="54">
        <v>0.21199999999999997</v>
      </c>
      <c r="L161" s="54">
        <v>0.61699999999999999</v>
      </c>
      <c r="M161" s="54">
        <v>0.34199999999999997</v>
      </c>
      <c r="N161" s="54">
        <v>0.62156253889234603</v>
      </c>
      <c r="O161" s="54">
        <v>0</v>
      </c>
      <c r="P161" s="54">
        <v>0</v>
      </c>
      <c r="Q161" s="54">
        <v>1</v>
      </c>
      <c r="R161" s="54">
        <v>0.82634348588741824</v>
      </c>
      <c r="S161" s="54">
        <v>0.40971501706484642</v>
      </c>
      <c r="T161" s="48">
        <v>0</v>
      </c>
      <c r="U161" s="56">
        <v>0</v>
      </c>
      <c r="V161" s="56">
        <f>1</f>
        <v>1</v>
      </c>
      <c r="W161" s="57">
        <v>0</v>
      </c>
      <c r="X161" s="58">
        <v>0</v>
      </c>
      <c r="Y161" s="58">
        <v>0.15639452781719557</v>
      </c>
      <c r="Z161" s="58">
        <v>0</v>
      </c>
      <c r="AA161" s="58">
        <v>0</v>
      </c>
    </row>
    <row r="162" spans="1:27" s="48" customFormat="1" x14ac:dyDescent="0.35">
      <c r="A162" s="54">
        <v>0.112</v>
      </c>
      <c r="B162" s="54">
        <v>0</v>
      </c>
      <c r="C162" s="54">
        <v>0.77701201099999995</v>
      </c>
      <c r="D162" s="54">
        <v>0.37200019491119363</v>
      </c>
      <c r="E162" s="54">
        <v>0</v>
      </c>
      <c r="F162" s="54">
        <v>0</v>
      </c>
      <c r="G162" s="54">
        <v>1</v>
      </c>
      <c r="H162" s="54">
        <v>0.68245451314546257</v>
      </c>
      <c r="I162" s="54">
        <v>1</v>
      </c>
      <c r="J162" s="55">
        <v>3.4320762701159586E-2</v>
      </c>
      <c r="K162" s="54">
        <v>0.16</v>
      </c>
      <c r="L162" s="54">
        <v>0.61199999999999999</v>
      </c>
      <c r="M162" s="54">
        <v>0.34100000000000003</v>
      </c>
      <c r="N162" s="54">
        <v>0.62416116988176729</v>
      </c>
      <c r="O162" s="54">
        <v>0</v>
      </c>
      <c r="P162" s="54">
        <v>0</v>
      </c>
      <c r="Q162" s="54">
        <v>1</v>
      </c>
      <c r="R162" s="54">
        <v>0.82634348588741824</v>
      </c>
      <c r="S162" s="54">
        <v>0.35576316960973436</v>
      </c>
      <c r="T162" s="48">
        <v>0</v>
      </c>
      <c r="U162" s="56">
        <v>0</v>
      </c>
      <c r="V162" s="56">
        <f>1</f>
        <v>1</v>
      </c>
      <c r="W162" s="57">
        <v>0</v>
      </c>
      <c r="X162" s="58">
        <v>0</v>
      </c>
      <c r="Y162" s="58">
        <v>0.15639452781719557</v>
      </c>
      <c r="Z162" s="58">
        <v>0</v>
      </c>
      <c r="AA162" s="58">
        <v>0</v>
      </c>
    </row>
    <row r="163" spans="1:27" s="48" customFormat="1" x14ac:dyDescent="0.35">
      <c r="A163" s="54">
        <v>2.8000000000000001E-2</v>
      </c>
      <c r="B163" s="54">
        <v>0</v>
      </c>
      <c r="C163" s="54">
        <v>0.76608125500000002</v>
      </c>
      <c r="D163" s="54">
        <v>0.37499979696750668</v>
      </c>
      <c r="E163" s="54">
        <v>0</v>
      </c>
      <c r="F163" s="54">
        <v>0.21856126634999462</v>
      </c>
      <c r="G163" s="54">
        <v>0.21751027532233547</v>
      </c>
      <c r="H163" s="54">
        <v>0.68245451314546257</v>
      </c>
      <c r="I163" s="54">
        <v>0.92770647239263804</v>
      </c>
      <c r="J163" s="55">
        <v>0</v>
      </c>
      <c r="K163" s="54">
        <v>9.0999999999999984E-2</v>
      </c>
      <c r="L163" s="54">
        <v>0.51700000000000002</v>
      </c>
      <c r="M163" s="54">
        <v>0.34300000000000003</v>
      </c>
      <c r="N163" s="54">
        <v>0.62626384567517113</v>
      </c>
      <c r="O163" s="54">
        <v>0</v>
      </c>
      <c r="P163" s="54">
        <v>0</v>
      </c>
      <c r="Q163" s="54">
        <v>0.39875728932759968</v>
      </c>
      <c r="R163" s="54">
        <v>0.82634348588741824</v>
      </c>
      <c r="S163" s="54">
        <v>0.29381918682297076</v>
      </c>
      <c r="T163" s="48">
        <v>0</v>
      </c>
      <c r="U163" s="56">
        <v>0</v>
      </c>
      <c r="V163" s="56">
        <f>1</f>
        <v>1</v>
      </c>
      <c r="W163" s="57">
        <v>0</v>
      </c>
      <c r="X163" s="58">
        <v>0</v>
      </c>
      <c r="Y163" s="58">
        <v>0.15639452781719557</v>
      </c>
      <c r="Z163" s="58">
        <v>0</v>
      </c>
      <c r="AA163" s="58">
        <v>0</v>
      </c>
    </row>
    <row r="164" spans="1:27" s="48" customFormat="1" x14ac:dyDescent="0.35">
      <c r="A164" s="54">
        <v>0</v>
      </c>
      <c r="B164" s="54">
        <v>0</v>
      </c>
      <c r="C164" s="54">
        <v>0.71677553000000005</v>
      </c>
      <c r="D164" s="54">
        <v>0.37599993502960216</v>
      </c>
      <c r="E164" s="54">
        <v>0</v>
      </c>
      <c r="F164" s="54">
        <v>0</v>
      </c>
      <c r="G164" s="54">
        <v>0.21751027532233547</v>
      </c>
      <c r="H164" s="54">
        <v>0.68245451314546257</v>
      </c>
      <c r="I164" s="54">
        <v>0.83559714723926382</v>
      </c>
      <c r="J164" s="55">
        <v>0</v>
      </c>
      <c r="K164" s="54">
        <v>0</v>
      </c>
      <c r="L164" s="54">
        <v>0.32400000000000001</v>
      </c>
      <c r="M164" s="54">
        <v>0.33999999999999997</v>
      </c>
      <c r="N164" s="54">
        <v>0.62713130056004973</v>
      </c>
      <c r="O164" s="54">
        <v>0</v>
      </c>
      <c r="P164" s="54">
        <v>0.44764148186212871</v>
      </c>
      <c r="Q164" s="54">
        <v>0</v>
      </c>
      <c r="R164" s="54">
        <v>0.82634348588741824</v>
      </c>
      <c r="S164" s="54">
        <v>0.23269824899836769</v>
      </c>
      <c r="T164" s="48">
        <v>0</v>
      </c>
      <c r="U164" s="56">
        <v>0</v>
      </c>
      <c r="V164" s="56">
        <f>1</f>
        <v>1</v>
      </c>
      <c r="W164" s="57">
        <v>0</v>
      </c>
      <c r="X164" s="58">
        <v>0</v>
      </c>
      <c r="Y164" s="58">
        <v>0.15609596616916432</v>
      </c>
      <c r="Z164" s="58">
        <v>0</v>
      </c>
      <c r="AA164" s="58">
        <v>0</v>
      </c>
    </row>
    <row r="165" spans="1:27" s="48" customFormat="1" x14ac:dyDescent="0.35">
      <c r="A165" s="54">
        <v>0</v>
      </c>
      <c r="B165" s="54">
        <v>0</v>
      </c>
      <c r="C165" s="54">
        <v>0.69716506300000003</v>
      </c>
      <c r="D165" s="54">
        <v>0.37599993502960216</v>
      </c>
      <c r="E165" s="54">
        <v>0</v>
      </c>
      <c r="F165" s="54">
        <v>0</v>
      </c>
      <c r="G165" s="54">
        <v>1</v>
      </c>
      <c r="H165" s="54">
        <v>0.68245451314546257</v>
      </c>
      <c r="I165" s="54">
        <v>0.81263953987730053</v>
      </c>
      <c r="J165" s="55">
        <v>0</v>
      </c>
      <c r="K165" s="54">
        <v>0</v>
      </c>
      <c r="L165" s="54">
        <v>0.251</v>
      </c>
      <c r="M165" s="54">
        <v>0.33800000000000002</v>
      </c>
      <c r="N165" s="54">
        <v>0.63002613565650278</v>
      </c>
      <c r="O165" s="54">
        <v>0</v>
      </c>
      <c r="P165" s="54">
        <v>1</v>
      </c>
      <c r="Q165" s="54">
        <v>1</v>
      </c>
      <c r="R165" s="54">
        <v>0.82634348588741824</v>
      </c>
      <c r="S165" s="54">
        <v>0.22759600830983828</v>
      </c>
      <c r="T165" s="48">
        <v>0</v>
      </c>
      <c r="U165" s="56">
        <v>0</v>
      </c>
      <c r="V165" s="56">
        <f>1</f>
        <v>1</v>
      </c>
      <c r="W165" s="57">
        <v>0</v>
      </c>
      <c r="X165" s="58">
        <v>0</v>
      </c>
      <c r="Y165" s="58">
        <v>0.15639452781719557</v>
      </c>
      <c r="Z165" s="58">
        <v>0</v>
      </c>
      <c r="AA165" s="58">
        <v>0</v>
      </c>
    </row>
    <row r="166" spans="1:27" s="48" customFormat="1" x14ac:dyDescent="0.35">
      <c r="A166" s="54">
        <v>0</v>
      </c>
      <c r="B166" s="54">
        <v>0</v>
      </c>
      <c r="C166" s="54">
        <v>0.702644457</v>
      </c>
      <c r="D166" s="54">
        <v>0.37599993502960216</v>
      </c>
      <c r="E166" s="54">
        <v>0</v>
      </c>
      <c r="F166" s="54">
        <v>0</v>
      </c>
      <c r="G166" s="54">
        <v>1</v>
      </c>
      <c r="H166" s="54">
        <v>0.68245451314546257</v>
      </c>
      <c r="I166" s="54">
        <v>0.81902653374233125</v>
      </c>
      <c r="J166" s="55">
        <v>0</v>
      </c>
      <c r="K166" s="54">
        <v>0</v>
      </c>
      <c r="L166" s="54">
        <v>0.22</v>
      </c>
      <c r="M166" s="54">
        <v>0.35599999999999998</v>
      </c>
      <c r="N166" s="54">
        <v>0.63565525824517732</v>
      </c>
      <c r="O166" s="54">
        <v>0</v>
      </c>
      <c r="P166" s="54">
        <v>0.86709637887275093</v>
      </c>
      <c r="Q166" s="54">
        <v>1</v>
      </c>
      <c r="R166" s="54">
        <v>0.82634348588741824</v>
      </c>
      <c r="S166" s="54">
        <v>0.2398972399465796</v>
      </c>
      <c r="T166" s="48">
        <v>0</v>
      </c>
      <c r="U166" s="56">
        <v>0</v>
      </c>
      <c r="V166" s="56">
        <f>1</f>
        <v>1</v>
      </c>
      <c r="W166" s="57">
        <v>0</v>
      </c>
      <c r="X166" s="58">
        <v>0</v>
      </c>
      <c r="Y166" s="58">
        <v>0.15669308946522681</v>
      </c>
      <c r="Z166" s="58">
        <v>0</v>
      </c>
      <c r="AA166" s="58">
        <v>0</v>
      </c>
    </row>
    <row r="167" spans="1:27" s="48" customFormat="1" x14ac:dyDescent="0.35">
      <c r="A167" s="54">
        <v>0</v>
      </c>
      <c r="B167" s="54">
        <v>0</v>
      </c>
      <c r="C167" s="54">
        <v>0.71687946599999997</v>
      </c>
      <c r="D167" s="54">
        <v>0.37700007309169764</v>
      </c>
      <c r="E167" s="54">
        <v>0</v>
      </c>
      <c r="F167" s="54">
        <v>0</v>
      </c>
      <c r="G167" s="54">
        <v>1</v>
      </c>
      <c r="H167" s="54">
        <v>0.68245451314546257</v>
      </c>
      <c r="I167" s="54">
        <v>0.83561932515337423</v>
      </c>
      <c r="J167" s="55">
        <v>0</v>
      </c>
      <c r="K167" s="54">
        <v>0</v>
      </c>
      <c r="L167" s="54">
        <v>0.23299999999999998</v>
      </c>
      <c r="M167" s="54">
        <v>0.39499999999999996</v>
      </c>
      <c r="N167" s="54">
        <v>0.63668637212196633</v>
      </c>
      <c r="O167" s="54">
        <v>0</v>
      </c>
      <c r="P167" s="54">
        <v>0.53331975499458051</v>
      </c>
      <c r="Q167" s="54">
        <v>1</v>
      </c>
      <c r="R167" s="54">
        <v>0.82634348588741824</v>
      </c>
      <c r="S167" s="54">
        <v>0.26521219765543852</v>
      </c>
      <c r="T167" s="48">
        <v>0</v>
      </c>
      <c r="U167" s="56">
        <v>0</v>
      </c>
      <c r="V167" s="56">
        <f>1</f>
        <v>1</v>
      </c>
      <c r="W167" s="57">
        <v>0</v>
      </c>
      <c r="X167" s="58">
        <v>0</v>
      </c>
      <c r="Y167" s="58">
        <v>0.1569916511068217</v>
      </c>
      <c r="Z167" s="58">
        <v>0</v>
      </c>
      <c r="AA167" s="58">
        <v>0</v>
      </c>
    </row>
    <row r="168" spans="1:27" s="48" customFormat="1" x14ac:dyDescent="0.35">
      <c r="A168" s="54">
        <v>0</v>
      </c>
      <c r="B168" s="54">
        <v>0</v>
      </c>
      <c r="C168" s="54">
        <v>0.73354011799999996</v>
      </c>
      <c r="D168" s="54">
        <v>0.37299992690830241</v>
      </c>
      <c r="E168" s="54">
        <v>0</v>
      </c>
      <c r="F168" s="54">
        <v>0.69711939644795129</v>
      </c>
      <c r="G168" s="54">
        <v>1</v>
      </c>
      <c r="H168" s="54">
        <v>0.68245451314546257</v>
      </c>
      <c r="I168" s="54">
        <v>0.8550395705521473</v>
      </c>
      <c r="J168" s="55">
        <v>0</v>
      </c>
      <c r="K168" s="54">
        <v>0</v>
      </c>
      <c r="L168" s="54">
        <v>0.27699999999999997</v>
      </c>
      <c r="M168" s="54">
        <v>0.44800000000000001</v>
      </c>
      <c r="N168" s="54">
        <v>0.63864405724953321</v>
      </c>
      <c r="O168" s="54">
        <v>0</v>
      </c>
      <c r="P168" s="54">
        <v>1</v>
      </c>
      <c r="Q168" s="54">
        <v>1</v>
      </c>
      <c r="R168" s="54">
        <v>0.82634348588741824</v>
      </c>
      <c r="S168" s="54">
        <v>0.3005880694465054</v>
      </c>
      <c r="T168" s="48">
        <v>0</v>
      </c>
      <c r="U168" s="56">
        <v>0</v>
      </c>
      <c r="V168" s="56">
        <f>1</f>
        <v>1</v>
      </c>
      <c r="W168" s="57">
        <v>0</v>
      </c>
      <c r="X168" s="58">
        <v>0</v>
      </c>
      <c r="Y168" s="58">
        <v>0.15758877440288419</v>
      </c>
      <c r="Z168" s="58">
        <v>0</v>
      </c>
      <c r="AA168" s="58">
        <v>0</v>
      </c>
    </row>
    <row r="169" spans="1:27" s="48" customFormat="1" x14ac:dyDescent="0.35">
      <c r="A169" s="54">
        <v>0</v>
      </c>
      <c r="B169" s="54">
        <v>0</v>
      </c>
      <c r="C169" s="54">
        <v>0.75291925000000004</v>
      </c>
      <c r="D169" s="54">
        <v>0.36900018678989388</v>
      </c>
      <c r="E169" s="54">
        <v>0</v>
      </c>
      <c r="F169" s="54">
        <v>0</v>
      </c>
      <c r="G169" s="54">
        <v>1</v>
      </c>
      <c r="H169" s="54">
        <v>0.68245451314546257</v>
      </c>
      <c r="I169" s="54">
        <v>0.87762855828220854</v>
      </c>
      <c r="J169" s="54">
        <v>0</v>
      </c>
      <c r="K169" s="54">
        <v>0</v>
      </c>
      <c r="L169" s="54">
        <v>0.34899999999999998</v>
      </c>
      <c r="M169" s="54">
        <v>0.50900000000000001</v>
      </c>
      <c r="N169" s="54">
        <v>0.63848288736776593</v>
      </c>
      <c r="O169" s="160">
        <v>0</v>
      </c>
      <c r="P169" s="54">
        <v>0.30094783290483418</v>
      </c>
      <c r="Q169" s="160">
        <v>0</v>
      </c>
      <c r="R169" s="160">
        <v>0.82634348588741824</v>
      </c>
      <c r="S169" s="48">
        <v>0.34166486125537915</v>
      </c>
      <c r="T169" s="56">
        <v>0</v>
      </c>
      <c r="U169" s="56">
        <v>0</v>
      </c>
      <c r="V169" s="57">
        <v>1</v>
      </c>
      <c r="W169" s="58">
        <v>0</v>
      </c>
      <c r="X169" s="58">
        <v>0.15758877440288419</v>
      </c>
      <c r="Y169" s="58">
        <v>0.15758877440288419</v>
      </c>
      <c r="Z169" s="58">
        <v>0</v>
      </c>
      <c r="AA169" s="48">
        <v>0</v>
      </c>
    </row>
    <row r="170" spans="1:27" s="48" customFormat="1" x14ac:dyDescent="0.35">
      <c r="A170" s="54"/>
      <c r="B170" s="54"/>
      <c r="C170" s="54"/>
      <c r="D170" s="54"/>
      <c r="E170" s="54"/>
      <c r="F170" s="54"/>
      <c r="G170" s="55"/>
      <c r="H170" s="55"/>
      <c r="I170" s="55"/>
      <c r="J170" s="54"/>
      <c r="K170" s="54"/>
      <c r="L170" s="54"/>
      <c r="M170" s="54"/>
      <c r="N170" s="54"/>
      <c r="O170" s="160"/>
      <c r="P170" s="54"/>
      <c r="Q170" s="160"/>
      <c r="R170" s="160"/>
      <c r="T170" s="59"/>
      <c r="U170" s="56"/>
      <c r="V170" s="57"/>
      <c r="W170" s="58"/>
      <c r="X170" s="58"/>
      <c r="Y170" s="58"/>
      <c r="Z170" s="58"/>
    </row>
    <row r="171" spans="1:27" x14ac:dyDescent="0.35">
      <c r="V171" s="60"/>
      <c r="Y171" s="61"/>
      <c r="Z171" s="61"/>
    </row>
    <row r="172" spans="1:27" x14ac:dyDescent="0.35">
      <c r="V172" s="60"/>
      <c r="Y172" s="61"/>
      <c r="Z172" s="61"/>
    </row>
    <row r="173" spans="1:27" x14ac:dyDescent="0.35">
      <c r="V173" s="60"/>
    </row>
    <row r="174" spans="1:27" x14ac:dyDescent="0.35">
      <c r="V174" s="60"/>
    </row>
    <row r="175" spans="1:27" x14ac:dyDescent="0.35">
      <c r="V175" s="60"/>
    </row>
    <row r="176" spans="1:27" x14ac:dyDescent="0.35">
      <c r="V176" s="60"/>
    </row>
    <row r="177" spans="22:22" x14ac:dyDescent="0.35">
      <c r="V177" s="60"/>
    </row>
    <row r="178" spans="22:22" x14ac:dyDescent="0.35">
      <c r="V178" s="60"/>
    </row>
    <row r="179" spans="22:22" x14ac:dyDescent="0.35">
      <c r="V179" s="60"/>
    </row>
    <row r="180" spans="22:22" x14ac:dyDescent="0.35">
      <c r="V180" s="60"/>
    </row>
    <row r="181" spans="22:22" x14ac:dyDescent="0.35">
      <c r="V181" s="60"/>
    </row>
    <row r="182" spans="22:22" x14ac:dyDescent="0.35">
      <c r="V182" s="60"/>
    </row>
    <row r="183" spans="22:22" x14ac:dyDescent="0.35">
      <c r="V183" s="60"/>
    </row>
    <row r="184" spans="22:22" x14ac:dyDescent="0.35">
      <c r="V184" s="60"/>
    </row>
    <row r="185" spans="22:22" x14ac:dyDescent="0.35">
      <c r="V185" s="60"/>
    </row>
    <row r="186" spans="22:22" x14ac:dyDescent="0.35">
      <c r="V186" s="60"/>
    </row>
    <row r="187" spans="22:22" x14ac:dyDescent="0.35">
      <c r="V187" s="60"/>
    </row>
    <row r="188" spans="22:22" x14ac:dyDescent="0.35">
      <c r="V188" s="60"/>
    </row>
    <row r="189" spans="22:22" x14ac:dyDescent="0.35">
      <c r="V189" s="60"/>
    </row>
    <row r="190" spans="22:22" x14ac:dyDescent="0.35">
      <c r="V190" s="60"/>
    </row>
    <row r="191" spans="22:22" x14ac:dyDescent="0.35">
      <c r="V191" s="60"/>
    </row>
    <row r="192" spans="22:22" x14ac:dyDescent="0.35">
      <c r="V192" s="60"/>
    </row>
    <row r="193" spans="22:22" x14ac:dyDescent="0.35">
      <c r="V193" s="60"/>
    </row>
    <row r="194" spans="22:22" x14ac:dyDescent="0.35">
      <c r="V194" s="60"/>
    </row>
    <row r="195" spans="22:22" x14ac:dyDescent="0.35">
      <c r="V195" s="60"/>
    </row>
    <row r="196" spans="22:22" x14ac:dyDescent="0.35">
      <c r="V196" s="60"/>
    </row>
    <row r="197" spans="22:22" x14ac:dyDescent="0.35">
      <c r="V197" s="60"/>
    </row>
    <row r="198" spans="22:22" x14ac:dyDescent="0.35">
      <c r="V198" s="60"/>
    </row>
    <row r="199" spans="22:22" x14ac:dyDescent="0.35">
      <c r="V199" s="60"/>
    </row>
    <row r="200" spans="22:22" x14ac:dyDescent="0.35">
      <c r="V200" s="60"/>
    </row>
    <row r="201" spans="22:22" x14ac:dyDescent="0.35">
      <c r="V201" s="60"/>
    </row>
    <row r="202" spans="22:22" x14ac:dyDescent="0.35">
      <c r="V202" s="60"/>
    </row>
    <row r="203" spans="22:22" x14ac:dyDescent="0.35">
      <c r="V203" s="60"/>
    </row>
    <row r="204" spans="22:22" x14ac:dyDescent="0.35">
      <c r="V204" s="60"/>
    </row>
    <row r="205" spans="22:22" x14ac:dyDescent="0.35">
      <c r="V205" s="60"/>
    </row>
    <row r="206" spans="22:22" x14ac:dyDescent="0.35">
      <c r="V206" s="60"/>
    </row>
    <row r="207" spans="22:22" x14ac:dyDescent="0.35">
      <c r="V207" s="60"/>
    </row>
    <row r="208" spans="22:22" x14ac:dyDescent="0.35">
      <c r="V208" s="60"/>
    </row>
    <row r="209" spans="22:22" x14ac:dyDescent="0.35">
      <c r="V209" s="60"/>
    </row>
    <row r="210" spans="22:22" x14ac:dyDescent="0.35">
      <c r="V210" s="60"/>
    </row>
    <row r="211" spans="22:22" x14ac:dyDescent="0.35">
      <c r="V211" s="60"/>
    </row>
    <row r="212" spans="22:22" x14ac:dyDescent="0.35">
      <c r="V212" s="60"/>
    </row>
    <row r="213" spans="22:22" x14ac:dyDescent="0.35">
      <c r="V213" s="60"/>
    </row>
    <row r="214" spans="22:22" x14ac:dyDescent="0.35">
      <c r="V214" s="60"/>
    </row>
    <row r="215" spans="22:22" x14ac:dyDescent="0.35">
      <c r="V215" s="60"/>
    </row>
    <row r="216" spans="22:22" x14ac:dyDescent="0.35">
      <c r="V216" s="60"/>
    </row>
    <row r="217" spans="22:22" x14ac:dyDescent="0.35">
      <c r="V217" s="60"/>
    </row>
    <row r="218" spans="22:22" x14ac:dyDescent="0.35">
      <c r="V218" s="60"/>
    </row>
    <row r="219" spans="22:22" x14ac:dyDescent="0.35">
      <c r="V219" s="60"/>
    </row>
    <row r="220" spans="22:22" x14ac:dyDescent="0.35">
      <c r="V220" s="60"/>
    </row>
    <row r="221" spans="22:22" x14ac:dyDescent="0.35">
      <c r="V221" s="60"/>
    </row>
    <row r="222" spans="22:22" x14ac:dyDescent="0.35">
      <c r="V222" s="60"/>
    </row>
    <row r="223" spans="22:22" x14ac:dyDescent="0.35">
      <c r="V223" s="60"/>
    </row>
    <row r="224" spans="22:22" x14ac:dyDescent="0.35">
      <c r="V224" s="60"/>
    </row>
    <row r="225" spans="22:22" x14ac:dyDescent="0.35">
      <c r="V225" s="60"/>
    </row>
    <row r="226" spans="22:22" x14ac:dyDescent="0.35">
      <c r="V226" s="60"/>
    </row>
    <row r="227" spans="22:22" x14ac:dyDescent="0.35">
      <c r="V227" s="60"/>
    </row>
    <row r="228" spans="22:22" x14ac:dyDescent="0.35">
      <c r="V228" s="60"/>
    </row>
    <row r="229" spans="22:22" x14ac:dyDescent="0.35">
      <c r="V229" s="60"/>
    </row>
    <row r="230" spans="22:22" x14ac:dyDescent="0.35">
      <c r="V230" s="60"/>
    </row>
    <row r="231" spans="22:22" x14ac:dyDescent="0.35">
      <c r="V231" s="60"/>
    </row>
    <row r="232" spans="22:22" x14ac:dyDescent="0.35">
      <c r="V232" s="60"/>
    </row>
    <row r="233" spans="22:22" x14ac:dyDescent="0.35">
      <c r="V233" s="60"/>
    </row>
    <row r="234" spans="22:22" x14ac:dyDescent="0.35">
      <c r="V234" s="60"/>
    </row>
    <row r="235" spans="22:22" x14ac:dyDescent="0.35">
      <c r="V235" s="60"/>
    </row>
    <row r="236" spans="22:22" x14ac:dyDescent="0.35">
      <c r="V236" s="60"/>
    </row>
    <row r="237" spans="22:22" x14ac:dyDescent="0.35">
      <c r="V237" s="60"/>
    </row>
    <row r="238" spans="22:22" x14ac:dyDescent="0.35">
      <c r="V238" s="60"/>
    </row>
    <row r="239" spans="22:22" x14ac:dyDescent="0.35">
      <c r="V239" s="60"/>
    </row>
    <row r="240" spans="22:22" x14ac:dyDescent="0.35">
      <c r="V240" s="60"/>
    </row>
    <row r="241" spans="22:22" x14ac:dyDescent="0.35">
      <c r="V241" s="60"/>
    </row>
    <row r="242" spans="22:22" x14ac:dyDescent="0.35">
      <c r="V242" s="60"/>
    </row>
    <row r="243" spans="22:22" x14ac:dyDescent="0.35">
      <c r="V243" s="60"/>
    </row>
    <row r="244" spans="22:22" x14ac:dyDescent="0.35">
      <c r="V244" s="60"/>
    </row>
    <row r="245" spans="22:22" x14ac:dyDescent="0.35">
      <c r="V245" s="60"/>
    </row>
    <row r="246" spans="22:22" x14ac:dyDescent="0.35">
      <c r="V246" s="60"/>
    </row>
    <row r="247" spans="22:22" x14ac:dyDescent="0.35">
      <c r="V247" s="60"/>
    </row>
    <row r="248" spans="22:22" x14ac:dyDescent="0.35">
      <c r="V248" s="60"/>
    </row>
    <row r="249" spans="22:22" x14ac:dyDescent="0.35">
      <c r="V249" s="60"/>
    </row>
    <row r="250" spans="22:22" x14ac:dyDescent="0.35">
      <c r="V250" s="60"/>
    </row>
    <row r="251" spans="22:22" x14ac:dyDescent="0.35">
      <c r="V251" s="60"/>
    </row>
    <row r="252" spans="22:22" x14ac:dyDescent="0.35">
      <c r="V252" s="60"/>
    </row>
    <row r="253" spans="22:22" x14ac:dyDescent="0.35">
      <c r="V253" s="60"/>
    </row>
    <row r="254" spans="22:22" x14ac:dyDescent="0.35">
      <c r="V254" s="60"/>
    </row>
    <row r="255" spans="22:22" x14ac:dyDescent="0.35">
      <c r="V255" s="60"/>
    </row>
    <row r="256" spans="22:22" x14ac:dyDescent="0.35">
      <c r="V256" s="60"/>
    </row>
    <row r="257" spans="22:22" x14ac:dyDescent="0.35">
      <c r="V257" s="60"/>
    </row>
    <row r="258" spans="22:22" x14ac:dyDescent="0.35">
      <c r="V258" s="60"/>
    </row>
    <row r="259" spans="22:22" x14ac:dyDescent="0.35">
      <c r="V259" s="60"/>
    </row>
    <row r="260" spans="22:22" x14ac:dyDescent="0.35">
      <c r="V260" s="60"/>
    </row>
    <row r="261" spans="22:22" x14ac:dyDescent="0.35">
      <c r="V261" s="60"/>
    </row>
    <row r="262" spans="22:22" x14ac:dyDescent="0.35">
      <c r="V262" s="60"/>
    </row>
    <row r="263" spans="22:22" x14ac:dyDescent="0.35">
      <c r="V263" s="60"/>
    </row>
    <row r="264" spans="22:22" x14ac:dyDescent="0.35">
      <c r="V264" s="60"/>
    </row>
    <row r="265" spans="22:22" x14ac:dyDescent="0.35">
      <c r="V265" s="60"/>
    </row>
    <row r="266" spans="22:22" x14ac:dyDescent="0.35">
      <c r="V266" s="60"/>
    </row>
    <row r="267" spans="22:22" x14ac:dyDescent="0.35">
      <c r="V267" s="60"/>
    </row>
    <row r="268" spans="22:22" x14ac:dyDescent="0.35">
      <c r="V268" s="60"/>
    </row>
    <row r="269" spans="22:22" x14ac:dyDescent="0.35">
      <c r="V269" s="60"/>
    </row>
    <row r="270" spans="22:22" x14ac:dyDescent="0.35">
      <c r="V270" s="60"/>
    </row>
    <row r="271" spans="22:22" x14ac:dyDescent="0.35">
      <c r="V271" s="60"/>
    </row>
    <row r="272" spans="22:22" x14ac:dyDescent="0.35">
      <c r="V272" s="60"/>
    </row>
    <row r="273" spans="22:22" x14ac:dyDescent="0.35">
      <c r="V273" s="60"/>
    </row>
    <row r="274" spans="22:22" x14ac:dyDescent="0.35">
      <c r="V274" s="60"/>
    </row>
    <row r="275" spans="22:22" x14ac:dyDescent="0.35">
      <c r="V275" s="60"/>
    </row>
    <row r="276" spans="22:22" x14ac:dyDescent="0.35">
      <c r="V276" s="60"/>
    </row>
    <row r="277" spans="22:22" x14ac:dyDescent="0.35">
      <c r="V277" s="60"/>
    </row>
    <row r="278" spans="22:22" x14ac:dyDescent="0.35">
      <c r="V278" s="60"/>
    </row>
    <row r="279" spans="22:22" x14ac:dyDescent="0.35">
      <c r="V279" s="60"/>
    </row>
    <row r="280" spans="22:22" x14ac:dyDescent="0.35">
      <c r="V280" s="60"/>
    </row>
    <row r="281" spans="22:22" x14ac:dyDescent="0.35">
      <c r="V281" s="60"/>
    </row>
    <row r="282" spans="22:22" x14ac:dyDescent="0.35">
      <c r="V282" s="60"/>
    </row>
    <row r="283" spans="22:22" x14ac:dyDescent="0.35">
      <c r="V283" s="60"/>
    </row>
    <row r="284" spans="22:22" x14ac:dyDescent="0.35">
      <c r="V284" s="60"/>
    </row>
    <row r="285" spans="22:22" x14ac:dyDescent="0.35">
      <c r="V285" s="60"/>
    </row>
    <row r="286" spans="22:22" x14ac:dyDescent="0.35">
      <c r="V286" s="60"/>
    </row>
    <row r="287" spans="22:22" x14ac:dyDescent="0.35">
      <c r="V287" s="60"/>
    </row>
    <row r="288" spans="22:22" x14ac:dyDescent="0.35">
      <c r="V288" s="60"/>
    </row>
    <row r="289" spans="22:22" x14ac:dyDescent="0.35">
      <c r="V289" s="60"/>
    </row>
    <row r="290" spans="22:22" x14ac:dyDescent="0.35">
      <c r="V290" s="60"/>
    </row>
    <row r="291" spans="22:22" x14ac:dyDescent="0.35">
      <c r="V291" s="60"/>
    </row>
    <row r="292" spans="22:22" x14ac:dyDescent="0.35">
      <c r="V292" s="60"/>
    </row>
    <row r="293" spans="22:22" x14ac:dyDescent="0.35">
      <c r="V293" s="60"/>
    </row>
    <row r="294" spans="22:22" x14ac:dyDescent="0.35">
      <c r="V294" s="60"/>
    </row>
    <row r="295" spans="22:22" x14ac:dyDescent="0.35">
      <c r="V295" s="60"/>
    </row>
    <row r="296" spans="22:22" x14ac:dyDescent="0.35">
      <c r="V296" s="60"/>
    </row>
    <row r="297" spans="22:22" x14ac:dyDescent="0.35">
      <c r="V297" s="60"/>
    </row>
    <row r="298" spans="22:22" x14ac:dyDescent="0.35">
      <c r="V298" s="60"/>
    </row>
    <row r="299" spans="22:22" x14ac:dyDescent="0.35">
      <c r="V299" s="60"/>
    </row>
    <row r="300" spans="22:22" x14ac:dyDescent="0.35">
      <c r="V300" s="60"/>
    </row>
    <row r="301" spans="22:22" x14ac:dyDescent="0.35">
      <c r="V301" s="60"/>
    </row>
    <row r="302" spans="22:22" x14ac:dyDescent="0.35">
      <c r="V302" s="60"/>
    </row>
    <row r="303" spans="22:22" x14ac:dyDescent="0.35">
      <c r="V303" s="60"/>
    </row>
    <row r="304" spans="22:22" x14ac:dyDescent="0.35">
      <c r="V304" s="60"/>
    </row>
    <row r="305" spans="22:22" x14ac:dyDescent="0.35">
      <c r="V305" s="60"/>
    </row>
    <row r="306" spans="22:22" x14ac:dyDescent="0.35">
      <c r="V306" s="60"/>
    </row>
    <row r="307" spans="22:22" x14ac:dyDescent="0.35">
      <c r="V307" s="60"/>
    </row>
    <row r="308" spans="22:22" x14ac:dyDescent="0.35">
      <c r="V308" s="60"/>
    </row>
    <row r="309" spans="22:22" x14ac:dyDescent="0.35">
      <c r="V309" s="60"/>
    </row>
    <row r="310" spans="22:22" x14ac:dyDescent="0.35">
      <c r="V310" s="60"/>
    </row>
    <row r="311" spans="22:22" x14ac:dyDescent="0.35">
      <c r="V311" s="60"/>
    </row>
    <row r="312" spans="22:22" x14ac:dyDescent="0.35">
      <c r="V312" s="60"/>
    </row>
    <row r="313" spans="22:22" x14ac:dyDescent="0.35">
      <c r="V313" s="60"/>
    </row>
    <row r="314" spans="22:22" x14ac:dyDescent="0.35">
      <c r="V314" s="60"/>
    </row>
    <row r="315" spans="22:22" x14ac:dyDescent="0.35">
      <c r="V315" s="60"/>
    </row>
    <row r="316" spans="22:22" x14ac:dyDescent="0.35">
      <c r="V316" s="60"/>
    </row>
    <row r="317" spans="22:22" x14ac:dyDescent="0.35">
      <c r="V317" s="60"/>
    </row>
    <row r="318" spans="22:22" x14ac:dyDescent="0.35">
      <c r="V318" s="60"/>
    </row>
    <row r="319" spans="22:22" x14ac:dyDescent="0.35">
      <c r="V319" s="60"/>
    </row>
    <row r="320" spans="22:22" x14ac:dyDescent="0.35">
      <c r="V320" s="60"/>
    </row>
    <row r="321" spans="22:22" x14ac:dyDescent="0.35">
      <c r="V321" s="60"/>
    </row>
    <row r="322" spans="22:22" x14ac:dyDescent="0.35">
      <c r="V322" s="60"/>
    </row>
    <row r="323" spans="22:22" x14ac:dyDescent="0.35">
      <c r="V323" s="60"/>
    </row>
    <row r="324" spans="22:22" x14ac:dyDescent="0.35">
      <c r="V324" s="60"/>
    </row>
    <row r="325" spans="22:22" x14ac:dyDescent="0.35">
      <c r="V325" s="60"/>
    </row>
    <row r="326" spans="22:22" x14ac:dyDescent="0.35">
      <c r="V326" s="60"/>
    </row>
    <row r="327" spans="22:22" x14ac:dyDescent="0.35">
      <c r="V327" s="60"/>
    </row>
    <row r="328" spans="22:22" x14ac:dyDescent="0.35">
      <c r="V328" s="60"/>
    </row>
    <row r="329" spans="22:22" x14ac:dyDescent="0.35">
      <c r="V329" s="60"/>
    </row>
    <row r="330" spans="22:22" x14ac:dyDescent="0.35">
      <c r="V330" s="60"/>
    </row>
    <row r="331" spans="22:22" x14ac:dyDescent="0.35">
      <c r="V331" s="60"/>
    </row>
    <row r="332" spans="22:22" x14ac:dyDescent="0.35">
      <c r="V332" s="60"/>
    </row>
    <row r="333" spans="22:22" x14ac:dyDescent="0.35">
      <c r="V333" s="60"/>
    </row>
    <row r="334" spans="22:22" x14ac:dyDescent="0.35">
      <c r="V334" s="60"/>
    </row>
    <row r="335" spans="22:22" x14ac:dyDescent="0.35">
      <c r="V335" s="60"/>
    </row>
    <row r="336" spans="22:22" x14ac:dyDescent="0.35">
      <c r="V336" s="60"/>
    </row>
    <row r="337" spans="22:22" x14ac:dyDescent="0.35">
      <c r="V337" s="60"/>
    </row>
    <row r="338" spans="22:22" x14ac:dyDescent="0.35">
      <c r="V338" s="60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dimension ref="A1:FO8762"/>
  <sheetViews>
    <sheetView topLeftCell="EU1" zoomScale="85" zoomScaleNormal="85" workbookViewId="0">
      <selection activeCell="FD16" sqref="FD16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37" customWidth="1"/>
    <col min="59" max="145" width="10.90625" style="5"/>
    <col min="146" max="146" width="23.1796875" style="5" bestFit="1" customWidth="1"/>
    <col min="147" max="147" width="10.90625" style="5"/>
    <col min="148" max="148" width="21.6328125" style="37" bestFit="1" customWidth="1"/>
    <col min="149" max="149" width="14.7265625" style="37" customWidth="1"/>
    <col min="150" max="150" width="11.81640625" style="37" bestFit="1" customWidth="1"/>
    <col min="151" max="151" width="21.6328125" style="37" bestFit="1" customWidth="1"/>
    <col min="152" max="152" width="14.7265625" style="37" customWidth="1"/>
    <col min="153" max="153" width="11.81640625" style="37" bestFit="1" customWidth="1"/>
    <col min="154" max="154" width="10.90625" style="5"/>
    <col min="155" max="155" width="14.81640625" style="37" bestFit="1" customWidth="1"/>
    <col min="156" max="156" width="13.453125" style="37" bestFit="1" customWidth="1"/>
    <col min="157" max="157" width="13.7265625" style="37" bestFit="1" customWidth="1"/>
    <col min="158" max="158" width="13.6328125" style="37" customWidth="1"/>
    <col min="159" max="159" width="13.7265625" style="37" bestFit="1" customWidth="1"/>
    <col min="160" max="160" width="12.90625" style="5" customWidth="1"/>
    <col min="161" max="161" width="10.90625" style="2"/>
    <col min="162" max="162" width="26.1796875" style="37" bestFit="1" customWidth="1"/>
    <col min="163" max="163" width="20.7265625" style="37" customWidth="1"/>
    <col min="164" max="164" width="10.90625" style="37"/>
    <col min="165" max="165" width="19.81640625" style="37" customWidth="1"/>
    <col min="166" max="166" width="13.7265625" style="37" bestFit="1" customWidth="1"/>
    <col min="167" max="169" width="10.90625" style="5"/>
    <col min="170" max="170" width="13.6328125" style="5" bestFit="1" customWidth="1"/>
    <col min="171" max="16384" width="10.90625" style="5"/>
  </cols>
  <sheetData>
    <row r="1" spans="1:171" ht="32.5" x14ac:dyDescent="0.75">
      <c r="A1" s="62" t="s">
        <v>141</v>
      </c>
      <c r="D1" s="185" t="s">
        <v>171</v>
      </c>
      <c r="E1" s="185"/>
      <c r="F1" s="47"/>
      <c r="I1" s="185" t="s">
        <v>172</v>
      </c>
      <c r="J1" s="185"/>
      <c r="L1" s="185" t="s">
        <v>173</v>
      </c>
      <c r="M1" s="185"/>
      <c r="P1" s="66" t="s">
        <v>174</v>
      </c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F1" s="66" t="s">
        <v>175</v>
      </c>
      <c r="AH1" s="63"/>
      <c r="AI1" s="66"/>
      <c r="AJ1" s="37"/>
      <c r="AK1" s="37"/>
      <c r="AL1" s="37"/>
      <c r="AN1" s="63"/>
      <c r="AO1" s="37"/>
      <c r="AP1" s="37"/>
      <c r="AQ1" s="66"/>
      <c r="AR1" s="63"/>
      <c r="AS1" s="37"/>
      <c r="AT1" s="37"/>
      <c r="AV1" s="67" t="s">
        <v>176</v>
      </c>
      <c r="AW1" s="37"/>
      <c r="AX1" s="37"/>
      <c r="AY1" s="37"/>
      <c r="AZ1" s="37"/>
      <c r="BA1" s="37"/>
      <c r="BC1" s="67" t="s">
        <v>177</v>
      </c>
      <c r="BD1" s="37"/>
      <c r="BF1" s="67" t="s">
        <v>178</v>
      </c>
      <c r="BK1" s="68"/>
      <c r="BO1" s="68"/>
      <c r="BT1" s="69" t="s">
        <v>179</v>
      </c>
      <c r="BU1" s="69"/>
      <c r="BW1" s="69"/>
      <c r="BY1" s="69"/>
      <c r="CA1" s="70" t="s">
        <v>180</v>
      </c>
      <c r="CC1" s="69"/>
      <c r="CE1" s="69"/>
      <c r="CG1" s="69"/>
      <c r="CI1" s="69"/>
      <c r="CL1" s="69" t="s">
        <v>181</v>
      </c>
      <c r="CM1" s="69"/>
      <c r="CO1" s="69"/>
      <c r="CQ1" s="69"/>
      <c r="CS1" s="70" t="s">
        <v>182</v>
      </c>
      <c r="CU1" s="69"/>
      <c r="CW1" s="69"/>
      <c r="CY1" s="69"/>
      <c r="DA1" s="69"/>
      <c r="DD1" s="69" t="s">
        <v>183</v>
      </c>
      <c r="DE1" s="37"/>
      <c r="DF1" s="37"/>
      <c r="DG1" s="37"/>
      <c r="DH1" s="37"/>
      <c r="DI1" s="37"/>
      <c r="DJ1" s="37"/>
      <c r="DL1" s="71"/>
      <c r="DM1" s="69" t="s">
        <v>184</v>
      </c>
      <c r="DN1" s="37"/>
      <c r="DO1" s="37"/>
      <c r="DP1" s="37"/>
      <c r="DQ1" s="37"/>
      <c r="DR1" s="37"/>
      <c r="DS1" s="37"/>
      <c r="DT1" s="37"/>
      <c r="DU1" s="37"/>
      <c r="DV1" s="2"/>
      <c r="DW1" s="69" t="s">
        <v>185</v>
      </c>
      <c r="EA1" s="69"/>
      <c r="EB1" s="69"/>
      <c r="EC1" s="69"/>
      <c r="ED1" s="69"/>
      <c r="EE1" s="69"/>
      <c r="EG1" s="69"/>
      <c r="EI1" s="69"/>
      <c r="EL1" s="37"/>
      <c r="EM1" s="37"/>
      <c r="EN1" s="37"/>
      <c r="EO1" s="5" t="s">
        <v>186</v>
      </c>
      <c r="EP1" s="5" t="s">
        <v>187</v>
      </c>
      <c r="ER1" s="69" t="s">
        <v>289</v>
      </c>
      <c r="EU1" s="161"/>
      <c r="EY1" s="69" t="s">
        <v>297</v>
      </c>
      <c r="FB1" s="69"/>
      <c r="FE1" s="5"/>
      <c r="FF1" s="69" t="s">
        <v>298</v>
      </c>
      <c r="FI1" s="69"/>
    </row>
    <row r="2" spans="1:171" x14ac:dyDescent="0.35">
      <c r="A2" s="186" t="s">
        <v>141</v>
      </c>
      <c r="B2" s="187"/>
      <c r="C2" s="71"/>
      <c r="D2" s="72" t="s">
        <v>188</v>
      </c>
      <c r="E2" s="72">
        <v>24559.65</v>
      </c>
      <c r="F2" s="184">
        <v>21481.30910721</v>
      </c>
      <c r="G2" s="5">
        <f>F2/E2</f>
        <v>0.8746586008843773</v>
      </c>
      <c r="I2" s="72" t="s">
        <v>189</v>
      </c>
      <c r="J2" s="72">
        <v>1357</v>
      </c>
      <c r="K2" s="71"/>
      <c r="L2" s="72" t="s">
        <v>190</v>
      </c>
      <c r="M2" s="72">
        <v>414</v>
      </c>
      <c r="N2" s="71"/>
      <c r="O2" s="71"/>
      <c r="P2" s="73" t="s">
        <v>140</v>
      </c>
      <c r="Q2" s="74" t="s">
        <v>147</v>
      </c>
      <c r="R2" s="75" t="s">
        <v>154</v>
      </c>
      <c r="S2" s="76" t="s">
        <v>153</v>
      </c>
      <c r="T2" s="75" t="s">
        <v>154</v>
      </c>
      <c r="U2" s="76" t="s">
        <v>191</v>
      </c>
      <c r="V2" s="75" t="s">
        <v>154</v>
      </c>
      <c r="W2" s="73" t="s">
        <v>148</v>
      </c>
      <c r="X2" s="77" t="s">
        <v>154</v>
      </c>
      <c r="Y2" s="73" t="s">
        <v>155</v>
      </c>
      <c r="Z2" s="77" t="s">
        <v>192</v>
      </c>
      <c r="AA2" s="73" t="s">
        <v>193</v>
      </c>
      <c r="AB2" s="78" t="s">
        <v>154</v>
      </c>
      <c r="AC2" s="73" t="s">
        <v>194</v>
      </c>
      <c r="AD2" s="78" t="s">
        <v>154</v>
      </c>
      <c r="AE2" s="71"/>
      <c r="AF2" s="73" t="s">
        <v>140</v>
      </c>
      <c r="AG2" s="79" t="s">
        <v>195</v>
      </c>
      <c r="AH2" s="80" t="s">
        <v>196</v>
      </c>
      <c r="AI2" s="79" t="s">
        <v>197</v>
      </c>
      <c r="AJ2" s="81" t="s">
        <v>198</v>
      </c>
      <c r="AK2" s="82" t="s">
        <v>199</v>
      </c>
      <c r="AL2" s="81" t="s">
        <v>200</v>
      </c>
      <c r="AM2" s="79" t="s">
        <v>157</v>
      </c>
      <c r="AN2" s="83" t="s">
        <v>158</v>
      </c>
      <c r="AO2" s="84" t="s">
        <v>199</v>
      </c>
      <c r="AP2" s="85" t="s">
        <v>198</v>
      </c>
      <c r="AQ2" s="79" t="s">
        <v>201</v>
      </c>
      <c r="AR2" s="80" t="s">
        <v>202</v>
      </c>
      <c r="AS2" s="86" t="s">
        <v>198</v>
      </c>
      <c r="AT2" s="87" t="s">
        <v>203</v>
      </c>
      <c r="AU2" s="71"/>
      <c r="AV2" s="74" t="s">
        <v>165</v>
      </c>
      <c r="AW2" s="75" t="s">
        <v>154</v>
      </c>
      <c r="AX2" s="74" t="s">
        <v>168</v>
      </c>
      <c r="AY2" s="77" t="s">
        <v>154</v>
      </c>
      <c r="AZ2" s="74" t="s">
        <v>204</v>
      </c>
      <c r="BA2" s="78" t="s">
        <v>154</v>
      </c>
      <c r="BB2" s="71"/>
      <c r="BC2" s="79" t="s">
        <v>205</v>
      </c>
      <c r="BD2" s="78" t="s">
        <v>154</v>
      </c>
      <c r="BE2" s="71" t="s">
        <v>108</v>
      </c>
      <c r="BF2" s="155" t="s">
        <v>206</v>
      </c>
      <c r="BG2" s="79" t="s">
        <v>207</v>
      </c>
      <c r="BH2" s="89" t="s">
        <v>208</v>
      </c>
      <c r="BI2" s="90" t="s">
        <v>209</v>
      </c>
      <c r="BJ2" s="91" t="s">
        <v>210</v>
      </c>
      <c r="BK2" s="88" t="s">
        <v>211</v>
      </c>
      <c r="BL2" s="79" t="s">
        <v>212</v>
      </c>
      <c r="BM2" s="89" t="s">
        <v>213</v>
      </c>
      <c r="BN2" s="88" t="s">
        <v>214</v>
      </c>
      <c r="BO2" s="92" t="s">
        <v>209</v>
      </c>
      <c r="BP2" s="93" t="s">
        <v>210</v>
      </c>
      <c r="BQ2" s="94" t="s">
        <v>215</v>
      </c>
      <c r="BR2" s="94" t="s">
        <v>216</v>
      </c>
      <c r="BS2" s="71"/>
      <c r="BT2" s="95" t="s">
        <v>217</v>
      </c>
      <c r="BU2" s="94" t="s">
        <v>217</v>
      </c>
      <c r="BV2" s="95" t="s">
        <v>218</v>
      </c>
      <c r="BW2" s="94" t="s">
        <v>218</v>
      </c>
      <c r="BX2" s="95" t="s">
        <v>219</v>
      </c>
      <c r="BY2" s="94" t="s">
        <v>218</v>
      </c>
      <c r="BZ2" s="95" t="s">
        <v>220</v>
      </c>
      <c r="CA2" s="94" t="s">
        <v>218</v>
      </c>
      <c r="CB2" s="95" t="s">
        <v>221</v>
      </c>
      <c r="CC2" s="94" t="s">
        <v>218</v>
      </c>
      <c r="CD2" s="95" t="s">
        <v>222</v>
      </c>
      <c r="CE2" s="94" t="s">
        <v>218</v>
      </c>
      <c r="CF2" s="95" t="s">
        <v>223</v>
      </c>
      <c r="CG2" s="94" t="s">
        <v>218</v>
      </c>
      <c r="CH2" s="95" t="s">
        <v>224</v>
      </c>
      <c r="CI2" s="96" t="s">
        <v>218</v>
      </c>
      <c r="CJ2" s="97" t="s">
        <v>225</v>
      </c>
      <c r="CK2" s="71"/>
      <c r="CL2" s="95" t="s">
        <v>217</v>
      </c>
      <c r="CM2" s="94" t="s">
        <v>217</v>
      </c>
      <c r="CN2" s="95" t="s">
        <v>218</v>
      </c>
      <c r="CO2" s="94" t="s">
        <v>218</v>
      </c>
      <c r="CP2" s="95" t="s">
        <v>219</v>
      </c>
      <c r="CQ2" s="94" t="s">
        <v>218</v>
      </c>
      <c r="CR2" s="95" t="s">
        <v>220</v>
      </c>
      <c r="CS2" s="94" t="s">
        <v>218</v>
      </c>
      <c r="CT2" s="95" t="s">
        <v>221</v>
      </c>
      <c r="CU2" s="94" t="s">
        <v>218</v>
      </c>
      <c r="CV2" s="95" t="s">
        <v>222</v>
      </c>
      <c r="CW2" s="94" t="s">
        <v>218</v>
      </c>
      <c r="CX2" s="95" t="s">
        <v>223</v>
      </c>
      <c r="CY2" s="94" t="s">
        <v>218</v>
      </c>
      <c r="CZ2" s="95" t="s">
        <v>224</v>
      </c>
      <c r="DA2" s="96" t="s">
        <v>218</v>
      </c>
      <c r="DB2" s="97" t="s">
        <v>226</v>
      </c>
      <c r="DC2" s="71"/>
      <c r="DD2" s="79" t="s">
        <v>227</v>
      </c>
      <c r="DE2" s="79" t="s">
        <v>228</v>
      </c>
      <c r="DF2" s="79" t="s">
        <v>229</v>
      </c>
      <c r="DG2" s="90" t="s">
        <v>230</v>
      </c>
      <c r="DH2" s="92" t="s">
        <v>231</v>
      </c>
      <c r="DI2" s="79" t="s">
        <v>232</v>
      </c>
      <c r="DJ2" s="79" t="s">
        <v>233</v>
      </c>
      <c r="DK2" s="98" t="s">
        <v>234</v>
      </c>
      <c r="DL2" s="71"/>
      <c r="DM2" s="79" t="s">
        <v>235</v>
      </c>
      <c r="DN2" s="79" t="s">
        <v>236</v>
      </c>
      <c r="DO2" s="90" t="s">
        <v>237</v>
      </c>
      <c r="DP2" s="92" t="s">
        <v>238</v>
      </c>
      <c r="DQ2" s="79" t="s">
        <v>239</v>
      </c>
      <c r="DR2" s="79" t="s">
        <v>240</v>
      </c>
      <c r="DS2" s="99" t="s">
        <v>241</v>
      </c>
      <c r="DT2" s="99" t="s">
        <v>242</v>
      </c>
      <c r="DU2" s="99" t="s">
        <v>243</v>
      </c>
      <c r="DV2" s="71"/>
      <c r="DW2" s="19" t="s">
        <v>244</v>
      </c>
      <c r="DX2" s="19" t="s">
        <v>245</v>
      </c>
      <c r="DY2" s="100" t="s">
        <v>246</v>
      </c>
      <c r="DZ2" s="101" t="s">
        <v>247</v>
      </c>
      <c r="EA2" s="19" t="s">
        <v>248</v>
      </c>
      <c r="EB2" s="19" t="s">
        <v>249</v>
      </c>
      <c r="EC2" s="101" t="s">
        <v>250</v>
      </c>
      <c r="ED2" s="100" t="s">
        <v>251</v>
      </c>
      <c r="EE2" s="101" t="s">
        <v>252</v>
      </c>
      <c r="EF2" s="100" t="s">
        <v>253</v>
      </c>
      <c r="EG2" s="101" t="s">
        <v>254</v>
      </c>
      <c r="EH2" s="100" t="s">
        <v>255</v>
      </c>
      <c r="EI2" s="19" t="s">
        <v>244</v>
      </c>
      <c r="EJ2" s="19" t="s">
        <v>245</v>
      </c>
      <c r="EK2" s="102" t="s">
        <v>249</v>
      </c>
      <c r="EL2" s="103" t="s">
        <v>256</v>
      </c>
      <c r="EM2" s="104" t="s">
        <v>257</v>
      </c>
      <c r="EN2" s="102" t="s">
        <v>240</v>
      </c>
      <c r="EO2" s="105" t="s">
        <v>185</v>
      </c>
      <c r="EP2" s="105" t="s">
        <v>258</v>
      </c>
      <c r="EQ2" s="71"/>
      <c r="ER2" s="155" t="s">
        <v>306</v>
      </c>
      <c r="ES2" s="155" t="s">
        <v>294</v>
      </c>
      <c r="ET2" s="154" t="s">
        <v>290</v>
      </c>
      <c r="EU2" s="155" t="s">
        <v>189</v>
      </c>
      <c r="EV2" s="155" t="s">
        <v>305</v>
      </c>
      <c r="EW2" s="159" t="s">
        <v>291</v>
      </c>
      <c r="EY2" s="102" t="s">
        <v>277</v>
      </c>
      <c r="EZ2" s="102" t="s">
        <v>272</v>
      </c>
      <c r="FA2" s="154" t="s">
        <v>299</v>
      </c>
      <c r="FB2" s="102" t="s">
        <v>295</v>
      </c>
      <c r="FC2" s="159" t="s">
        <v>300</v>
      </c>
      <c r="FE2" s="5"/>
      <c r="FF2" s="102" t="s">
        <v>275</v>
      </c>
      <c r="FG2" s="102" t="s">
        <v>279</v>
      </c>
      <c r="FH2" s="154" t="s">
        <v>299</v>
      </c>
      <c r="FI2" s="102" t="s">
        <v>296</v>
      </c>
      <c r="FJ2" s="159" t="s">
        <v>300</v>
      </c>
      <c r="FL2" s="173" t="s">
        <v>307</v>
      </c>
      <c r="FM2" s="174" t="s">
        <v>299</v>
      </c>
      <c r="FN2" s="173" t="s">
        <v>264</v>
      </c>
      <c r="FO2" s="175" t="s">
        <v>300</v>
      </c>
    </row>
    <row r="3" spans="1:171" x14ac:dyDescent="0.35">
      <c r="A3" s="106" t="s">
        <v>144</v>
      </c>
      <c r="B3" s="107">
        <v>83000</v>
      </c>
      <c r="D3" s="108" t="s">
        <v>259</v>
      </c>
      <c r="E3" s="108">
        <v>4207.0280000000002</v>
      </c>
      <c r="I3" s="108" t="s">
        <v>260</v>
      </c>
      <c r="J3" s="108">
        <v>468.99599999999998</v>
      </c>
      <c r="L3" s="108" t="s">
        <v>205</v>
      </c>
      <c r="M3" s="108">
        <v>69619.971000000005</v>
      </c>
      <c r="P3" s="64">
        <v>1</v>
      </c>
      <c r="Q3" s="109">
        <v>0</v>
      </c>
      <c r="R3" s="110">
        <v>0</v>
      </c>
      <c r="S3" s="111">
        <v>0</v>
      </c>
      <c r="T3" s="110">
        <v>0</v>
      </c>
      <c r="U3" s="111">
        <v>0</v>
      </c>
      <c r="V3" s="110">
        <v>0</v>
      </c>
      <c r="W3" s="111">
        <v>0</v>
      </c>
      <c r="X3" s="110">
        <v>0</v>
      </c>
      <c r="Y3" s="111">
        <v>0</v>
      </c>
      <c r="Z3" s="110">
        <v>0</v>
      </c>
      <c r="AA3" s="111">
        <v>0</v>
      </c>
      <c r="AB3" s="110">
        <v>0</v>
      </c>
      <c r="AC3" s="111">
        <v>0</v>
      </c>
      <c r="AD3" s="110">
        <v>0</v>
      </c>
      <c r="AF3" s="64">
        <v>1</v>
      </c>
      <c r="AG3" s="109">
        <v>24474.945</v>
      </c>
      <c r="AH3" s="111">
        <v>1267.3</v>
      </c>
      <c r="AI3" s="109">
        <v>275.5</v>
      </c>
      <c r="AJ3" s="59">
        <v>0.27499999999999997</v>
      </c>
      <c r="AK3" s="59">
        <v>0.55099999999999993</v>
      </c>
      <c r="AL3" s="59">
        <v>0.55100000000000005</v>
      </c>
      <c r="AM3" s="110">
        <v>85.272000000000006</v>
      </c>
      <c r="AN3" s="111">
        <v>1385.5884000000001</v>
      </c>
      <c r="AO3" s="59">
        <v>0.13200000000000001</v>
      </c>
      <c r="AP3" s="55">
        <v>0.11900000000000001</v>
      </c>
      <c r="AQ3" s="109">
        <v>15208.6</v>
      </c>
      <c r="AR3" s="111">
        <v>13568.55</v>
      </c>
      <c r="AS3" s="59">
        <v>0.34100000000000003</v>
      </c>
      <c r="AT3" s="55">
        <v>0.57799999999999996</v>
      </c>
      <c r="AU3" s="43"/>
      <c r="AV3" s="109">
        <v>662.45600000000002</v>
      </c>
      <c r="AW3" s="110">
        <v>0.2690001867898939</v>
      </c>
      <c r="AX3" s="109">
        <v>863.94200000000001</v>
      </c>
      <c r="AY3" s="110">
        <v>0.53761169881767268</v>
      </c>
      <c r="AZ3" s="109">
        <v>1121.4780000000001</v>
      </c>
      <c r="BA3" s="110">
        <v>0.5784392407674851</v>
      </c>
      <c r="BB3" s="43"/>
      <c r="BC3" s="112">
        <v>51358.995000000003</v>
      </c>
      <c r="BD3" s="110">
        <v>0.73770491803278682</v>
      </c>
      <c r="BE3" s="43"/>
      <c r="BF3" s="157">
        <v>10455.164000000001</v>
      </c>
      <c r="BG3" s="43">
        <v>0</v>
      </c>
      <c r="BH3" s="113">
        <v>0</v>
      </c>
      <c r="BI3" s="114">
        <v>0.32071055214723926</v>
      </c>
      <c r="BJ3" s="115">
        <v>0</v>
      </c>
      <c r="BK3" s="113">
        <v>0</v>
      </c>
      <c r="BL3" s="113">
        <v>0</v>
      </c>
      <c r="BM3" s="113">
        <v>0</v>
      </c>
      <c r="BN3" s="113">
        <v>1409.6679999999999</v>
      </c>
      <c r="BO3" s="114">
        <v>0.10459029529603799</v>
      </c>
      <c r="BP3" s="115">
        <v>0</v>
      </c>
      <c r="BQ3" s="43">
        <v>7668</v>
      </c>
      <c r="BR3" s="43">
        <v>648.91951976999997</v>
      </c>
      <c r="BS3" s="43"/>
      <c r="BT3" s="116">
        <v>-700</v>
      </c>
      <c r="BU3" s="43">
        <v>0</v>
      </c>
      <c r="BV3" s="43">
        <v>4485</v>
      </c>
      <c r="BW3" s="43">
        <v>4485</v>
      </c>
      <c r="BX3" s="43">
        <v>0</v>
      </c>
      <c r="BY3" s="43">
        <v>0</v>
      </c>
      <c r="BZ3" s="43">
        <v>-5000</v>
      </c>
      <c r="CA3" s="43">
        <v>0</v>
      </c>
      <c r="CB3" s="43">
        <v>-716.91476567999996</v>
      </c>
      <c r="CC3" s="43">
        <v>0</v>
      </c>
      <c r="CD3" s="43">
        <v>-4000</v>
      </c>
      <c r="CE3" s="43">
        <v>0</v>
      </c>
      <c r="CF3" s="43">
        <v>4800</v>
      </c>
      <c r="CG3" s="43">
        <v>4800</v>
      </c>
      <c r="CH3" s="43">
        <v>14492.933186640001</v>
      </c>
      <c r="CI3" s="43">
        <v>14492.933186640001</v>
      </c>
      <c r="CJ3" s="114">
        <v>23777.933186640003</v>
      </c>
      <c r="CK3" s="43"/>
      <c r="CL3" s="116">
        <v>-700</v>
      </c>
      <c r="CM3" s="43">
        <v>700</v>
      </c>
      <c r="CN3" s="43">
        <v>4485</v>
      </c>
      <c r="CO3" s="43">
        <v>0</v>
      </c>
      <c r="CP3" s="43">
        <v>0</v>
      </c>
      <c r="CQ3" s="43">
        <v>0</v>
      </c>
      <c r="CR3" s="43">
        <v>-5000</v>
      </c>
      <c r="CS3" s="43">
        <v>5000</v>
      </c>
      <c r="CT3" s="43">
        <v>-716.91476567999996</v>
      </c>
      <c r="CU3" s="43">
        <v>716.91476567999996</v>
      </c>
      <c r="CV3" s="43">
        <v>-4000</v>
      </c>
      <c r="CW3" s="43">
        <v>4000</v>
      </c>
      <c r="CX3" s="43">
        <v>4800</v>
      </c>
      <c r="CY3" s="43">
        <v>0</v>
      </c>
      <c r="CZ3" s="43">
        <v>14492.933186640001</v>
      </c>
      <c r="DA3" s="43">
        <v>0</v>
      </c>
      <c r="DB3" s="114">
        <v>10416.91476568</v>
      </c>
      <c r="DC3" s="43"/>
      <c r="DD3" s="117">
        <v>29610.762999999999</v>
      </c>
      <c r="DE3" s="55">
        <v>2130.9360000000001</v>
      </c>
      <c r="DF3" s="59">
        <v>1169.3201031276001</v>
      </c>
      <c r="DG3" s="59">
        <v>32911.019103127597</v>
      </c>
      <c r="DH3" s="117">
        <v>7726.7179999999998</v>
      </c>
      <c r="DI3" s="117">
        <v>52192.411</v>
      </c>
      <c r="DJ3" s="55">
        <v>6163</v>
      </c>
      <c r="DK3" s="114">
        <v>58355.411</v>
      </c>
      <c r="DL3" s="43"/>
      <c r="DM3" s="117">
        <v>719.88800000000003</v>
      </c>
      <c r="DN3" s="55">
        <v>10493.065843074541</v>
      </c>
      <c r="DO3" s="55">
        <v>11212.953843074542</v>
      </c>
      <c r="DP3" s="59">
        <v>1194.729528534212</v>
      </c>
      <c r="DQ3" s="59">
        <v>2899.4800998655778</v>
      </c>
      <c r="DR3" s="59">
        <v>461.65552213000001</v>
      </c>
      <c r="DS3" s="55">
        <v>3361.1356219955778</v>
      </c>
      <c r="DT3" s="55">
        <v>161.08222777030991</v>
      </c>
      <c r="DU3" s="55">
        <v>161.08222777030991</v>
      </c>
      <c r="DW3" s="118">
        <v>0</v>
      </c>
      <c r="DX3" s="119">
        <v>6779.6610170000004</v>
      </c>
      <c r="DY3" s="120">
        <v>1447.7400829999999</v>
      </c>
      <c r="DZ3" s="120">
        <v>0</v>
      </c>
      <c r="EA3" s="121">
        <v>0</v>
      </c>
      <c r="EB3" s="122">
        <v>1553.672292</v>
      </c>
      <c r="EC3" s="121">
        <v>0</v>
      </c>
      <c r="ED3" s="122">
        <v>1271.1864410000001</v>
      </c>
      <c r="EE3" s="118">
        <v>0</v>
      </c>
      <c r="EF3" s="119">
        <v>847.5</v>
      </c>
      <c r="EG3" s="118">
        <v>0</v>
      </c>
      <c r="EH3" s="119">
        <v>7397.5988710000001</v>
      </c>
      <c r="EI3" s="118">
        <v>0</v>
      </c>
      <c r="EJ3" s="119">
        <v>6779.6610170000004</v>
      </c>
      <c r="EK3" s="123">
        <v>1553.672292</v>
      </c>
      <c r="EL3" s="124">
        <v>847.5</v>
      </c>
      <c r="EM3" s="125">
        <v>735.83500000000004</v>
      </c>
      <c r="EN3" s="123">
        <v>461.65552213000001</v>
      </c>
      <c r="EO3" s="123">
        <v>10964.025395000001</v>
      </c>
      <c r="EP3" s="123">
        <v>0</v>
      </c>
      <c r="ER3" s="157">
        <v>0</v>
      </c>
      <c r="ES3" s="37">
        <v>0</v>
      </c>
      <c r="ET3" s="55">
        <f>(ES3+ER3)/($E$2+$E$3)</f>
        <v>0</v>
      </c>
      <c r="EU3" s="157">
        <v>0</v>
      </c>
      <c r="EV3" s="37">
        <v>0</v>
      </c>
      <c r="EW3" s="55">
        <f t="shared" ref="EW3:EW34" si="0">(EU3+EV3)/($J$2+$J$3)</f>
        <v>0</v>
      </c>
      <c r="EY3" s="166">
        <v>0</v>
      </c>
      <c r="EZ3" s="37">
        <v>3156.57</v>
      </c>
      <c r="FA3" s="164">
        <f>(EY3+EZ3)/($E$12+$E$14)</f>
        <v>0.23203283156840868</v>
      </c>
      <c r="FB3" s="5">
        <v>4613</v>
      </c>
      <c r="FC3" s="164">
        <f>FB3/$J$10</f>
        <v>1</v>
      </c>
      <c r="FD3" s="37"/>
      <c r="FE3" s="5"/>
      <c r="FF3" s="166">
        <v>0</v>
      </c>
      <c r="FG3" s="37">
        <v>0</v>
      </c>
      <c r="FH3" s="164">
        <f>(FF3+FG3)/($E$13+$E$15)</f>
        <v>0</v>
      </c>
      <c r="FI3" s="5">
        <v>0</v>
      </c>
      <c r="FJ3" s="164">
        <f>FI3/$J$11</f>
        <v>0</v>
      </c>
      <c r="FL3" s="169">
        <v>7873</v>
      </c>
      <c r="FM3" s="170">
        <f>FL3/$E$11</f>
        <v>0.68245451314546257</v>
      </c>
      <c r="FN3" s="169">
        <v>2591</v>
      </c>
      <c r="FO3" s="170">
        <f>FN3/$J$9</f>
        <v>0.82634348588741824</v>
      </c>
    </row>
    <row r="4" spans="1:171" x14ac:dyDescent="0.35">
      <c r="A4" s="126" t="s">
        <v>143</v>
      </c>
      <c r="B4" s="127">
        <v>4805</v>
      </c>
      <c r="D4" s="108" t="s">
        <v>195</v>
      </c>
      <c r="E4" s="108">
        <v>88999.8</v>
      </c>
      <c r="F4" s="18">
        <v>78853.822799999994</v>
      </c>
      <c r="G4" s="5">
        <f>F4/E4</f>
        <v>0.8859999999999999</v>
      </c>
      <c r="I4" s="108" t="s">
        <v>158</v>
      </c>
      <c r="J4" s="108">
        <v>11643.6</v>
      </c>
      <c r="L4" s="108" t="s">
        <v>261</v>
      </c>
      <c r="M4" s="108">
        <v>1390</v>
      </c>
      <c r="P4" s="64">
        <v>2</v>
      </c>
      <c r="Q4" s="109">
        <v>0</v>
      </c>
      <c r="R4" s="110">
        <v>0</v>
      </c>
      <c r="S4" s="111">
        <v>0</v>
      </c>
      <c r="T4" s="110">
        <v>0</v>
      </c>
      <c r="U4" s="111">
        <v>0</v>
      </c>
      <c r="V4" s="110">
        <v>0</v>
      </c>
      <c r="W4" s="111">
        <v>0</v>
      </c>
      <c r="X4" s="110">
        <v>0</v>
      </c>
      <c r="Y4" s="111">
        <v>0</v>
      </c>
      <c r="Z4" s="110">
        <v>0</v>
      </c>
      <c r="AA4" s="111">
        <v>0</v>
      </c>
      <c r="AB4" s="110">
        <v>0</v>
      </c>
      <c r="AC4" s="111">
        <v>0</v>
      </c>
      <c r="AD4" s="110">
        <v>0</v>
      </c>
      <c r="AF4" s="64">
        <v>2</v>
      </c>
      <c r="AG4" s="109">
        <v>26165.941200000001</v>
      </c>
      <c r="AH4" s="111">
        <v>1400.7</v>
      </c>
      <c r="AI4" s="109">
        <v>304.5</v>
      </c>
      <c r="AJ4" s="59">
        <v>0.29399999999999998</v>
      </c>
      <c r="AK4" s="59">
        <v>0.60899999999999999</v>
      </c>
      <c r="AL4" s="59">
        <v>0.60899999999999999</v>
      </c>
      <c r="AM4" s="110">
        <v>76.227999999999994</v>
      </c>
      <c r="AN4" s="111">
        <v>1455.45</v>
      </c>
      <c r="AO4" s="59">
        <v>0.11799999999999999</v>
      </c>
      <c r="AP4" s="55">
        <v>0.125</v>
      </c>
      <c r="AQ4" s="109">
        <v>16591.2</v>
      </c>
      <c r="AR4" s="111">
        <v>16127.325000000001</v>
      </c>
      <c r="AS4" s="59">
        <v>0.372</v>
      </c>
      <c r="AT4" s="55">
        <v>0.68700000000000006</v>
      </c>
      <c r="AU4" s="43"/>
      <c r="AV4" s="109">
        <v>657.53</v>
      </c>
      <c r="AW4" s="110">
        <v>0.26699991066570294</v>
      </c>
      <c r="AX4" s="109">
        <v>857.85199999999998</v>
      </c>
      <c r="AY4" s="110">
        <v>0.53382202862476658</v>
      </c>
      <c r="AZ4" s="109">
        <v>1121.4780000000001</v>
      </c>
      <c r="BA4" s="110">
        <v>0.5784392407674851</v>
      </c>
      <c r="BB4" s="43"/>
      <c r="BC4" s="112">
        <v>51358.995000000003</v>
      </c>
      <c r="BD4" s="110">
        <v>0.73770491803278682</v>
      </c>
      <c r="BE4" s="43"/>
      <c r="BF4" s="157">
        <v>11188.316999999999</v>
      </c>
      <c r="BG4" s="43">
        <v>0</v>
      </c>
      <c r="BH4" s="113">
        <v>0</v>
      </c>
      <c r="BI4" s="114">
        <v>0.34319990797546007</v>
      </c>
      <c r="BJ4" s="115">
        <v>0</v>
      </c>
      <c r="BK4" s="113">
        <v>0</v>
      </c>
      <c r="BL4" s="113">
        <v>0</v>
      </c>
      <c r="BM4" s="113">
        <v>0</v>
      </c>
      <c r="BN4" s="113">
        <v>1295.2329999999999</v>
      </c>
      <c r="BO4" s="114">
        <v>9.6099792254043623E-2</v>
      </c>
      <c r="BP4" s="115">
        <v>0</v>
      </c>
      <c r="BQ4" s="43">
        <v>7668</v>
      </c>
      <c r="BR4" s="43">
        <v>648.91951976999997</v>
      </c>
      <c r="BS4" s="43"/>
      <c r="BT4" s="116">
        <v>-700</v>
      </c>
      <c r="BU4" s="43">
        <v>0</v>
      </c>
      <c r="BV4" s="43">
        <v>4485</v>
      </c>
      <c r="BW4" s="43">
        <v>4485</v>
      </c>
      <c r="BX4" s="43">
        <v>0</v>
      </c>
      <c r="BY4" s="43">
        <v>0</v>
      </c>
      <c r="BZ4" s="43">
        <v>-5000</v>
      </c>
      <c r="CA4" s="43">
        <v>0</v>
      </c>
      <c r="CB4" s="43">
        <v>0</v>
      </c>
      <c r="CC4" s="43">
        <v>0</v>
      </c>
      <c r="CD4" s="43">
        <v>-4000</v>
      </c>
      <c r="CE4" s="43">
        <v>0</v>
      </c>
      <c r="CF4" s="43">
        <v>4800</v>
      </c>
      <c r="CG4" s="43">
        <v>4800</v>
      </c>
      <c r="CH4" s="43">
        <v>10757.921540130001</v>
      </c>
      <c r="CI4" s="43">
        <v>10757.921540130001</v>
      </c>
      <c r="CJ4" s="114">
        <v>20042.921540130003</v>
      </c>
      <c r="CK4" s="43"/>
      <c r="CL4" s="116">
        <v>-700</v>
      </c>
      <c r="CM4" s="43">
        <v>700</v>
      </c>
      <c r="CN4" s="43">
        <v>4485</v>
      </c>
      <c r="CO4" s="43">
        <v>0</v>
      </c>
      <c r="CP4" s="43">
        <v>0</v>
      </c>
      <c r="CQ4" s="43">
        <v>0</v>
      </c>
      <c r="CR4" s="43">
        <v>-5000</v>
      </c>
      <c r="CS4" s="43">
        <v>5000</v>
      </c>
      <c r="CT4" s="43">
        <v>0</v>
      </c>
      <c r="CU4" s="43">
        <v>0</v>
      </c>
      <c r="CV4" s="43">
        <v>-4000</v>
      </c>
      <c r="CW4" s="43">
        <v>4000</v>
      </c>
      <c r="CX4" s="43">
        <v>4800</v>
      </c>
      <c r="CY4" s="43">
        <v>0</v>
      </c>
      <c r="CZ4" s="43">
        <v>10757.921540130001</v>
      </c>
      <c r="DA4" s="43">
        <v>0</v>
      </c>
      <c r="DB4" s="114">
        <v>9700</v>
      </c>
      <c r="DC4" s="43"/>
      <c r="DD4" s="117">
        <v>28009.473999999998</v>
      </c>
      <c r="DE4" s="55">
        <v>2090.0889999999999</v>
      </c>
      <c r="DF4" s="59">
        <v>888.66789827310004</v>
      </c>
      <c r="DG4" s="59">
        <v>30988.230898273097</v>
      </c>
      <c r="DH4" s="117">
        <v>7402.4830000000002</v>
      </c>
      <c r="DI4" s="117">
        <v>51263.411</v>
      </c>
      <c r="DJ4" s="55">
        <v>6232</v>
      </c>
      <c r="DK4" s="114">
        <v>57495.411</v>
      </c>
      <c r="DL4" s="43"/>
      <c r="DM4" s="117">
        <v>744.82899999999995</v>
      </c>
      <c r="DN4" s="55">
        <v>10493.065843074541</v>
      </c>
      <c r="DO4" s="55">
        <v>11237.89484307454</v>
      </c>
      <c r="DP4" s="59">
        <v>1194.729528534212</v>
      </c>
      <c r="DQ4" s="59">
        <v>2899.4800998655778</v>
      </c>
      <c r="DR4" s="59">
        <v>461.65552213000001</v>
      </c>
      <c r="DS4" s="55">
        <v>3361.1356219955778</v>
      </c>
      <c r="DT4" s="55">
        <v>161.08222777030991</v>
      </c>
      <c r="DU4" s="55">
        <v>161.08222777030991</v>
      </c>
      <c r="DW4" s="121">
        <v>0</v>
      </c>
      <c r="DX4" s="122">
        <v>6779.6610170000004</v>
      </c>
      <c r="DY4" s="128">
        <v>1447.7400829999999</v>
      </c>
      <c r="DZ4" s="128">
        <v>0</v>
      </c>
      <c r="EA4" s="121">
        <v>0</v>
      </c>
      <c r="EB4" s="122">
        <v>1553.672292</v>
      </c>
      <c r="EC4" s="121">
        <v>0</v>
      </c>
      <c r="ED4" s="122">
        <v>1271.1864410000001</v>
      </c>
      <c r="EE4" s="121">
        <v>0</v>
      </c>
      <c r="EF4" s="122">
        <v>847.5</v>
      </c>
      <c r="EG4" s="121">
        <v>0</v>
      </c>
      <c r="EH4" s="122">
        <v>7397.5988710000001</v>
      </c>
      <c r="EI4" s="121">
        <v>0</v>
      </c>
      <c r="EJ4" s="122">
        <v>6779.6610170000004</v>
      </c>
      <c r="EK4" s="129">
        <v>1553.672292</v>
      </c>
      <c r="EL4" s="130">
        <v>847.5</v>
      </c>
      <c r="EM4" s="131">
        <v>735.83500000000004</v>
      </c>
      <c r="EN4" s="129">
        <v>461.65552213000001</v>
      </c>
      <c r="EO4" s="129">
        <v>10964.025395000001</v>
      </c>
      <c r="EP4" s="129">
        <v>0</v>
      </c>
      <c r="ER4" s="157">
        <v>0</v>
      </c>
      <c r="ES4" s="37">
        <v>0</v>
      </c>
      <c r="ET4" s="55">
        <f t="shared" ref="ET4:ET67" si="1">(ES4+ER4)/($E$2+$E$3)</f>
        <v>0</v>
      </c>
      <c r="EU4" s="157">
        <v>0</v>
      </c>
      <c r="EV4" s="37">
        <v>0</v>
      </c>
      <c r="EW4" s="55">
        <f t="shared" si="0"/>
        <v>0</v>
      </c>
      <c r="EY4" s="166">
        <v>0</v>
      </c>
      <c r="EZ4" s="37">
        <v>3156.57</v>
      </c>
      <c r="FA4" s="164">
        <f t="shared" ref="FA4:FA67" si="2">(EY4+EZ4)/($E$12+$E$14)</f>
        <v>0.23203283156840868</v>
      </c>
      <c r="FB4" s="5">
        <v>4613</v>
      </c>
      <c r="FC4" s="164">
        <f t="shared" ref="FC4:FC67" si="3">FB4/$J$10</f>
        <v>1</v>
      </c>
      <c r="FD4" s="37"/>
      <c r="FE4" s="5"/>
      <c r="FF4" s="166">
        <v>0</v>
      </c>
      <c r="FG4" s="37">
        <v>6233.0945069600002</v>
      </c>
      <c r="FH4" s="164">
        <f t="shared" ref="FH4:FH67" si="4">(FF4+FG4)/($E$13+$E$15)</f>
        <v>0.46792369100538633</v>
      </c>
      <c r="FI4" s="5">
        <v>0</v>
      </c>
      <c r="FJ4" s="164">
        <f t="shared" ref="FJ4:FJ67" si="5">FI4/$J$11</f>
        <v>0</v>
      </c>
      <c r="FL4" s="169">
        <v>7873</v>
      </c>
      <c r="FM4" s="170">
        <f t="shared" ref="FM4:FM67" si="6">FL4/$E$11</f>
        <v>0.68245451314546257</v>
      </c>
      <c r="FN4" s="169">
        <v>2591</v>
      </c>
      <c r="FO4" s="170">
        <f t="shared" ref="FO4:FO67" si="7">FN4/$J$9</f>
        <v>0.82634348588741824</v>
      </c>
    </row>
    <row r="5" spans="1:171" x14ac:dyDescent="0.35">
      <c r="A5" s="132" t="s">
        <v>142</v>
      </c>
      <c r="B5" s="133">
        <v>30000</v>
      </c>
      <c r="D5" s="108" t="s">
        <v>147</v>
      </c>
      <c r="E5" s="108">
        <v>83000</v>
      </c>
      <c r="F5" s="18"/>
      <c r="I5" s="108" t="s">
        <v>148</v>
      </c>
      <c r="J5" s="108">
        <v>14378.2</v>
      </c>
      <c r="L5" s="108" t="s">
        <v>201</v>
      </c>
      <c r="M5" s="108">
        <v>44600</v>
      </c>
      <c r="P5" s="64">
        <v>3</v>
      </c>
      <c r="Q5" s="109">
        <v>0</v>
      </c>
      <c r="R5" s="110">
        <v>0</v>
      </c>
      <c r="S5" s="111">
        <v>0</v>
      </c>
      <c r="T5" s="110">
        <v>0</v>
      </c>
      <c r="U5" s="111">
        <v>0</v>
      </c>
      <c r="V5" s="110">
        <v>0</v>
      </c>
      <c r="W5" s="111">
        <v>0</v>
      </c>
      <c r="X5" s="110">
        <v>0</v>
      </c>
      <c r="Y5" s="111">
        <v>0</v>
      </c>
      <c r="Z5" s="110">
        <v>0</v>
      </c>
      <c r="AA5" s="111">
        <v>0</v>
      </c>
      <c r="AB5" s="110">
        <v>0</v>
      </c>
      <c r="AC5" s="111">
        <v>0</v>
      </c>
      <c r="AD5" s="110">
        <v>0</v>
      </c>
      <c r="AF5" s="64">
        <v>3</v>
      </c>
      <c r="AG5" s="109">
        <v>26610.940200000001</v>
      </c>
      <c r="AH5" s="111">
        <v>1465.1</v>
      </c>
      <c r="AI5" s="109">
        <v>318.5</v>
      </c>
      <c r="AJ5" s="59">
        <v>0.29899999999999999</v>
      </c>
      <c r="AK5" s="59">
        <v>0.63700000000000001</v>
      </c>
      <c r="AL5" s="59">
        <v>0.63700000000000001</v>
      </c>
      <c r="AM5" s="110">
        <v>71.06</v>
      </c>
      <c r="AN5" s="111">
        <v>1595.1732</v>
      </c>
      <c r="AO5" s="59">
        <v>0.11</v>
      </c>
      <c r="AP5" s="55">
        <v>0.13699999999999998</v>
      </c>
      <c r="AQ5" s="109">
        <v>18375.2</v>
      </c>
      <c r="AR5" s="111">
        <v>17653.2</v>
      </c>
      <c r="AS5" s="59">
        <v>0.41200000000000003</v>
      </c>
      <c r="AT5" s="55">
        <v>0.752</v>
      </c>
      <c r="AU5" s="43"/>
      <c r="AV5" s="109">
        <v>652.60500000000002</v>
      </c>
      <c r="AW5" s="110">
        <v>0.26500004060649868</v>
      </c>
      <c r="AX5" s="109">
        <v>856.53800000000001</v>
      </c>
      <c r="AY5" s="110">
        <v>0.53300435594275042</v>
      </c>
      <c r="AZ5" s="109">
        <v>1121.4780000000001</v>
      </c>
      <c r="BA5" s="110">
        <v>0.5784392407674851</v>
      </c>
      <c r="BB5" s="43"/>
      <c r="BC5" s="112">
        <v>51358.995000000003</v>
      </c>
      <c r="BD5" s="110">
        <v>0.73770491803278682</v>
      </c>
      <c r="BE5" s="43"/>
      <c r="BF5" s="157">
        <v>11379.209000000001</v>
      </c>
      <c r="BG5" s="43">
        <v>0</v>
      </c>
      <c r="BH5" s="113">
        <v>0</v>
      </c>
      <c r="BI5" s="114">
        <v>0.34905549079754605</v>
      </c>
      <c r="BJ5" s="115">
        <v>0</v>
      </c>
      <c r="BK5" s="113">
        <v>0</v>
      </c>
      <c r="BL5" s="113">
        <v>0</v>
      </c>
      <c r="BM5" s="113">
        <v>0</v>
      </c>
      <c r="BN5" s="113">
        <v>1219.3710000000001</v>
      </c>
      <c r="BO5" s="114">
        <v>9.047121234604541E-2</v>
      </c>
      <c r="BP5" s="115">
        <v>0</v>
      </c>
      <c r="BQ5" s="43">
        <v>7668</v>
      </c>
      <c r="BR5" s="43">
        <v>648.91951976999997</v>
      </c>
      <c r="BS5" s="43"/>
      <c r="BT5" s="116">
        <v>-700</v>
      </c>
      <c r="BU5" s="43">
        <v>0</v>
      </c>
      <c r="BV5" s="43">
        <v>4485</v>
      </c>
      <c r="BW5" s="43">
        <v>4485</v>
      </c>
      <c r="BX5" s="43">
        <v>0</v>
      </c>
      <c r="BY5" s="43">
        <v>0</v>
      </c>
      <c r="BZ5" s="43">
        <v>-5000</v>
      </c>
      <c r="CA5" s="43">
        <v>0</v>
      </c>
      <c r="CB5" s="43">
        <v>-2222.6190378800002</v>
      </c>
      <c r="CC5" s="43">
        <v>0</v>
      </c>
      <c r="CD5" s="43">
        <v>-4000</v>
      </c>
      <c r="CE5" s="43">
        <v>0</v>
      </c>
      <c r="CF5" s="43">
        <v>4800</v>
      </c>
      <c r="CG5" s="43">
        <v>4800</v>
      </c>
      <c r="CH5" s="43">
        <v>10279.41041857</v>
      </c>
      <c r="CI5" s="43">
        <v>10279.41041857</v>
      </c>
      <c r="CJ5" s="114">
        <v>19564.410418569998</v>
      </c>
      <c r="CK5" s="43"/>
      <c r="CL5" s="116">
        <v>-700</v>
      </c>
      <c r="CM5" s="43">
        <v>700</v>
      </c>
      <c r="CN5" s="43">
        <v>4485</v>
      </c>
      <c r="CO5" s="43">
        <v>0</v>
      </c>
      <c r="CP5" s="43">
        <v>0</v>
      </c>
      <c r="CQ5" s="43">
        <v>0</v>
      </c>
      <c r="CR5" s="43">
        <v>-5000</v>
      </c>
      <c r="CS5" s="43">
        <v>5000</v>
      </c>
      <c r="CT5" s="43">
        <v>-2222.6190378800002</v>
      </c>
      <c r="CU5" s="43">
        <v>2222.6190378800002</v>
      </c>
      <c r="CV5" s="43">
        <v>-4000</v>
      </c>
      <c r="CW5" s="43">
        <v>4000</v>
      </c>
      <c r="CX5" s="43">
        <v>4800</v>
      </c>
      <c r="CY5" s="43">
        <v>0</v>
      </c>
      <c r="CZ5" s="43">
        <v>10279.41041857</v>
      </c>
      <c r="DA5" s="43">
        <v>0</v>
      </c>
      <c r="DB5" s="114">
        <v>11922.61903788</v>
      </c>
      <c r="DC5" s="43"/>
      <c r="DD5" s="117">
        <v>26842.165000000001</v>
      </c>
      <c r="DE5" s="55">
        <v>2042.9949999999999</v>
      </c>
      <c r="DF5" s="59">
        <v>1460.1450066238999</v>
      </c>
      <c r="DG5" s="59">
        <v>30345.305006623901</v>
      </c>
      <c r="DH5" s="117">
        <v>7034.8829999999998</v>
      </c>
      <c r="DI5" s="117">
        <v>49580.411</v>
      </c>
      <c r="DJ5" s="55">
        <v>6311</v>
      </c>
      <c r="DK5" s="114">
        <v>55891.411</v>
      </c>
      <c r="DL5" s="43"/>
      <c r="DM5" s="117">
        <v>804.37300000000005</v>
      </c>
      <c r="DN5" s="55">
        <v>10493.065843074541</v>
      </c>
      <c r="DO5" s="55">
        <v>11297.43884307454</v>
      </c>
      <c r="DP5" s="59">
        <v>1194.729528534212</v>
      </c>
      <c r="DQ5" s="59">
        <v>2899.4800998655778</v>
      </c>
      <c r="DR5" s="59">
        <v>461.65552213000001</v>
      </c>
      <c r="DS5" s="55">
        <v>3361.1356219955778</v>
      </c>
      <c r="DT5" s="55">
        <v>161.08222777030991</v>
      </c>
      <c r="DU5" s="55">
        <v>161.08222777030991</v>
      </c>
      <c r="DW5" s="121">
        <v>0</v>
      </c>
      <c r="DX5" s="122">
        <v>6779.6610170000004</v>
      </c>
      <c r="DY5" s="128">
        <v>1447.7400829999999</v>
      </c>
      <c r="DZ5" s="128">
        <v>0</v>
      </c>
      <c r="EA5" s="121">
        <v>0</v>
      </c>
      <c r="EB5" s="122">
        <v>1553.672292</v>
      </c>
      <c r="EC5" s="121">
        <v>0</v>
      </c>
      <c r="ED5" s="122">
        <v>1271.1864410000001</v>
      </c>
      <c r="EE5" s="121">
        <v>0</v>
      </c>
      <c r="EF5" s="122">
        <v>847.5</v>
      </c>
      <c r="EG5" s="121">
        <v>0</v>
      </c>
      <c r="EH5" s="122">
        <v>7397.5988710000001</v>
      </c>
      <c r="EI5" s="121">
        <v>0</v>
      </c>
      <c r="EJ5" s="122">
        <v>6779.6610170000004</v>
      </c>
      <c r="EK5" s="129">
        <v>1553.672292</v>
      </c>
      <c r="EL5" s="130">
        <v>847.5</v>
      </c>
      <c r="EM5" s="131">
        <v>735.83500000000004</v>
      </c>
      <c r="EN5" s="129">
        <v>461.65552213000001</v>
      </c>
      <c r="EO5" s="129">
        <v>10964.025395000001</v>
      </c>
      <c r="EP5" s="129">
        <v>0</v>
      </c>
      <c r="ER5" s="157">
        <v>0</v>
      </c>
      <c r="ES5" s="37">
        <v>0</v>
      </c>
      <c r="ET5" s="55">
        <f t="shared" si="1"/>
        <v>0</v>
      </c>
      <c r="EU5" s="157">
        <v>0</v>
      </c>
      <c r="EV5" s="37">
        <v>0</v>
      </c>
      <c r="EW5" s="55">
        <f t="shared" si="0"/>
        <v>0</v>
      </c>
      <c r="EY5" s="166">
        <v>0</v>
      </c>
      <c r="EZ5" s="37">
        <v>3156.57</v>
      </c>
      <c r="FA5" s="164">
        <f t="shared" si="2"/>
        <v>0.23203283156840868</v>
      </c>
      <c r="FB5" s="5">
        <v>4613</v>
      </c>
      <c r="FC5" s="164">
        <f t="shared" si="3"/>
        <v>1</v>
      </c>
      <c r="FE5" s="5"/>
      <c r="FF5" s="166">
        <v>0</v>
      </c>
      <c r="FG5" s="37">
        <v>2389.78039446</v>
      </c>
      <c r="FH5" s="164">
        <f t="shared" si="4"/>
        <v>0.17940284101570858</v>
      </c>
      <c r="FI5" s="5">
        <v>0</v>
      </c>
      <c r="FJ5" s="164">
        <f t="shared" si="5"/>
        <v>0</v>
      </c>
      <c r="FL5" s="169">
        <v>7873</v>
      </c>
      <c r="FM5" s="170">
        <f t="shared" si="6"/>
        <v>0.68245451314546257</v>
      </c>
      <c r="FN5" s="169">
        <v>2591</v>
      </c>
      <c r="FO5" s="170">
        <f t="shared" si="7"/>
        <v>0.82634348588741824</v>
      </c>
    </row>
    <row r="6" spans="1:171" x14ac:dyDescent="0.35">
      <c r="A6" s="106" t="s">
        <v>145</v>
      </c>
      <c r="B6" s="107">
        <v>14378.2</v>
      </c>
      <c r="D6" s="108" t="s">
        <v>196</v>
      </c>
      <c r="E6" s="108">
        <v>2300</v>
      </c>
      <c r="F6" s="18"/>
      <c r="I6" s="108" t="s">
        <v>157</v>
      </c>
      <c r="J6" s="108">
        <v>646</v>
      </c>
      <c r="L6" s="108" t="s">
        <v>193</v>
      </c>
      <c r="M6" s="108">
        <v>51420</v>
      </c>
      <c r="P6" s="64">
        <v>4</v>
      </c>
      <c r="Q6" s="109">
        <v>0</v>
      </c>
      <c r="R6" s="110">
        <v>0</v>
      </c>
      <c r="S6" s="111">
        <v>0</v>
      </c>
      <c r="T6" s="110">
        <v>0</v>
      </c>
      <c r="U6" s="111">
        <v>0</v>
      </c>
      <c r="V6" s="110">
        <v>0</v>
      </c>
      <c r="W6" s="111">
        <v>0</v>
      </c>
      <c r="X6" s="110">
        <v>0</v>
      </c>
      <c r="Y6" s="111">
        <v>0</v>
      </c>
      <c r="Z6" s="110">
        <v>0</v>
      </c>
      <c r="AA6" s="111">
        <v>0</v>
      </c>
      <c r="AB6" s="110">
        <v>0</v>
      </c>
      <c r="AC6" s="111">
        <v>0</v>
      </c>
      <c r="AD6" s="110">
        <v>0</v>
      </c>
      <c r="AF6" s="64">
        <v>4</v>
      </c>
      <c r="AG6" s="109">
        <v>27322.938600000001</v>
      </c>
      <c r="AH6" s="111">
        <v>1460.5</v>
      </c>
      <c r="AI6" s="109">
        <v>317.5</v>
      </c>
      <c r="AJ6" s="59">
        <v>0.307</v>
      </c>
      <c r="AK6" s="59">
        <v>0.63500000000000001</v>
      </c>
      <c r="AL6" s="59">
        <v>0.63500000000000001</v>
      </c>
      <c r="AM6" s="110">
        <v>67.83</v>
      </c>
      <c r="AN6" s="111">
        <v>1781.4708000000001</v>
      </c>
      <c r="AO6" s="59">
        <v>0.105</v>
      </c>
      <c r="AP6" s="55">
        <v>0.153</v>
      </c>
      <c r="AQ6" s="109">
        <v>19534.8</v>
      </c>
      <c r="AR6" s="111">
        <v>18404.400000000001</v>
      </c>
      <c r="AS6" s="59">
        <v>0.438</v>
      </c>
      <c r="AT6" s="55">
        <v>0.78400000000000003</v>
      </c>
      <c r="AU6" s="43"/>
      <c r="AV6" s="109">
        <v>677.23099999999999</v>
      </c>
      <c r="AW6" s="110">
        <v>0.2749997969675067</v>
      </c>
      <c r="AX6" s="109">
        <v>866.279</v>
      </c>
      <c r="AY6" s="110">
        <v>0.53906596141879282</v>
      </c>
      <c r="AZ6" s="109">
        <v>1121.4780000000001</v>
      </c>
      <c r="BA6" s="110">
        <v>0.5784392407674851</v>
      </c>
      <c r="BB6" s="43"/>
      <c r="BC6" s="112">
        <v>51358.995000000003</v>
      </c>
      <c r="BD6" s="110">
        <v>0.73770491803278682</v>
      </c>
      <c r="BE6" s="43"/>
      <c r="BF6" s="157">
        <v>11664.808999999999</v>
      </c>
      <c r="BG6" s="43">
        <v>0</v>
      </c>
      <c r="BH6" s="113">
        <v>0</v>
      </c>
      <c r="BI6" s="114">
        <v>0.35781622699386501</v>
      </c>
      <c r="BJ6" s="115">
        <v>0</v>
      </c>
      <c r="BK6" s="113">
        <v>0</v>
      </c>
      <c r="BL6" s="113">
        <v>0</v>
      </c>
      <c r="BM6" s="113">
        <v>0</v>
      </c>
      <c r="BN6" s="113">
        <v>1148.32</v>
      </c>
      <c r="BO6" s="114">
        <v>8.5199584508087248E-2</v>
      </c>
      <c r="BP6" s="115">
        <v>0</v>
      </c>
      <c r="BQ6" s="43">
        <v>7668</v>
      </c>
      <c r="BR6" s="43">
        <v>648.91951976999997</v>
      </c>
      <c r="BS6" s="43"/>
      <c r="BT6" s="116">
        <v>-700</v>
      </c>
      <c r="BU6" s="43">
        <v>0</v>
      </c>
      <c r="BV6" s="43">
        <v>4485</v>
      </c>
      <c r="BW6" s="43">
        <v>4485</v>
      </c>
      <c r="BX6" s="43">
        <v>0</v>
      </c>
      <c r="BY6" s="43">
        <v>0</v>
      </c>
      <c r="BZ6" s="43">
        <v>-5000</v>
      </c>
      <c r="CA6" s="43">
        <v>0</v>
      </c>
      <c r="CB6" s="43">
        <v>-1446.1602973500001</v>
      </c>
      <c r="CC6" s="43">
        <v>0</v>
      </c>
      <c r="CD6" s="43">
        <v>-4000</v>
      </c>
      <c r="CE6" s="43">
        <v>0</v>
      </c>
      <c r="CF6" s="43">
        <v>4800</v>
      </c>
      <c r="CG6" s="43">
        <v>4800</v>
      </c>
      <c r="CH6" s="43">
        <v>13335.643314000001</v>
      </c>
      <c r="CI6" s="43">
        <v>13335.643314000001</v>
      </c>
      <c r="CJ6" s="114">
        <v>22620.643314000001</v>
      </c>
      <c r="CK6" s="43"/>
      <c r="CL6" s="116">
        <v>-700</v>
      </c>
      <c r="CM6" s="43">
        <v>700</v>
      </c>
      <c r="CN6" s="43">
        <v>4485</v>
      </c>
      <c r="CO6" s="43">
        <v>0</v>
      </c>
      <c r="CP6" s="43">
        <v>0</v>
      </c>
      <c r="CQ6" s="43">
        <v>0</v>
      </c>
      <c r="CR6" s="43">
        <v>-5000</v>
      </c>
      <c r="CS6" s="43">
        <v>5000</v>
      </c>
      <c r="CT6" s="43">
        <v>-1446.1602973500001</v>
      </c>
      <c r="CU6" s="43">
        <v>1446.1602973500001</v>
      </c>
      <c r="CV6" s="43">
        <v>-4000</v>
      </c>
      <c r="CW6" s="43">
        <v>4000</v>
      </c>
      <c r="CX6" s="43">
        <v>4800</v>
      </c>
      <c r="CY6" s="43">
        <v>0</v>
      </c>
      <c r="CZ6" s="43">
        <v>13335.643314000001</v>
      </c>
      <c r="DA6" s="43">
        <v>0</v>
      </c>
      <c r="DB6" s="114">
        <v>11146.160297350001</v>
      </c>
      <c r="DC6" s="43"/>
      <c r="DD6" s="117">
        <v>26274.437000000002</v>
      </c>
      <c r="DE6" s="55">
        <v>2003.6289999999999</v>
      </c>
      <c r="DF6" s="59">
        <v>2313.9328017737998</v>
      </c>
      <c r="DG6" s="59">
        <v>30591.998801773803</v>
      </c>
      <c r="DH6" s="117">
        <v>6846.2240000000002</v>
      </c>
      <c r="DI6" s="117">
        <v>47905.411</v>
      </c>
      <c r="DJ6" s="55">
        <v>6196</v>
      </c>
      <c r="DK6" s="114">
        <v>54101.411</v>
      </c>
      <c r="DL6" s="43"/>
      <c r="DM6" s="117">
        <v>892.90899999999999</v>
      </c>
      <c r="DN6" s="55">
        <v>10493.065843074541</v>
      </c>
      <c r="DO6" s="55">
        <v>11385.97484307454</v>
      </c>
      <c r="DP6" s="59">
        <v>1194.729528534212</v>
      </c>
      <c r="DQ6" s="59">
        <v>2899.4800998655778</v>
      </c>
      <c r="DR6" s="59">
        <v>461.65552213000001</v>
      </c>
      <c r="DS6" s="55">
        <v>3361.1356219955778</v>
      </c>
      <c r="DT6" s="55">
        <v>161.08222777030991</v>
      </c>
      <c r="DU6" s="55">
        <v>161.08222777030991</v>
      </c>
      <c r="DW6" s="121">
        <v>0</v>
      </c>
      <c r="DX6" s="122">
        <v>6779.6610170000004</v>
      </c>
      <c r="DY6" s="128">
        <v>1447.7400829999999</v>
      </c>
      <c r="DZ6" s="128">
        <v>0</v>
      </c>
      <c r="EA6" s="121">
        <v>0</v>
      </c>
      <c r="EB6" s="122">
        <v>1553.672292</v>
      </c>
      <c r="EC6" s="121">
        <v>0</v>
      </c>
      <c r="ED6" s="122">
        <v>1271.1864410000001</v>
      </c>
      <c r="EE6" s="121">
        <v>0</v>
      </c>
      <c r="EF6" s="122">
        <v>847.5</v>
      </c>
      <c r="EG6" s="121">
        <v>0</v>
      </c>
      <c r="EH6" s="122">
        <v>7397.5988710000001</v>
      </c>
      <c r="EI6" s="121">
        <v>0</v>
      </c>
      <c r="EJ6" s="122">
        <v>6779.6610170000004</v>
      </c>
      <c r="EK6" s="129">
        <v>1553.672292</v>
      </c>
      <c r="EL6" s="130">
        <v>847.5</v>
      </c>
      <c r="EM6" s="131">
        <v>735.83500000000004</v>
      </c>
      <c r="EN6" s="129">
        <v>461.65552213000001</v>
      </c>
      <c r="EO6" s="129">
        <v>10964.025395000001</v>
      </c>
      <c r="EP6" s="129">
        <v>0</v>
      </c>
      <c r="ER6" s="157">
        <v>0</v>
      </c>
      <c r="ES6" s="37">
        <v>0</v>
      </c>
      <c r="ET6" s="55">
        <f t="shared" si="1"/>
        <v>0</v>
      </c>
      <c r="EU6" s="157">
        <v>0</v>
      </c>
      <c r="EV6" s="37">
        <v>0</v>
      </c>
      <c r="EW6" s="55">
        <f t="shared" si="0"/>
        <v>0</v>
      </c>
      <c r="EY6" s="166">
        <v>0</v>
      </c>
      <c r="EZ6" s="37">
        <v>3156.57</v>
      </c>
      <c r="FA6" s="164">
        <f t="shared" si="2"/>
        <v>0.23203283156840868</v>
      </c>
      <c r="FB6" s="5">
        <v>4613</v>
      </c>
      <c r="FC6" s="164">
        <f t="shared" si="3"/>
        <v>1</v>
      </c>
      <c r="FE6" s="5"/>
      <c r="FF6" s="166">
        <v>0</v>
      </c>
      <c r="FG6" s="37">
        <v>1486.2995510200001</v>
      </c>
      <c r="FH6" s="164">
        <f t="shared" si="4"/>
        <v>0.11157776784490363</v>
      </c>
      <c r="FI6" s="5">
        <v>0</v>
      </c>
      <c r="FJ6" s="164">
        <f t="shared" si="5"/>
        <v>0</v>
      </c>
      <c r="FL6" s="169">
        <v>7873</v>
      </c>
      <c r="FM6" s="170">
        <f t="shared" si="6"/>
        <v>0.68245451314546257</v>
      </c>
      <c r="FN6" s="169">
        <v>2591</v>
      </c>
      <c r="FO6" s="170">
        <f t="shared" si="7"/>
        <v>0.82634348588741824</v>
      </c>
    </row>
    <row r="7" spans="1:171" ht="15" customHeight="1" x14ac:dyDescent="0.35">
      <c r="A7" s="132" t="s">
        <v>146</v>
      </c>
      <c r="B7" s="133">
        <v>9659.9</v>
      </c>
      <c r="D7" s="108" t="s">
        <v>197</v>
      </c>
      <c r="E7" s="108">
        <v>500</v>
      </c>
      <c r="F7" s="18"/>
      <c r="I7" s="108" t="s">
        <v>262</v>
      </c>
      <c r="J7" s="108">
        <v>1607</v>
      </c>
      <c r="L7" s="108" t="s">
        <v>202</v>
      </c>
      <c r="M7" s="108">
        <v>23475</v>
      </c>
      <c r="P7" s="64">
        <v>5</v>
      </c>
      <c r="Q7" s="109">
        <v>0</v>
      </c>
      <c r="R7" s="110">
        <v>0</v>
      </c>
      <c r="S7" s="111">
        <v>0</v>
      </c>
      <c r="T7" s="110">
        <v>0</v>
      </c>
      <c r="U7" s="111">
        <v>0</v>
      </c>
      <c r="V7" s="110">
        <v>0</v>
      </c>
      <c r="W7" s="111">
        <v>0</v>
      </c>
      <c r="X7" s="110">
        <v>0</v>
      </c>
      <c r="Y7" s="111">
        <v>0</v>
      </c>
      <c r="Z7" s="110">
        <v>0</v>
      </c>
      <c r="AA7" s="111">
        <v>0</v>
      </c>
      <c r="AB7" s="110">
        <v>0</v>
      </c>
      <c r="AC7" s="111">
        <v>0</v>
      </c>
      <c r="AD7" s="110">
        <v>0</v>
      </c>
      <c r="AF7" s="64">
        <v>5</v>
      </c>
      <c r="AG7" s="109">
        <v>28657.935600000001</v>
      </c>
      <c r="AH7" s="111">
        <v>1428.3</v>
      </c>
      <c r="AI7" s="109">
        <v>310.5</v>
      </c>
      <c r="AJ7" s="59">
        <v>0.32200000000000001</v>
      </c>
      <c r="AK7" s="59">
        <v>0.621</v>
      </c>
      <c r="AL7" s="59">
        <v>0.621</v>
      </c>
      <c r="AM7" s="110">
        <v>65.245999999999995</v>
      </c>
      <c r="AN7" s="111">
        <v>1944.4811999999999</v>
      </c>
      <c r="AO7" s="59">
        <v>0.10099999999999999</v>
      </c>
      <c r="AP7" s="55">
        <v>0.16699999999999998</v>
      </c>
      <c r="AQ7" s="109">
        <v>20560.599999999999</v>
      </c>
      <c r="AR7" s="111">
        <v>19132.125</v>
      </c>
      <c r="AS7" s="59">
        <v>0.46099999999999997</v>
      </c>
      <c r="AT7" s="55">
        <v>0.81499999999999995</v>
      </c>
      <c r="AU7" s="43"/>
      <c r="AV7" s="109">
        <v>687.08199999999999</v>
      </c>
      <c r="AW7" s="110">
        <v>0.27899994315090187</v>
      </c>
      <c r="AX7" s="109">
        <v>871.28399999999999</v>
      </c>
      <c r="AY7" s="110">
        <v>0.54218046048537649</v>
      </c>
      <c r="AZ7" s="109">
        <v>1121.4780000000001</v>
      </c>
      <c r="BA7" s="110">
        <v>0.5784392407674851</v>
      </c>
      <c r="BB7" s="43"/>
      <c r="BC7" s="112">
        <v>51358.995000000003</v>
      </c>
      <c r="BD7" s="110">
        <v>0.73770491803278682</v>
      </c>
      <c r="BE7" s="43"/>
      <c r="BF7" s="157">
        <v>12228.816999999999</v>
      </c>
      <c r="BG7" s="43">
        <v>0</v>
      </c>
      <c r="BH7" s="113">
        <v>0</v>
      </c>
      <c r="BI7" s="114">
        <v>0.37511708588957055</v>
      </c>
      <c r="BJ7" s="115">
        <v>0</v>
      </c>
      <c r="BK7" s="113">
        <v>0</v>
      </c>
      <c r="BL7" s="113">
        <v>0</v>
      </c>
      <c r="BM7" s="113">
        <v>0</v>
      </c>
      <c r="BN7" s="113">
        <v>1097.6030000000001</v>
      </c>
      <c r="BO7" s="114">
        <v>8.1436637483306137E-2</v>
      </c>
      <c r="BP7" s="115">
        <v>0</v>
      </c>
      <c r="BQ7" s="43">
        <v>7668</v>
      </c>
      <c r="BR7" s="43">
        <v>649.37940168</v>
      </c>
      <c r="BS7" s="43"/>
      <c r="BT7" s="116">
        <v>-700</v>
      </c>
      <c r="BU7" s="43">
        <v>0</v>
      </c>
      <c r="BV7" s="43">
        <v>4485</v>
      </c>
      <c r="BW7" s="43">
        <v>4485</v>
      </c>
      <c r="BX7" s="43">
        <v>0</v>
      </c>
      <c r="BY7" s="43">
        <v>0</v>
      </c>
      <c r="BZ7" s="43">
        <v>-5000</v>
      </c>
      <c r="CA7" s="43">
        <v>0</v>
      </c>
      <c r="CB7" s="43">
        <v>-2137.9980652999998</v>
      </c>
      <c r="CC7" s="43">
        <v>0</v>
      </c>
      <c r="CD7" s="43">
        <v>-4000</v>
      </c>
      <c r="CE7" s="43">
        <v>0</v>
      </c>
      <c r="CF7" s="43">
        <v>4800</v>
      </c>
      <c r="CG7" s="43">
        <v>4800</v>
      </c>
      <c r="CH7" s="43">
        <v>12475.32154845</v>
      </c>
      <c r="CI7" s="43">
        <v>12475.32154845</v>
      </c>
      <c r="CJ7" s="114">
        <v>21760.32154845</v>
      </c>
      <c r="CK7" s="43"/>
      <c r="CL7" s="116">
        <v>-700</v>
      </c>
      <c r="CM7" s="43">
        <v>700</v>
      </c>
      <c r="CN7" s="43">
        <v>4485</v>
      </c>
      <c r="CO7" s="43">
        <v>0</v>
      </c>
      <c r="CP7" s="43">
        <v>0</v>
      </c>
      <c r="CQ7" s="43">
        <v>0</v>
      </c>
      <c r="CR7" s="43">
        <v>-5000</v>
      </c>
      <c r="CS7" s="43">
        <v>5000</v>
      </c>
      <c r="CT7" s="43">
        <v>-2137.9980652999998</v>
      </c>
      <c r="CU7" s="43">
        <v>2137.9980652999998</v>
      </c>
      <c r="CV7" s="43">
        <v>-4000</v>
      </c>
      <c r="CW7" s="43">
        <v>4000</v>
      </c>
      <c r="CX7" s="43">
        <v>4800</v>
      </c>
      <c r="CY7" s="43">
        <v>0</v>
      </c>
      <c r="CZ7" s="43">
        <v>12475.32154845</v>
      </c>
      <c r="DA7" s="43">
        <v>0</v>
      </c>
      <c r="DB7" s="114">
        <v>11837.9980653</v>
      </c>
      <c r="DC7" s="43"/>
      <c r="DD7" s="117">
        <v>26537.633000000002</v>
      </c>
      <c r="DE7" s="55">
        <v>1976.586</v>
      </c>
      <c r="DF7" s="59">
        <v>2602.5461510874002</v>
      </c>
      <c r="DG7" s="59">
        <v>31116.765151087402</v>
      </c>
      <c r="DH7" s="117">
        <v>6811.5410000000002</v>
      </c>
      <c r="DI7" s="117">
        <v>47372.411</v>
      </c>
      <c r="DJ7" s="55">
        <v>6255</v>
      </c>
      <c r="DK7" s="114">
        <v>53627.411</v>
      </c>
      <c r="DL7" s="43"/>
      <c r="DM7" s="117">
        <v>1053.7629999999999</v>
      </c>
      <c r="DN7" s="55">
        <v>10508.77584392489</v>
      </c>
      <c r="DO7" s="55">
        <v>11562.538843924889</v>
      </c>
      <c r="DP7" s="59">
        <v>1194.729528534212</v>
      </c>
      <c r="DQ7" s="59">
        <v>2907.757974290821</v>
      </c>
      <c r="DR7" s="59">
        <v>453.37764771000002</v>
      </c>
      <c r="DS7" s="55">
        <v>3361.1356220008211</v>
      </c>
      <c r="DT7" s="55">
        <v>161.54210968282339</v>
      </c>
      <c r="DU7" s="55">
        <v>161.54210968282339</v>
      </c>
      <c r="DW7" s="121">
        <v>0</v>
      </c>
      <c r="DX7" s="122">
        <v>6779.6610170000004</v>
      </c>
      <c r="DY7" s="128">
        <v>1447.7400829999999</v>
      </c>
      <c r="DZ7" s="128">
        <v>0</v>
      </c>
      <c r="EA7" s="121">
        <v>0</v>
      </c>
      <c r="EB7" s="122">
        <v>1553.672292</v>
      </c>
      <c r="EC7" s="121">
        <v>0</v>
      </c>
      <c r="ED7" s="122">
        <v>1271.1864410000001</v>
      </c>
      <c r="EE7" s="121">
        <v>0</v>
      </c>
      <c r="EF7" s="122">
        <v>847.5</v>
      </c>
      <c r="EG7" s="121">
        <v>0</v>
      </c>
      <c r="EH7" s="122">
        <v>7397.5988710000001</v>
      </c>
      <c r="EI7" s="121">
        <v>0</v>
      </c>
      <c r="EJ7" s="122">
        <v>6779.6610170000004</v>
      </c>
      <c r="EK7" s="129">
        <v>1553.672292</v>
      </c>
      <c r="EL7" s="130">
        <v>847.5</v>
      </c>
      <c r="EM7" s="131">
        <v>735.83500000000004</v>
      </c>
      <c r="EN7" s="129">
        <v>453.37764771000002</v>
      </c>
      <c r="EO7" s="129">
        <v>10964.025395000001</v>
      </c>
      <c r="EP7" s="129">
        <v>0</v>
      </c>
      <c r="ER7" s="157">
        <v>0</v>
      </c>
      <c r="ES7" s="37">
        <v>0</v>
      </c>
      <c r="ET7" s="55">
        <f t="shared" si="1"/>
        <v>0</v>
      </c>
      <c r="EU7" s="157">
        <v>0</v>
      </c>
      <c r="EV7" s="37">
        <v>0</v>
      </c>
      <c r="EW7" s="55">
        <f t="shared" si="0"/>
        <v>0</v>
      </c>
      <c r="EY7" s="166">
        <v>0</v>
      </c>
      <c r="EZ7" s="37">
        <v>3156.57</v>
      </c>
      <c r="FA7" s="164">
        <f t="shared" si="2"/>
        <v>0.23203283156840868</v>
      </c>
      <c r="FB7" s="5">
        <v>4613</v>
      </c>
      <c r="FC7" s="164">
        <f t="shared" si="3"/>
        <v>1</v>
      </c>
      <c r="FE7" s="5"/>
      <c r="FF7" s="166">
        <v>0</v>
      </c>
      <c r="FG7" s="37">
        <v>7040.3117086499997</v>
      </c>
      <c r="FH7" s="164">
        <f t="shared" si="4"/>
        <v>0.5285221709475818</v>
      </c>
      <c r="FI7" s="5">
        <v>0</v>
      </c>
      <c r="FJ7" s="164">
        <f t="shared" si="5"/>
        <v>0</v>
      </c>
      <c r="FL7" s="169">
        <v>7873</v>
      </c>
      <c r="FM7" s="170">
        <f t="shared" si="6"/>
        <v>0.68245451314546257</v>
      </c>
      <c r="FN7" s="169">
        <v>2591</v>
      </c>
      <c r="FO7" s="170">
        <f t="shared" si="7"/>
        <v>0.82634348588741824</v>
      </c>
    </row>
    <row r="8" spans="1:171" x14ac:dyDescent="0.35">
      <c r="A8" s="106" t="s">
        <v>158</v>
      </c>
      <c r="B8" s="107">
        <v>11643.6</v>
      </c>
      <c r="D8" s="108" t="s">
        <v>153</v>
      </c>
      <c r="E8" s="108">
        <v>4805</v>
      </c>
      <c r="F8" s="18"/>
      <c r="I8" s="108" t="s">
        <v>263</v>
      </c>
      <c r="J8" s="108">
        <v>508.3</v>
      </c>
      <c r="L8" s="108" t="s">
        <v>204</v>
      </c>
      <c r="M8" s="108">
        <v>1938.8</v>
      </c>
      <c r="P8" s="64">
        <v>6</v>
      </c>
      <c r="Q8" s="109">
        <v>0</v>
      </c>
      <c r="R8" s="110">
        <v>0</v>
      </c>
      <c r="S8" s="111">
        <v>0</v>
      </c>
      <c r="T8" s="110">
        <v>0</v>
      </c>
      <c r="U8" s="111">
        <v>0</v>
      </c>
      <c r="V8" s="110">
        <v>0</v>
      </c>
      <c r="W8" s="111">
        <v>0</v>
      </c>
      <c r="X8" s="110">
        <v>0</v>
      </c>
      <c r="Y8" s="111">
        <v>0</v>
      </c>
      <c r="Z8" s="110">
        <v>0</v>
      </c>
      <c r="AA8" s="111">
        <v>0</v>
      </c>
      <c r="AB8" s="110">
        <v>0</v>
      </c>
      <c r="AC8" s="111">
        <v>0</v>
      </c>
      <c r="AD8" s="110">
        <v>0</v>
      </c>
      <c r="AF8" s="64">
        <v>6</v>
      </c>
      <c r="AG8" s="109">
        <v>28835.9352</v>
      </c>
      <c r="AH8" s="111">
        <v>1393.8</v>
      </c>
      <c r="AI8" s="109">
        <v>303</v>
      </c>
      <c r="AJ8" s="59">
        <v>0.32400000000000001</v>
      </c>
      <c r="AK8" s="59">
        <v>0.60599999999999998</v>
      </c>
      <c r="AL8" s="59">
        <v>0.60599999999999998</v>
      </c>
      <c r="AM8" s="110">
        <v>62.661999999999999</v>
      </c>
      <c r="AN8" s="111">
        <v>2072.5608000000002</v>
      </c>
      <c r="AO8" s="59">
        <v>9.7000000000000003E-2</v>
      </c>
      <c r="AP8" s="55">
        <v>0.17800000000000002</v>
      </c>
      <c r="AQ8" s="109">
        <v>21363.4</v>
      </c>
      <c r="AR8" s="111">
        <v>19578.150000000001</v>
      </c>
      <c r="AS8" s="59">
        <v>0.47900000000000004</v>
      </c>
      <c r="AT8" s="55">
        <v>0.83400000000000007</v>
      </c>
      <c r="AU8" s="43"/>
      <c r="AV8" s="109">
        <v>716.63400000000001</v>
      </c>
      <c r="AW8" s="110">
        <v>0.2909999756361008</v>
      </c>
      <c r="AX8" s="109">
        <v>890.92200000000003</v>
      </c>
      <c r="AY8" s="110">
        <v>0.55440074673304296</v>
      </c>
      <c r="AZ8" s="109">
        <v>1121.4780000000001</v>
      </c>
      <c r="BA8" s="110">
        <v>0.5784392407674851</v>
      </c>
      <c r="BB8" s="43"/>
      <c r="BC8" s="112">
        <v>51358.995000000003</v>
      </c>
      <c r="BD8" s="110">
        <v>0.73770491803278682</v>
      </c>
      <c r="BE8" s="43"/>
      <c r="BF8" s="157">
        <v>12302.136</v>
      </c>
      <c r="BG8" s="43">
        <v>0</v>
      </c>
      <c r="BH8" s="113">
        <v>0</v>
      </c>
      <c r="BI8" s="114">
        <v>0.37736613496932514</v>
      </c>
      <c r="BJ8" s="115">
        <v>0</v>
      </c>
      <c r="BK8" s="113">
        <v>0</v>
      </c>
      <c r="BL8" s="113">
        <v>0</v>
      </c>
      <c r="BM8" s="113">
        <v>0</v>
      </c>
      <c r="BN8" s="113">
        <v>1069.221</v>
      </c>
      <c r="BO8" s="114">
        <v>7.9330835435524563E-2</v>
      </c>
      <c r="BP8" s="115">
        <v>0</v>
      </c>
      <c r="BQ8" s="43">
        <v>7668</v>
      </c>
      <c r="BR8" s="43">
        <v>650.29916550999997</v>
      </c>
      <c r="BS8" s="43"/>
      <c r="BT8" s="116">
        <v>-700</v>
      </c>
      <c r="BU8" s="43">
        <v>0</v>
      </c>
      <c r="BV8" s="43">
        <v>4485</v>
      </c>
      <c r="BW8" s="43">
        <v>4485</v>
      </c>
      <c r="BX8" s="43">
        <v>0</v>
      </c>
      <c r="BY8" s="43">
        <v>0</v>
      </c>
      <c r="BZ8" s="43">
        <v>-5000</v>
      </c>
      <c r="CA8" s="43">
        <v>0</v>
      </c>
      <c r="CB8" s="43">
        <v>0</v>
      </c>
      <c r="CC8" s="43">
        <v>0</v>
      </c>
      <c r="CD8" s="43">
        <v>-4000</v>
      </c>
      <c r="CE8" s="43">
        <v>0</v>
      </c>
      <c r="CF8" s="43">
        <v>4800</v>
      </c>
      <c r="CG8" s="43">
        <v>4800</v>
      </c>
      <c r="CH8" s="43">
        <v>16766.796405789999</v>
      </c>
      <c r="CI8" s="43">
        <v>16766.796405789999</v>
      </c>
      <c r="CJ8" s="114">
        <v>26051.796405789999</v>
      </c>
      <c r="CK8" s="43"/>
      <c r="CL8" s="116">
        <v>-700</v>
      </c>
      <c r="CM8" s="43">
        <v>700</v>
      </c>
      <c r="CN8" s="43">
        <v>4485</v>
      </c>
      <c r="CO8" s="43">
        <v>0</v>
      </c>
      <c r="CP8" s="43">
        <v>0</v>
      </c>
      <c r="CQ8" s="43">
        <v>0</v>
      </c>
      <c r="CR8" s="43">
        <v>-5000</v>
      </c>
      <c r="CS8" s="43">
        <v>5000</v>
      </c>
      <c r="CT8" s="43">
        <v>0</v>
      </c>
      <c r="CU8" s="43">
        <v>0</v>
      </c>
      <c r="CV8" s="43">
        <v>-4000</v>
      </c>
      <c r="CW8" s="43">
        <v>4000</v>
      </c>
      <c r="CX8" s="43">
        <v>4800</v>
      </c>
      <c r="CY8" s="43">
        <v>0</v>
      </c>
      <c r="CZ8" s="43">
        <v>16766.796405789999</v>
      </c>
      <c r="DA8" s="43">
        <v>0</v>
      </c>
      <c r="DB8" s="114">
        <v>9700</v>
      </c>
      <c r="DC8" s="43"/>
      <c r="DD8" s="117">
        <v>27552.059000000001</v>
      </c>
      <c r="DE8" s="55">
        <v>1965.6310000000001</v>
      </c>
      <c r="DF8" s="59">
        <v>2801.3606452398999</v>
      </c>
      <c r="DG8" s="59">
        <v>32319.050645239902</v>
      </c>
      <c r="DH8" s="117">
        <v>6946.607</v>
      </c>
      <c r="DI8" s="117">
        <v>47878.411</v>
      </c>
      <c r="DJ8" s="55">
        <v>6340</v>
      </c>
      <c r="DK8" s="114">
        <v>54218.411</v>
      </c>
      <c r="DL8" s="43"/>
      <c r="DM8" s="117">
        <v>1230.7260000000001</v>
      </c>
      <c r="DN8" s="55">
        <v>10540.1958456256</v>
      </c>
      <c r="DO8" s="55">
        <v>11770.9218456256</v>
      </c>
      <c r="DP8" s="59">
        <v>1292.686005011112</v>
      </c>
      <c r="DQ8" s="59">
        <v>2924.3137231413061</v>
      </c>
      <c r="DR8" s="59">
        <v>436.82189885999998</v>
      </c>
      <c r="DS8" s="55">
        <v>3361.1356220013063</v>
      </c>
      <c r="DT8" s="55">
        <v>162.46187350785041</v>
      </c>
      <c r="DU8" s="55">
        <v>162.46187350785041</v>
      </c>
      <c r="DW8" s="121">
        <v>0</v>
      </c>
      <c r="DX8" s="122">
        <v>6779.6610170000004</v>
      </c>
      <c r="DY8" s="128">
        <v>1447.7400829999999</v>
      </c>
      <c r="DZ8" s="128">
        <v>0</v>
      </c>
      <c r="EA8" s="121">
        <v>0</v>
      </c>
      <c r="EB8" s="122">
        <v>1553.672292</v>
      </c>
      <c r="EC8" s="121">
        <v>0</v>
      </c>
      <c r="ED8" s="122">
        <v>1271.1864410000001</v>
      </c>
      <c r="EE8" s="121">
        <v>0</v>
      </c>
      <c r="EF8" s="122">
        <v>847.5</v>
      </c>
      <c r="EG8" s="121">
        <v>0</v>
      </c>
      <c r="EH8" s="122">
        <v>7397.5988710000001</v>
      </c>
      <c r="EI8" s="121">
        <v>0</v>
      </c>
      <c r="EJ8" s="122">
        <v>6779.6610170000004</v>
      </c>
      <c r="EK8" s="129">
        <v>1553.672292</v>
      </c>
      <c r="EL8" s="130">
        <v>847.5</v>
      </c>
      <c r="EM8" s="131">
        <v>735.83500000000004</v>
      </c>
      <c r="EN8" s="129">
        <v>436.82189885999998</v>
      </c>
      <c r="EO8" s="129">
        <v>10964.025395000001</v>
      </c>
      <c r="EP8" s="129">
        <v>0</v>
      </c>
      <c r="ER8" s="157">
        <v>0</v>
      </c>
      <c r="ES8" s="37">
        <v>0</v>
      </c>
      <c r="ET8" s="55">
        <f t="shared" si="1"/>
        <v>0</v>
      </c>
      <c r="EU8" s="157">
        <v>0</v>
      </c>
      <c r="EV8" s="37">
        <v>0</v>
      </c>
      <c r="EW8" s="55">
        <f t="shared" si="0"/>
        <v>0</v>
      </c>
      <c r="EY8" s="166">
        <v>0</v>
      </c>
      <c r="EZ8" s="37">
        <v>3156.57</v>
      </c>
      <c r="FA8" s="164">
        <f t="shared" si="2"/>
        <v>0.23203283156840868</v>
      </c>
      <c r="FB8" s="5">
        <v>4613</v>
      </c>
      <c r="FC8" s="164">
        <f t="shared" si="3"/>
        <v>1</v>
      </c>
      <c r="FE8" s="5"/>
      <c r="FF8" s="166">
        <v>0</v>
      </c>
      <c r="FG8" s="37">
        <v>10423.35</v>
      </c>
      <c r="FH8" s="164">
        <f t="shared" si="4"/>
        <v>0.78248972467766453</v>
      </c>
      <c r="FI8" s="5">
        <v>0</v>
      </c>
      <c r="FJ8" s="164">
        <f t="shared" si="5"/>
        <v>0</v>
      </c>
      <c r="FL8" s="169">
        <v>7873</v>
      </c>
      <c r="FM8" s="170">
        <f t="shared" si="6"/>
        <v>0.68245451314546257</v>
      </c>
      <c r="FN8" s="169">
        <v>2591</v>
      </c>
      <c r="FO8" s="170">
        <f t="shared" si="7"/>
        <v>0.82634348588741824</v>
      </c>
    </row>
    <row r="9" spans="1:171" x14ac:dyDescent="0.35">
      <c r="A9" s="132" t="s">
        <v>157</v>
      </c>
      <c r="B9" s="133">
        <v>0</v>
      </c>
      <c r="D9" s="108" t="s">
        <v>165</v>
      </c>
      <c r="E9" s="108">
        <v>2462.66</v>
      </c>
      <c r="F9" s="18"/>
      <c r="I9" s="108" t="s">
        <v>264</v>
      </c>
      <c r="J9" s="108">
        <v>3135.5</v>
      </c>
      <c r="L9" s="108" t="s">
        <v>265</v>
      </c>
      <c r="M9" s="108">
        <v>11600</v>
      </c>
      <c r="P9" s="64">
        <v>7</v>
      </c>
      <c r="Q9" s="109">
        <v>0</v>
      </c>
      <c r="R9" s="110">
        <v>0</v>
      </c>
      <c r="S9" s="111">
        <v>0</v>
      </c>
      <c r="T9" s="110">
        <v>0</v>
      </c>
      <c r="U9" s="111">
        <v>0</v>
      </c>
      <c r="V9" s="110">
        <v>0</v>
      </c>
      <c r="W9" s="111">
        <v>0</v>
      </c>
      <c r="X9" s="110">
        <v>0</v>
      </c>
      <c r="Y9" s="111">
        <v>0</v>
      </c>
      <c r="Z9" s="110">
        <v>0</v>
      </c>
      <c r="AA9" s="111">
        <v>0</v>
      </c>
      <c r="AB9" s="110">
        <v>0</v>
      </c>
      <c r="AC9" s="111">
        <v>0</v>
      </c>
      <c r="AD9" s="110">
        <v>0</v>
      </c>
      <c r="AF9" s="64">
        <v>7</v>
      </c>
      <c r="AG9" s="109">
        <v>26966.939399999999</v>
      </c>
      <c r="AH9" s="111">
        <v>1324.8</v>
      </c>
      <c r="AI9" s="109">
        <v>288</v>
      </c>
      <c r="AJ9" s="59">
        <v>0.30299999999999999</v>
      </c>
      <c r="AK9" s="59">
        <v>0.57599999999999996</v>
      </c>
      <c r="AL9" s="59">
        <v>0.57599999999999996</v>
      </c>
      <c r="AM9" s="110">
        <v>59.432000000000002</v>
      </c>
      <c r="AN9" s="111">
        <v>2130.7788</v>
      </c>
      <c r="AO9" s="59">
        <v>9.1999999999999998E-2</v>
      </c>
      <c r="AP9" s="55">
        <v>0.183</v>
      </c>
      <c r="AQ9" s="109">
        <v>21809.4</v>
      </c>
      <c r="AR9" s="111">
        <v>19742.474999999999</v>
      </c>
      <c r="AS9" s="59">
        <v>0.48900000000000005</v>
      </c>
      <c r="AT9" s="55">
        <v>0.84099999999999997</v>
      </c>
      <c r="AU9" s="43"/>
      <c r="AV9" s="109">
        <v>807.75199999999995</v>
      </c>
      <c r="AW9" s="110">
        <v>0.32799980508880644</v>
      </c>
      <c r="AX9" s="109">
        <v>907.654</v>
      </c>
      <c r="AY9" s="110">
        <v>0.56481269446172988</v>
      </c>
      <c r="AZ9" s="109">
        <v>1121.4780000000001</v>
      </c>
      <c r="BA9" s="110">
        <v>0.5784392407674851</v>
      </c>
      <c r="BB9" s="43"/>
      <c r="BC9" s="112">
        <v>51358.995000000003</v>
      </c>
      <c r="BD9" s="110">
        <v>0.73770491803278682</v>
      </c>
      <c r="BE9" s="43"/>
      <c r="BF9" s="157">
        <v>11503.817999999999</v>
      </c>
      <c r="BG9" s="43">
        <v>0</v>
      </c>
      <c r="BH9" s="113">
        <v>0</v>
      </c>
      <c r="BI9" s="114">
        <v>0.35287785276073619</v>
      </c>
      <c r="BJ9" s="115">
        <v>0</v>
      </c>
      <c r="BK9" s="113">
        <v>0</v>
      </c>
      <c r="BL9" s="113">
        <v>0</v>
      </c>
      <c r="BM9" s="113">
        <v>0</v>
      </c>
      <c r="BN9" s="113">
        <v>1034.4000000000001</v>
      </c>
      <c r="BO9" s="114">
        <v>7.6747291883068711E-2</v>
      </c>
      <c r="BP9" s="115">
        <v>0</v>
      </c>
      <c r="BQ9" s="43">
        <v>7668</v>
      </c>
      <c r="BR9" s="43">
        <v>650.75904741999989</v>
      </c>
      <c r="BS9" s="43"/>
      <c r="BT9" s="116">
        <v>-700</v>
      </c>
      <c r="BU9" s="43">
        <v>0</v>
      </c>
      <c r="BV9" s="43">
        <v>4485</v>
      </c>
      <c r="BW9" s="43">
        <v>4485</v>
      </c>
      <c r="BX9" s="43">
        <v>0</v>
      </c>
      <c r="BY9" s="43">
        <v>0</v>
      </c>
      <c r="BZ9" s="43">
        <v>-5000</v>
      </c>
      <c r="CA9" s="43">
        <v>0</v>
      </c>
      <c r="CB9" s="43">
        <v>-1692.9680953100001</v>
      </c>
      <c r="CC9" s="43">
        <v>0</v>
      </c>
      <c r="CD9" s="43">
        <v>-4000</v>
      </c>
      <c r="CE9" s="43">
        <v>0</v>
      </c>
      <c r="CF9" s="43">
        <v>4800</v>
      </c>
      <c r="CG9" s="43">
        <v>4800</v>
      </c>
      <c r="CH9" s="43">
        <v>11390.79910111</v>
      </c>
      <c r="CI9" s="43">
        <v>11390.79910111</v>
      </c>
      <c r="CJ9" s="114">
        <v>20675.799101110002</v>
      </c>
      <c r="CK9" s="43"/>
      <c r="CL9" s="116">
        <v>-700</v>
      </c>
      <c r="CM9" s="43">
        <v>700</v>
      </c>
      <c r="CN9" s="43">
        <v>4485</v>
      </c>
      <c r="CO9" s="43">
        <v>0</v>
      </c>
      <c r="CP9" s="43">
        <v>0</v>
      </c>
      <c r="CQ9" s="43">
        <v>0</v>
      </c>
      <c r="CR9" s="43">
        <v>-5000</v>
      </c>
      <c r="CS9" s="43">
        <v>5000</v>
      </c>
      <c r="CT9" s="43">
        <v>-1692.9680953100001</v>
      </c>
      <c r="CU9" s="43">
        <v>1692.9680953100001</v>
      </c>
      <c r="CV9" s="43">
        <v>-4000</v>
      </c>
      <c r="CW9" s="43">
        <v>4000</v>
      </c>
      <c r="CX9" s="43">
        <v>4800</v>
      </c>
      <c r="CY9" s="43">
        <v>0</v>
      </c>
      <c r="CZ9" s="43">
        <v>11390.79910111</v>
      </c>
      <c r="DA9" s="43">
        <v>0</v>
      </c>
      <c r="DB9" s="114">
        <v>11392.96809531</v>
      </c>
      <c r="DC9" s="43"/>
      <c r="DD9" s="117">
        <v>29332.198</v>
      </c>
      <c r="DE9" s="55">
        <v>1971.125</v>
      </c>
      <c r="DF9" s="59">
        <v>3547.0086195078002</v>
      </c>
      <c r="DG9" s="59">
        <v>34850.3316195078</v>
      </c>
      <c r="DH9" s="117">
        <v>7154.4179999999997</v>
      </c>
      <c r="DI9" s="117">
        <v>48168.411</v>
      </c>
      <c r="DJ9" s="55">
        <v>6425</v>
      </c>
      <c r="DK9" s="114">
        <v>54593.411</v>
      </c>
      <c r="DL9" s="43"/>
      <c r="DM9" s="117">
        <v>1295.18</v>
      </c>
      <c r="DN9" s="55">
        <v>10555.905846475949</v>
      </c>
      <c r="DO9" s="55">
        <v>11851.085846475949</v>
      </c>
      <c r="DP9" s="59">
        <v>1390.642481488012</v>
      </c>
      <c r="DQ9" s="59">
        <v>2932.5915975665489</v>
      </c>
      <c r="DR9" s="59">
        <v>428.54402442999998</v>
      </c>
      <c r="DS9" s="55">
        <v>3361.1356219965487</v>
      </c>
      <c r="DT9" s="55">
        <v>162.92175542036381</v>
      </c>
      <c r="DU9" s="55">
        <v>162.92175542036381</v>
      </c>
      <c r="DW9" s="121">
        <v>0</v>
      </c>
      <c r="DX9" s="122">
        <v>6779.6610170000004</v>
      </c>
      <c r="DY9" s="128">
        <v>1447.7400829999999</v>
      </c>
      <c r="DZ9" s="128">
        <v>0</v>
      </c>
      <c r="EA9" s="121">
        <v>0</v>
      </c>
      <c r="EB9" s="122">
        <v>1553.672292</v>
      </c>
      <c r="EC9" s="121">
        <v>0</v>
      </c>
      <c r="ED9" s="122">
        <v>1271.1864410000001</v>
      </c>
      <c r="EE9" s="121">
        <v>0</v>
      </c>
      <c r="EF9" s="122">
        <v>847.5</v>
      </c>
      <c r="EG9" s="121">
        <v>0</v>
      </c>
      <c r="EH9" s="122">
        <v>7397.5988710000001</v>
      </c>
      <c r="EI9" s="121">
        <v>0</v>
      </c>
      <c r="EJ9" s="122">
        <v>6779.6610170000004</v>
      </c>
      <c r="EK9" s="129">
        <v>1553.672292</v>
      </c>
      <c r="EL9" s="130">
        <v>847.5</v>
      </c>
      <c r="EM9" s="131">
        <v>735.83500000000004</v>
      </c>
      <c r="EN9" s="129">
        <v>428.54402442999998</v>
      </c>
      <c r="EO9" s="129">
        <v>10964.025395000001</v>
      </c>
      <c r="EP9" s="129">
        <v>0</v>
      </c>
      <c r="ER9" s="157">
        <v>0</v>
      </c>
      <c r="ES9" s="37">
        <v>0</v>
      </c>
      <c r="ET9" s="55">
        <f t="shared" si="1"/>
        <v>0</v>
      </c>
      <c r="EU9" s="157">
        <v>0</v>
      </c>
      <c r="EV9" s="37">
        <v>0</v>
      </c>
      <c r="EW9" s="55">
        <f t="shared" si="0"/>
        <v>0</v>
      </c>
      <c r="EY9" s="166">
        <v>0</v>
      </c>
      <c r="EZ9" s="37">
        <v>3156.57</v>
      </c>
      <c r="FA9" s="164">
        <f t="shared" si="2"/>
        <v>0.23203283156840868</v>
      </c>
      <c r="FB9" s="5">
        <v>4613</v>
      </c>
      <c r="FC9" s="164">
        <f t="shared" si="3"/>
        <v>1</v>
      </c>
      <c r="FE9" s="5"/>
      <c r="FF9" s="166">
        <v>0</v>
      </c>
      <c r="FG9" s="37">
        <v>8697.2256123299994</v>
      </c>
      <c r="FH9" s="164">
        <f t="shared" si="4"/>
        <v>0.65290810294690604</v>
      </c>
      <c r="FI9" s="5">
        <v>0</v>
      </c>
      <c r="FJ9" s="164">
        <f t="shared" si="5"/>
        <v>0</v>
      </c>
      <c r="FL9" s="169">
        <v>7873</v>
      </c>
      <c r="FM9" s="170">
        <f t="shared" si="6"/>
        <v>0.68245451314546257</v>
      </c>
      <c r="FN9" s="169">
        <v>2591</v>
      </c>
      <c r="FO9" s="170">
        <f t="shared" si="7"/>
        <v>0.82634348588741824</v>
      </c>
    </row>
    <row r="10" spans="1:171" x14ac:dyDescent="0.35">
      <c r="A10" s="74" t="s">
        <v>166</v>
      </c>
      <c r="B10" s="134">
        <v>2462.66</v>
      </c>
      <c r="D10" s="108" t="s">
        <v>266</v>
      </c>
      <c r="E10" s="108">
        <v>3117.92</v>
      </c>
      <c r="F10" s="18"/>
      <c r="I10" s="108" t="s">
        <v>267</v>
      </c>
      <c r="J10" s="108">
        <v>4613</v>
      </c>
      <c r="L10" s="108" t="s">
        <v>268</v>
      </c>
      <c r="M10" s="108">
        <v>9849.0400000000009</v>
      </c>
      <c r="P10" s="64">
        <v>8</v>
      </c>
      <c r="Q10" s="109">
        <v>0</v>
      </c>
      <c r="R10" s="110">
        <v>0</v>
      </c>
      <c r="S10" s="111">
        <v>0</v>
      </c>
      <c r="T10" s="110">
        <v>0</v>
      </c>
      <c r="U10" s="111">
        <v>0</v>
      </c>
      <c r="V10" s="110">
        <v>0</v>
      </c>
      <c r="W10" s="111">
        <v>0</v>
      </c>
      <c r="X10" s="110">
        <v>0</v>
      </c>
      <c r="Y10" s="111">
        <v>0</v>
      </c>
      <c r="Z10" s="110">
        <v>0</v>
      </c>
      <c r="AA10" s="111">
        <v>0</v>
      </c>
      <c r="AB10" s="110">
        <v>0</v>
      </c>
      <c r="AC10" s="111">
        <v>0</v>
      </c>
      <c r="AD10" s="110">
        <v>0</v>
      </c>
      <c r="AF10" s="64">
        <v>8</v>
      </c>
      <c r="AG10" s="109">
        <v>21804.951000000001</v>
      </c>
      <c r="AH10" s="111">
        <v>1258.0999999999999</v>
      </c>
      <c r="AI10" s="109">
        <v>273.5</v>
      </c>
      <c r="AJ10" s="59">
        <v>0.245</v>
      </c>
      <c r="AK10" s="59">
        <v>0.54699999999999993</v>
      </c>
      <c r="AL10" s="59">
        <v>0.54700000000000004</v>
      </c>
      <c r="AM10" s="110">
        <v>58.786000000000001</v>
      </c>
      <c r="AN10" s="111">
        <v>2130.7788</v>
      </c>
      <c r="AO10" s="59">
        <v>9.0999999999999998E-2</v>
      </c>
      <c r="AP10" s="55">
        <v>0.183</v>
      </c>
      <c r="AQ10" s="109">
        <v>22121.599999999999</v>
      </c>
      <c r="AR10" s="111">
        <v>19930.275000000001</v>
      </c>
      <c r="AS10" s="59">
        <v>0.49599999999999994</v>
      </c>
      <c r="AT10" s="55">
        <v>0.84900000000000009</v>
      </c>
      <c r="AU10" s="43"/>
      <c r="AV10" s="109">
        <v>881.63199999999995</v>
      </c>
      <c r="AW10" s="110">
        <v>0.35799988630180374</v>
      </c>
      <c r="AX10" s="109">
        <v>914.14400000000001</v>
      </c>
      <c r="AY10" s="110">
        <v>0.56885127566894833</v>
      </c>
      <c r="AZ10" s="109">
        <v>1121.4780000000001</v>
      </c>
      <c r="BA10" s="110">
        <v>0.5784392407674851</v>
      </c>
      <c r="BB10" s="43"/>
      <c r="BC10" s="112">
        <v>51358.995000000003</v>
      </c>
      <c r="BD10" s="110">
        <v>0.73770491803278682</v>
      </c>
      <c r="BE10" s="43"/>
      <c r="BF10" s="157">
        <v>9322.5859999999993</v>
      </c>
      <c r="BG10" s="43">
        <v>0</v>
      </c>
      <c r="BH10" s="113">
        <v>0</v>
      </c>
      <c r="BI10" s="114">
        <v>0.28596889570552148</v>
      </c>
      <c r="BJ10" s="115">
        <v>0</v>
      </c>
      <c r="BK10" s="113">
        <v>0</v>
      </c>
      <c r="BL10" s="113">
        <v>0</v>
      </c>
      <c r="BM10" s="113">
        <v>0</v>
      </c>
      <c r="BN10" s="113">
        <v>1038.8150000000001</v>
      </c>
      <c r="BO10" s="114">
        <v>7.7074862739278827E-2</v>
      </c>
      <c r="BP10" s="115">
        <v>0</v>
      </c>
      <c r="BQ10" s="43">
        <v>7668</v>
      </c>
      <c r="BR10" s="43">
        <v>651.21892933000004</v>
      </c>
      <c r="BS10" s="43"/>
      <c r="BT10" s="116">
        <v>-700</v>
      </c>
      <c r="BU10" s="43">
        <v>0</v>
      </c>
      <c r="BV10" s="43">
        <v>4485</v>
      </c>
      <c r="BW10" s="43">
        <v>4485</v>
      </c>
      <c r="BX10" s="43">
        <v>0</v>
      </c>
      <c r="BY10" s="43">
        <v>0</v>
      </c>
      <c r="BZ10" s="43">
        <v>-5000</v>
      </c>
      <c r="CA10" s="43">
        <v>0</v>
      </c>
      <c r="CB10" s="43">
        <v>-1588.07461242</v>
      </c>
      <c r="CC10" s="43">
        <v>0</v>
      </c>
      <c r="CD10" s="43">
        <v>-4000</v>
      </c>
      <c r="CE10" s="43">
        <v>0</v>
      </c>
      <c r="CF10" s="43">
        <v>4800</v>
      </c>
      <c r="CG10" s="43">
        <v>4800</v>
      </c>
      <c r="CH10" s="43">
        <v>11792.66902114</v>
      </c>
      <c r="CI10" s="43">
        <v>11792.66902114</v>
      </c>
      <c r="CJ10" s="114">
        <v>21077.669021139998</v>
      </c>
      <c r="CK10" s="43"/>
      <c r="CL10" s="116">
        <v>-700</v>
      </c>
      <c r="CM10" s="43">
        <v>700</v>
      </c>
      <c r="CN10" s="43">
        <v>4485</v>
      </c>
      <c r="CO10" s="43">
        <v>0</v>
      </c>
      <c r="CP10" s="43">
        <v>0</v>
      </c>
      <c r="CQ10" s="43">
        <v>0</v>
      </c>
      <c r="CR10" s="43">
        <v>-5000</v>
      </c>
      <c r="CS10" s="43">
        <v>5000</v>
      </c>
      <c r="CT10" s="43">
        <v>-1588.07461242</v>
      </c>
      <c r="CU10" s="43">
        <v>1588.07461242</v>
      </c>
      <c r="CV10" s="43">
        <v>-4000</v>
      </c>
      <c r="CW10" s="43">
        <v>4000</v>
      </c>
      <c r="CX10" s="43">
        <v>4800</v>
      </c>
      <c r="CY10" s="43">
        <v>0</v>
      </c>
      <c r="CZ10" s="43">
        <v>11792.66902114</v>
      </c>
      <c r="DA10" s="43">
        <v>0</v>
      </c>
      <c r="DB10" s="114">
        <v>11288.07461242</v>
      </c>
      <c r="DC10" s="43"/>
      <c r="DD10" s="117">
        <v>31087.021000000001</v>
      </c>
      <c r="DE10" s="55">
        <v>1985.193</v>
      </c>
      <c r="DF10" s="59">
        <v>3967.9018050702002</v>
      </c>
      <c r="DG10" s="59">
        <v>37040.1158050702</v>
      </c>
      <c r="DH10" s="117">
        <v>7300.0959999999995</v>
      </c>
      <c r="DI10" s="117">
        <v>48105.411</v>
      </c>
      <c r="DJ10" s="55">
        <v>6568</v>
      </c>
      <c r="DK10" s="114">
        <v>54673.411</v>
      </c>
      <c r="DL10" s="43"/>
      <c r="DM10" s="117">
        <v>1287.586</v>
      </c>
      <c r="DN10" s="55">
        <v>10571.615847326309</v>
      </c>
      <c r="DO10" s="55">
        <v>11859.201847326309</v>
      </c>
      <c r="DP10" s="59">
        <v>1483.443353939811</v>
      </c>
      <c r="DQ10" s="59">
        <v>2940.8694719917921</v>
      </c>
      <c r="DR10" s="59">
        <v>420.26615000999999</v>
      </c>
      <c r="DS10" s="55">
        <v>3361.1356220017919</v>
      </c>
      <c r="DT10" s="55">
        <v>163.38163733287729</v>
      </c>
      <c r="DU10" s="55">
        <v>163.38163733287729</v>
      </c>
      <c r="DW10" s="121">
        <v>0</v>
      </c>
      <c r="DX10" s="122">
        <v>6779.6610170000004</v>
      </c>
      <c r="DY10" s="128">
        <v>1447.7400829999999</v>
      </c>
      <c r="DZ10" s="128">
        <v>0</v>
      </c>
      <c r="EA10" s="121">
        <v>0</v>
      </c>
      <c r="EB10" s="122">
        <v>1553.672292</v>
      </c>
      <c r="EC10" s="121">
        <v>0</v>
      </c>
      <c r="ED10" s="122">
        <v>1271.1864410000001</v>
      </c>
      <c r="EE10" s="121">
        <v>0</v>
      </c>
      <c r="EF10" s="122">
        <v>847.5</v>
      </c>
      <c r="EG10" s="121">
        <v>0</v>
      </c>
      <c r="EH10" s="122">
        <v>7397.5988710000001</v>
      </c>
      <c r="EI10" s="121">
        <v>0</v>
      </c>
      <c r="EJ10" s="122">
        <v>6779.6610170000004</v>
      </c>
      <c r="EK10" s="129">
        <v>1553.672292</v>
      </c>
      <c r="EL10" s="130">
        <v>847.5</v>
      </c>
      <c r="EM10" s="131">
        <v>735.83500000000004</v>
      </c>
      <c r="EN10" s="129">
        <v>420.26615000999999</v>
      </c>
      <c r="EO10" s="129">
        <v>10964.025395000001</v>
      </c>
      <c r="EP10" s="129">
        <v>0</v>
      </c>
      <c r="ER10" s="157">
        <v>0</v>
      </c>
      <c r="ES10" s="37">
        <v>0</v>
      </c>
      <c r="ET10" s="55">
        <f t="shared" si="1"/>
        <v>0</v>
      </c>
      <c r="EU10" s="157">
        <v>0</v>
      </c>
      <c r="EV10" s="37">
        <v>0</v>
      </c>
      <c r="EW10" s="55">
        <f t="shared" si="0"/>
        <v>0</v>
      </c>
      <c r="EY10" s="166">
        <v>0</v>
      </c>
      <c r="EZ10" s="37">
        <v>3156.57</v>
      </c>
      <c r="FA10" s="164">
        <f t="shared" si="2"/>
        <v>0.23203283156840868</v>
      </c>
      <c r="FB10" s="5">
        <v>4613</v>
      </c>
      <c r="FC10" s="164">
        <f t="shared" si="3"/>
        <v>1</v>
      </c>
      <c r="FE10" s="5"/>
      <c r="FF10" s="166">
        <v>0</v>
      </c>
      <c r="FG10" s="37">
        <v>0</v>
      </c>
      <c r="FH10" s="164">
        <f t="shared" si="4"/>
        <v>0</v>
      </c>
      <c r="FI10" s="5">
        <v>0</v>
      </c>
      <c r="FJ10" s="164">
        <f t="shared" si="5"/>
        <v>0</v>
      </c>
      <c r="FL10" s="169">
        <v>7873</v>
      </c>
      <c r="FM10" s="170">
        <f t="shared" si="6"/>
        <v>0.68245451314546257</v>
      </c>
      <c r="FN10" s="169">
        <v>2591</v>
      </c>
      <c r="FO10" s="170">
        <f t="shared" si="7"/>
        <v>0.82634348588741824</v>
      </c>
    </row>
    <row r="11" spans="1:171" x14ac:dyDescent="0.35">
      <c r="A11" s="132" t="s">
        <v>167</v>
      </c>
      <c r="B11" s="133">
        <v>1607</v>
      </c>
      <c r="D11" s="108" t="s">
        <v>269</v>
      </c>
      <c r="E11" s="108">
        <v>11536.3</v>
      </c>
      <c r="F11" s="18"/>
      <c r="I11" s="108" t="s">
        <v>270</v>
      </c>
      <c r="J11" s="108">
        <v>3837</v>
      </c>
      <c r="L11" s="108" t="s">
        <v>271</v>
      </c>
      <c r="M11" s="108">
        <v>3304.57</v>
      </c>
      <c r="P11" s="64">
        <v>9</v>
      </c>
      <c r="Q11" s="109">
        <v>0</v>
      </c>
      <c r="R11" s="110">
        <v>0</v>
      </c>
      <c r="S11" s="111">
        <v>0</v>
      </c>
      <c r="T11" s="110">
        <v>0</v>
      </c>
      <c r="U11" s="111">
        <v>0</v>
      </c>
      <c r="V11" s="110">
        <v>0</v>
      </c>
      <c r="W11" s="111">
        <v>0</v>
      </c>
      <c r="X11" s="110">
        <v>0</v>
      </c>
      <c r="Y11" s="111">
        <v>0</v>
      </c>
      <c r="Z11" s="110">
        <v>0</v>
      </c>
      <c r="AA11" s="111">
        <v>0</v>
      </c>
      <c r="AB11" s="110">
        <v>0</v>
      </c>
      <c r="AC11" s="111">
        <v>0</v>
      </c>
      <c r="AD11" s="110">
        <v>0</v>
      </c>
      <c r="AF11" s="64">
        <v>9</v>
      </c>
      <c r="AG11" s="109">
        <v>16998.961800000001</v>
      </c>
      <c r="AH11" s="111">
        <v>1207.5</v>
      </c>
      <c r="AI11" s="109">
        <v>262.5</v>
      </c>
      <c r="AJ11" s="59">
        <v>0.191</v>
      </c>
      <c r="AK11" s="59">
        <v>0.52500000000000002</v>
      </c>
      <c r="AL11" s="59">
        <v>0.52500000000000002</v>
      </c>
      <c r="AM11" s="110">
        <v>57.494</v>
      </c>
      <c r="AN11" s="111">
        <v>2002.6992</v>
      </c>
      <c r="AO11" s="59">
        <v>8.8999999999999996E-2</v>
      </c>
      <c r="AP11" s="55">
        <v>0.17199999999999999</v>
      </c>
      <c r="AQ11" s="109">
        <v>22077</v>
      </c>
      <c r="AR11" s="111">
        <v>20446.724999999999</v>
      </c>
      <c r="AS11" s="59">
        <v>0.495</v>
      </c>
      <c r="AT11" s="55">
        <v>0.87099999999999989</v>
      </c>
      <c r="AU11" s="43"/>
      <c r="AV11" s="109">
        <v>913.64700000000005</v>
      </c>
      <c r="AW11" s="110">
        <v>0.37100005684909815</v>
      </c>
      <c r="AX11" s="109">
        <v>911.74300000000005</v>
      </c>
      <c r="AY11" s="110">
        <v>0.5673571873055383</v>
      </c>
      <c r="AZ11" s="109">
        <v>1121.4780000000001</v>
      </c>
      <c r="BA11" s="110">
        <v>0.5784392407674851</v>
      </c>
      <c r="BB11" s="43"/>
      <c r="BC11" s="112">
        <v>51358.995000000003</v>
      </c>
      <c r="BD11" s="110">
        <v>0.73770491803278682</v>
      </c>
      <c r="BE11" s="43"/>
      <c r="BF11" s="157">
        <v>7455.5240000000003</v>
      </c>
      <c r="BG11" s="43">
        <v>0</v>
      </c>
      <c r="BH11" s="113">
        <v>0</v>
      </c>
      <c r="BI11" s="114">
        <v>0.22869705521472394</v>
      </c>
      <c r="BJ11" s="115">
        <v>0</v>
      </c>
      <c r="BK11" s="113">
        <v>0</v>
      </c>
      <c r="BL11" s="113">
        <v>0</v>
      </c>
      <c r="BM11" s="113">
        <v>0</v>
      </c>
      <c r="BN11" s="113">
        <v>1038.2049999999999</v>
      </c>
      <c r="BO11" s="114">
        <v>7.7029603798783194E-2</v>
      </c>
      <c r="BP11" s="115">
        <v>0</v>
      </c>
      <c r="BQ11" s="43">
        <v>7668</v>
      </c>
      <c r="BR11" s="43">
        <v>651.21892933000004</v>
      </c>
      <c r="BS11" s="43"/>
      <c r="BT11" s="116">
        <v>-700</v>
      </c>
      <c r="BU11" s="43">
        <v>0</v>
      </c>
      <c r="BV11" s="43">
        <v>4485</v>
      </c>
      <c r="BW11" s="43">
        <v>4485</v>
      </c>
      <c r="BX11" s="43">
        <v>0</v>
      </c>
      <c r="BY11" s="43">
        <v>0</v>
      </c>
      <c r="BZ11" s="43">
        <v>-5000</v>
      </c>
      <c r="CA11" s="43">
        <v>0</v>
      </c>
      <c r="CB11" s="43">
        <v>-773.81716131999997</v>
      </c>
      <c r="CC11" s="43">
        <v>0</v>
      </c>
      <c r="CD11" s="43">
        <v>-4000</v>
      </c>
      <c r="CE11" s="43">
        <v>0</v>
      </c>
      <c r="CF11" s="43">
        <v>4800</v>
      </c>
      <c r="CG11" s="43">
        <v>4800</v>
      </c>
      <c r="CH11" s="43">
        <v>12546.92561097</v>
      </c>
      <c r="CI11" s="43">
        <v>12546.92561097</v>
      </c>
      <c r="CJ11" s="114">
        <v>21831.92561097</v>
      </c>
      <c r="CK11" s="43"/>
      <c r="CL11" s="116">
        <v>-700</v>
      </c>
      <c r="CM11" s="43">
        <v>700</v>
      </c>
      <c r="CN11" s="43">
        <v>4485</v>
      </c>
      <c r="CO11" s="43">
        <v>0</v>
      </c>
      <c r="CP11" s="43">
        <v>0</v>
      </c>
      <c r="CQ11" s="43">
        <v>0</v>
      </c>
      <c r="CR11" s="43">
        <v>-5000</v>
      </c>
      <c r="CS11" s="43">
        <v>5000</v>
      </c>
      <c r="CT11" s="43">
        <v>-773.81716131999997</v>
      </c>
      <c r="CU11" s="43">
        <v>773.81716131999997</v>
      </c>
      <c r="CV11" s="43">
        <v>-4000</v>
      </c>
      <c r="CW11" s="43">
        <v>4000</v>
      </c>
      <c r="CX11" s="43">
        <v>4800</v>
      </c>
      <c r="CY11" s="43">
        <v>0</v>
      </c>
      <c r="CZ11" s="43">
        <v>12546.92561097</v>
      </c>
      <c r="DA11" s="43">
        <v>0</v>
      </c>
      <c r="DB11" s="114">
        <v>10473.817161319999</v>
      </c>
      <c r="DC11" s="43"/>
      <c r="DD11" s="117">
        <v>32115.912</v>
      </c>
      <c r="DE11" s="55">
        <v>1952.7260000000001</v>
      </c>
      <c r="DF11" s="59">
        <v>3830.0583072968002</v>
      </c>
      <c r="DG11" s="59">
        <v>37898.696307296799</v>
      </c>
      <c r="DH11" s="117">
        <v>7380.4189999999999</v>
      </c>
      <c r="DI11" s="117">
        <v>48050.411</v>
      </c>
      <c r="DJ11" s="55">
        <v>7092</v>
      </c>
      <c r="DK11" s="114">
        <v>55142.411</v>
      </c>
      <c r="DL11" s="43"/>
      <c r="DM11" s="117">
        <v>1211.2670000000001</v>
      </c>
      <c r="DN11" s="55">
        <v>10571.615847326309</v>
      </c>
      <c r="DO11" s="55">
        <v>11782.882847326309</v>
      </c>
      <c r="DP11" s="59">
        <v>1581.399830416711</v>
      </c>
      <c r="DQ11" s="59">
        <v>2940.8694719917921</v>
      </c>
      <c r="DR11" s="59">
        <v>420.26615000999999</v>
      </c>
      <c r="DS11" s="55">
        <v>3361.1356220017919</v>
      </c>
      <c r="DT11" s="55">
        <v>163.38163733287729</v>
      </c>
      <c r="DU11" s="55">
        <v>163.38163733287729</v>
      </c>
      <c r="DW11" s="121">
        <v>0</v>
      </c>
      <c r="DX11" s="122">
        <v>6779.6610170000004</v>
      </c>
      <c r="DY11" s="128">
        <v>1447.7400829999999</v>
      </c>
      <c r="DZ11" s="128">
        <v>0</v>
      </c>
      <c r="EA11" s="121">
        <v>0</v>
      </c>
      <c r="EB11" s="122">
        <v>1553.672292</v>
      </c>
      <c r="EC11" s="121">
        <v>0</v>
      </c>
      <c r="ED11" s="122">
        <v>1271.1864410000001</v>
      </c>
      <c r="EE11" s="121">
        <v>0</v>
      </c>
      <c r="EF11" s="122">
        <v>847.5</v>
      </c>
      <c r="EG11" s="121">
        <v>0</v>
      </c>
      <c r="EH11" s="122">
        <v>7397.5988710000001</v>
      </c>
      <c r="EI11" s="121">
        <v>0</v>
      </c>
      <c r="EJ11" s="122">
        <v>6779.6610170000004</v>
      </c>
      <c r="EK11" s="129">
        <v>1553.672292</v>
      </c>
      <c r="EL11" s="130">
        <v>847.5</v>
      </c>
      <c r="EM11" s="131">
        <v>735.83500000000004</v>
      </c>
      <c r="EN11" s="129">
        <v>420.26615000999999</v>
      </c>
      <c r="EO11" s="129">
        <v>10964.025395000001</v>
      </c>
      <c r="EP11" s="129">
        <v>0</v>
      </c>
      <c r="ER11" s="157">
        <v>0</v>
      </c>
      <c r="ES11" s="37">
        <v>0</v>
      </c>
      <c r="ET11" s="55">
        <f t="shared" si="1"/>
        <v>0</v>
      </c>
      <c r="EU11" s="157">
        <v>0</v>
      </c>
      <c r="EV11" s="37">
        <v>0</v>
      </c>
      <c r="EW11" s="55">
        <f t="shared" si="0"/>
        <v>0</v>
      </c>
      <c r="EY11" s="166">
        <v>0</v>
      </c>
      <c r="EZ11" s="37">
        <v>3156.57</v>
      </c>
      <c r="FA11" s="164">
        <f t="shared" si="2"/>
        <v>0.23203283156840868</v>
      </c>
      <c r="FB11" s="5">
        <v>4613</v>
      </c>
      <c r="FC11" s="164">
        <f t="shared" si="3"/>
        <v>1</v>
      </c>
      <c r="FE11" s="5"/>
      <c r="FF11" s="166">
        <v>0</v>
      </c>
      <c r="FG11" s="37">
        <v>0</v>
      </c>
      <c r="FH11" s="164">
        <f t="shared" si="4"/>
        <v>0</v>
      </c>
      <c r="FI11" s="5">
        <v>0</v>
      </c>
      <c r="FJ11" s="164">
        <f t="shared" si="5"/>
        <v>0</v>
      </c>
      <c r="FL11" s="169">
        <v>7873</v>
      </c>
      <c r="FM11" s="170">
        <f t="shared" si="6"/>
        <v>0.68245451314546257</v>
      </c>
      <c r="FN11" s="169">
        <v>2591</v>
      </c>
      <c r="FO11" s="170">
        <f t="shared" si="7"/>
        <v>0.82634348588741824</v>
      </c>
    </row>
    <row r="12" spans="1:171" x14ac:dyDescent="0.35">
      <c r="D12" s="108" t="s">
        <v>272</v>
      </c>
      <c r="E12" s="108">
        <v>3156.57</v>
      </c>
      <c r="F12" s="18"/>
      <c r="I12" s="108" t="s">
        <v>273</v>
      </c>
      <c r="J12" s="108">
        <v>279.8</v>
      </c>
      <c r="L12" s="108" t="s">
        <v>274</v>
      </c>
      <c r="M12" s="108">
        <v>3304.57</v>
      </c>
      <c r="P12" s="64">
        <v>10</v>
      </c>
      <c r="Q12" s="109">
        <v>10126</v>
      </c>
      <c r="R12" s="110">
        <v>0.122</v>
      </c>
      <c r="S12" s="111">
        <v>341.15499999999997</v>
      </c>
      <c r="T12" s="110">
        <v>7.0999999999999994E-2</v>
      </c>
      <c r="U12" s="111">
        <v>3930</v>
      </c>
      <c r="V12" s="110">
        <v>0.13100000000000001</v>
      </c>
      <c r="W12" s="111">
        <v>1063.9867999999999</v>
      </c>
      <c r="X12" s="110">
        <v>7.3999999999999996E-2</v>
      </c>
      <c r="Y12" s="111">
        <v>367.07619999999997</v>
      </c>
      <c r="Z12" s="110">
        <v>3.7999999999999999E-2</v>
      </c>
      <c r="AA12" s="111">
        <v>3290.88</v>
      </c>
      <c r="AB12" s="110">
        <v>6.4000000000000001E-2</v>
      </c>
      <c r="AC12" s="111">
        <v>2316.04</v>
      </c>
      <c r="AD12" s="110">
        <v>4.9999999999999996E-2</v>
      </c>
      <c r="AF12" s="64">
        <v>10</v>
      </c>
      <c r="AG12" s="109">
        <v>14684.967000000001</v>
      </c>
      <c r="AH12" s="111">
        <v>1145.4000000000001</v>
      </c>
      <c r="AI12" s="109">
        <v>249</v>
      </c>
      <c r="AJ12" s="59">
        <v>0.16500000000000001</v>
      </c>
      <c r="AK12" s="59">
        <v>0.49800000000000005</v>
      </c>
      <c r="AL12" s="59">
        <v>0.498</v>
      </c>
      <c r="AM12" s="110">
        <v>57.494</v>
      </c>
      <c r="AN12" s="111">
        <v>1560.2424000000001</v>
      </c>
      <c r="AO12" s="59">
        <v>8.8999999999999996E-2</v>
      </c>
      <c r="AP12" s="55">
        <v>0.13400000000000001</v>
      </c>
      <c r="AQ12" s="109">
        <v>20114.599999999999</v>
      </c>
      <c r="AR12" s="111">
        <v>20423.25</v>
      </c>
      <c r="AS12" s="59">
        <v>0.45099999999999996</v>
      </c>
      <c r="AT12" s="55">
        <v>0.87</v>
      </c>
      <c r="AU12" s="43"/>
      <c r="AV12" s="109">
        <v>962.9</v>
      </c>
      <c r="AW12" s="110">
        <v>0.39099997563610084</v>
      </c>
      <c r="AX12" s="109">
        <v>911.59100000000001</v>
      </c>
      <c r="AY12" s="110">
        <v>0.56726260112009952</v>
      </c>
      <c r="AZ12" s="109">
        <v>1121.4780000000001</v>
      </c>
      <c r="BA12" s="110">
        <v>0.5784392407674851</v>
      </c>
      <c r="BB12" s="43"/>
      <c r="BC12" s="112">
        <v>51358.995000000003</v>
      </c>
      <c r="BD12" s="110">
        <v>0.73770491803278682</v>
      </c>
      <c r="BE12" s="43"/>
      <c r="BF12" s="157">
        <v>11070.761</v>
      </c>
      <c r="BG12" s="43">
        <v>0</v>
      </c>
      <c r="BH12" s="113">
        <v>0</v>
      </c>
      <c r="BI12" s="114">
        <v>0.33959389570552151</v>
      </c>
      <c r="BJ12" s="115">
        <v>0</v>
      </c>
      <c r="BK12" s="113">
        <v>0</v>
      </c>
      <c r="BL12" s="113">
        <v>0</v>
      </c>
      <c r="BM12" s="113">
        <v>0</v>
      </c>
      <c r="BN12" s="113">
        <v>1716.028</v>
      </c>
      <c r="BO12" s="114">
        <v>0.12732067072265915</v>
      </c>
      <c r="BP12" s="115">
        <v>0</v>
      </c>
      <c r="BQ12" s="43">
        <v>7668</v>
      </c>
      <c r="BR12" s="43">
        <v>651.21892933000004</v>
      </c>
      <c r="BS12" s="43"/>
      <c r="BT12" s="116">
        <v>-700</v>
      </c>
      <c r="BU12" s="43">
        <v>0</v>
      </c>
      <c r="BV12" s="43">
        <v>4485</v>
      </c>
      <c r="BW12" s="43">
        <v>4485</v>
      </c>
      <c r="BX12" s="43">
        <v>0</v>
      </c>
      <c r="BY12" s="43">
        <v>0</v>
      </c>
      <c r="BZ12" s="43">
        <v>-1595.9713999999999</v>
      </c>
      <c r="CA12" s="43">
        <v>0</v>
      </c>
      <c r="CB12" s="43">
        <v>-1389.4593902900001</v>
      </c>
      <c r="CC12" s="43">
        <v>0</v>
      </c>
      <c r="CD12" s="43">
        <v>-4000</v>
      </c>
      <c r="CE12" s="43">
        <v>0</v>
      </c>
      <c r="CF12" s="43">
        <v>4800</v>
      </c>
      <c r="CG12" s="43">
        <v>4800</v>
      </c>
      <c r="CH12" s="43">
        <v>10791.92056735</v>
      </c>
      <c r="CI12" s="43">
        <v>10791.92056735</v>
      </c>
      <c r="CJ12" s="114">
        <v>20076.92056735</v>
      </c>
      <c r="CK12" s="43"/>
      <c r="CL12" s="116">
        <v>-700</v>
      </c>
      <c r="CM12" s="43">
        <v>700</v>
      </c>
      <c r="CN12" s="43">
        <v>4485</v>
      </c>
      <c r="CO12" s="43">
        <v>0</v>
      </c>
      <c r="CP12" s="43">
        <v>0</v>
      </c>
      <c r="CQ12" s="43">
        <v>0</v>
      </c>
      <c r="CR12" s="43">
        <v>-1595.9713999999999</v>
      </c>
      <c r="CS12" s="43">
        <v>1595.9713999999999</v>
      </c>
      <c r="CT12" s="43">
        <v>-1389.4593902900001</v>
      </c>
      <c r="CU12" s="43">
        <v>1389.4593902900001</v>
      </c>
      <c r="CV12" s="43">
        <v>-4000</v>
      </c>
      <c r="CW12" s="43">
        <v>4000</v>
      </c>
      <c r="CX12" s="43">
        <v>4800</v>
      </c>
      <c r="CY12" s="43">
        <v>0</v>
      </c>
      <c r="CZ12" s="43">
        <v>10791.92056735</v>
      </c>
      <c r="DA12" s="43">
        <v>0</v>
      </c>
      <c r="DB12" s="114">
        <v>7685.43079029</v>
      </c>
      <c r="DC12" s="43"/>
      <c r="DD12" s="117">
        <v>33632.042000000001</v>
      </c>
      <c r="DE12" s="55">
        <v>1727.3910000000001</v>
      </c>
      <c r="DF12" s="59">
        <v>2387.8914877632001</v>
      </c>
      <c r="DG12" s="59">
        <v>37747.324487763202</v>
      </c>
      <c r="DH12" s="117">
        <v>8177.7539999999999</v>
      </c>
      <c r="DI12" s="117">
        <v>48376.411</v>
      </c>
      <c r="DJ12" s="55">
        <v>7618</v>
      </c>
      <c r="DK12" s="114">
        <v>55994.411</v>
      </c>
      <c r="DL12" s="43"/>
      <c r="DM12" s="117">
        <v>1132.873</v>
      </c>
      <c r="DN12" s="55">
        <v>10571.615847326309</v>
      </c>
      <c r="DO12" s="55">
        <v>11704.488847326309</v>
      </c>
      <c r="DP12" s="59">
        <v>1581.399830416711</v>
      </c>
      <c r="DQ12" s="59">
        <v>2940.8694719917921</v>
      </c>
      <c r="DR12" s="59">
        <v>420.26615000999999</v>
      </c>
      <c r="DS12" s="55">
        <v>3361.1356220017919</v>
      </c>
      <c r="DT12" s="55">
        <v>163.38163733287729</v>
      </c>
      <c r="DU12" s="55">
        <v>163.38163733287729</v>
      </c>
      <c r="DW12" s="121">
        <v>0</v>
      </c>
      <c r="DX12" s="122">
        <v>6779.6610170000004</v>
      </c>
      <c r="DY12" s="128">
        <v>1447.7400829999999</v>
      </c>
      <c r="DZ12" s="128">
        <v>0</v>
      </c>
      <c r="EA12" s="121">
        <v>0</v>
      </c>
      <c r="EB12" s="122">
        <v>1553.672292</v>
      </c>
      <c r="EC12" s="121">
        <v>0</v>
      </c>
      <c r="ED12" s="122">
        <v>1271.1864410000001</v>
      </c>
      <c r="EE12" s="121">
        <v>0</v>
      </c>
      <c r="EF12" s="122">
        <v>847.5</v>
      </c>
      <c r="EG12" s="121">
        <v>0</v>
      </c>
      <c r="EH12" s="122">
        <v>7397.5988710000001</v>
      </c>
      <c r="EI12" s="121">
        <v>0</v>
      </c>
      <c r="EJ12" s="122">
        <v>6779.6610170000004</v>
      </c>
      <c r="EK12" s="129">
        <v>1553.672292</v>
      </c>
      <c r="EL12" s="130">
        <v>847.5</v>
      </c>
      <c r="EM12" s="131">
        <v>735.83500000000004</v>
      </c>
      <c r="EN12" s="129">
        <v>420.26615000999999</v>
      </c>
      <c r="EO12" s="129">
        <v>10964.025395000001</v>
      </c>
      <c r="EP12" s="129">
        <v>0</v>
      </c>
      <c r="ER12" s="157">
        <v>0</v>
      </c>
      <c r="ES12" s="37">
        <v>0</v>
      </c>
      <c r="ET12" s="55">
        <f t="shared" si="1"/>
        <v>0</v>
      </c>
      <c r="EU12" s="157">
        <v>0</v>
      </c>
      <c r="EV12" s="37">
        <v>0</v>
      </c>
      <c r="EW12" s="55">
        <f t="shared" si="0"/>
        <v>0</v>
      </c>
      <c r="EY12" s="166">
        <v>0</v>
      </c>
      <c r="EZ12" s="37">
        <v>3156.57</v>
      </c>
      <c r="FA12" s="164">
        <f t="shared" si="2"/>
        <v>0.23203283156840868</v>
      </c>
      <c r="FB12" s="5">
        <v>4613</v>
      </c>
      <c r="FC12" s="164">
        <f t="shared" si="3"/>
        <v>1</v>
      </c>
      <c r="FE12" s="5"/>
      <c r="FF12" s="166">
        <v>0</v>
      </c>
      <c r="FG12" s="37">
        <v>4059.8215599199998</v>
      </c>
      <c r="FH12" s="164">
        <f t="shared" si="4"/>
        <v>0.30477424769025768</v>
      </c>
      <c r="FI12" s="5">
        <v>0</v>
      </c>
      <c r="FJ12" s="164">
        <f t="shared" si="5"/>
        <v>0</v>
      </c>
      <c r="FL12" s="169">
        <v>7873</v>
      </c>
      <c r="FM12" s="170">
        <f t="shared" si="6"/>
        <v>0.68245451314546257</v>
      </c>
      <c r="FN12" s="169">
        <v>2591</v>
      </c>
      <c r="FO12" s="170">
        <f t="shared" si="7"/>
        <v>0.82634348588741824</v>
      </c>
    </row>
    <row r="13" spans="1:171" x14ac:dyDescent="0.35">
      <c r="D13" s="108" t="s">
        <v>275</v>
      </c>
      <c r="E13" s="108">
        <v>2897.4</v>
      </c>
      <c r="F13" s="18"/>
      <c r="I13" s="108" t="s">
        <v>155</v>
      </c>
      <c r="J13" s="108">
        <v>9659.9</v>
      </c>
      <c r="L13" s="108" t="s">
        <v>276</v>
      </c>
      <c r="M13" s="108">
        <v>1895.43</v>
      </c>
      <c r="P13" s="64">
        <v>11</v>
      </c>
      <c r="Q13" s="109">
        <v>25979</v>
      </c>
      <c r="R13" s="110">
        <v>0.313</v>
      </c>
      <c r="S13" s="111">
        <v>903.34</v>
      </c>
      <c r="T13" s="110">
        <v>0.188</v>
      </c>
      <c r="U13" s="111">
        <v>9150</v>
      </c>
      <c r="V13" s="110">
        <v>0.30499999999999999</v>
      </c>
      <c r="W13" s="111">
        <v>3810.223</v>
      </c>
      <c r="X13" s="110">
        <v>0.26499999999999996</v>
      </c>
      <c r="Y13" s="111">
        <v>1371.7058</v>
      </c>
      <c r="Z13" s="110">
        <v>0.14199999999999999</v>
      </c>
      <c r="AA13" s="111">
        <v>7095.96</v>
      </c>
      <c r="AB13" s="110">
        <v>0.13800000000000001</v>
      </c>
      <c r="AC13" s="111">
        <v>5187.9296000000004</v>
      </c>
      <c r="AD13" s="110">
        <v>0.112</v>
      </c>
      <c r="AF13" s="64">
        <v>11</v>
      </c>
      <c r="AG13" s="109">
        <v>13883.968800000001</v>
      </c>
      <c r="AH13" s="111">
        <v>1071.8</v>
      </c>
      <c r="AI13" s="109">
        <v>233</v>
      </c>
      <c r="AJ13" s="59">
        <v>0.156</v>
      </c>
      <c r="AK13" s="59">
        <v>0.46599999999999997</v>
      </c>
      <c r="AL13" s="59">
        <v>0.46600000000000003</v>
      </c>
      <c r="AM13" s="110">
        <v>54.91</v>
      </c>
      <c r="AN13" s="111">
        <v>838.33920000000001</v>
      </c>
      <c r="AO13" s="59">
        <v>8.4999999999999992E-2</v>
      </c>
      <c r="AP13" s="55">
        <v>7.1999999999999995E-2</v>
      </c>
      <c r="AQ13" s="109">
        <v>18241.400000000001</v>
      </c>
      <c r="AR13" s="111">
        <v>19672.05</v>
      </c>
      <c r="AS13" s="59">
        <v>0.40900000000000003</v>
      </c>
      <c r="AT13" s="55">
        <v>0.83799999999999997</v>
      </c>
      <c r="AU13" s="43"/>
      <c r="AV13" s="109">
        <v>982.601</v>
      </c>
      <c r="AW13" s="110">
        <v>0.39899986193790454</v>
      </c>
      <c r="AX13" s="109">
        <v>918.27</v>
      </c>
      <c r="AY13" s="110">
        <v>0.57141879278158059</v>
      </c>
      <c r="AZ13" s="109">
        <v>1121.4780000000001</v>
      </c>
      <c r="BA13" s="110">
        <v>0.5784392407674851</v>
      </c>
      <c r="BB13" s="43"/>
      <c r="BC13" s="112">
        <v>51358.995000000003</v>
      </c>
      <c r="BD13" s="110">
        <v>0.73770491803278682</v>
      </c>
      <c r="BE13" s="43"/>
      <c r="BF13" s="157">
        <v>17654</v>
      </c>
      <c r="BG13" s="43">
        <v>0</v>
      </c>
      <c r="BH13" s="113">
        <v>0</v>
      </c>
      <c r="BI13" s="114">
        <v>0.54153374233128837</v>
      </c>
      <c r="BJ13" s="115">
        <v>0</v>
      </c>
      <c r="BK13" s="113">
        <v>0</v>
      </c>
      <c r="BL13" s="113">
        <v>0</v>
      </c>
      <c r="BM13" s="113">
        <v>0</v>
      </c>
      <c r="BN13" s="113">
        <v>3518.203</v>
      </c>
      <c r="BO13" s="114">
        <v>0.26103301676806645</v>
      </c>
      <c r="BP13" s="115">
        <v>0</v>
      </c>
      <c r="BQ13" s="43">
        <v>7668</v>
      </c>
      <c r="BR13" s="43">
        <v>0</v>
      </c>
      <c r="BS13" s="43"/>
      <c r="BT13" s="116">
        <v>-700</v>
      </c>
      <c r="BU13" s="43">
        <v>0</v>
      </c>
      <c r="BV13" s="43">
        <v>4485</v>
      </c>
      <c r="BW13" s="43">
        <v>4485</v>
      </c>
      <c r="BX13" s="43">
        <v>0</v>
      </c>
      <c r="BY13" s="43">
        <v>0</v>
      </c>
      <c r="BZ13" s="43">
        <v>0</v>
      </c>
      <c r="CA13" s="43">
        <v>0</v>
      </c>
      <c r="CB13" s="43">
        <v>-5300</v>
      </c>
      <c r="CC13" s="43">
        <v>0</v>
      </c>
      <c r="CD13" s="43">
        <v>-4000</v>
      </c>
      <c r="CE13" s="43">
        <v>0</v>
      </c>
      <c r="CF13" s="43">
        <v>4800</v>
      </c>
      <c r="CG13" s="43">
        <v>4800</v>
      </c>
      <c r="CH13" s="43">
        <v>9336.1176897999994</v>
      </c>
      <c r="CI13" s="43">
        <v>9336.1176897999994</v>
      </c>
      <c r="CJ13" s="114">
        <v>18621.117689799998</v>
      </c>
      <c r="CK13" s="43"/>
      <c r="CL13" s="116">
        <v>-700</v>
      </c>
      <c r="CM13" s="43">
        <v>700</v>
      </c>
      <c r="CN13" s="43">
        <v>4485</v>
      </c>
      <c r="CO13" s="43">
        <v>0</v>
      </c>
      <c r="CP13" s="43">
        <v>0</v>
      </c>
      <c r="CQ13" s="43">
        <v>0</v>
      </c>
      <c r="CR13" s="43">
        <v>0</v>
      </c>
      <c r="CS13" s="43">
        <v>0</v>
      </c>
      <c r="CT13" s="43">
        <v>-5300</v>
      </c>
      <c r="CU13" s="43">
        <v>5300</v>
      </c>
      <c r="CV13" s="43">
        <v>-4000</v>
      </c>
      <c r="CW13" s="43">
        <v>4000</v>
      </c>
      <c r="CX13" s="43">
        <v>4800</v>
      </c>
      <c r="CY13" s="43">
        <v>0</v>
      </c>
      <c r="CZ13" s="43">
        <v>9336.1176897999994</v>
      </c>
      <c r="DA13" s="43">
        <v>0</v>
      </c>
      <c r="DB13" s="114">
        <v>10000</v>
      </c>
      <c r="DC13" s="43"/>
      <c r="DD13" s="117">
        <v>34203.631999999998</v>
      </c>
      <c r="DE13" s="55">
        <v>1568.24</v>
      </c>
      <c r="DF13" s="59">
        <v>1889.8543081624</v>
      </c>
      <c r="DG13" s="59">
        <v>37661.726308162397</v>
      </c>
      <c r="DH13" s="117">
        <v>9857.1650000000009</v>
      </c>
      <c r="DI13" s="117">
        <v>49873.411</v>
      </c>
      <c r="DJ13" s="55">
        <v>7409</v>
      </c>
      <c r="DK13" s="114">
        <v>57282.411</v>
      </c>
      <c r="DL13" s="43"/>
      <c r="DM13" s="117">
        <v>1061.0630000000001</v>
      </c>
      <c r="DN13" s="55">
        <v>10571.615847326309</v>
      </c>
      <c r="DO13" s="55">
        <v>11632.67884732631</v>
      </c>
      <c r="DP13" s="59">
        <v>1632.955870667711</v>
      </c>
      <c r="DQ13" s="59">
        <v>2940.8694719917921</v>
      </c>
      <c r="DR13" s="59">
        <v>420.26615000999999</v>
      </c>
      <c r="DS13" s="55">
        <v>3361.1356220017919</v>
      </c>
      <c r="DT13" s="55">
        <v>163.38163733287729</v>
      </c>
      <c r="DU13" s="55">
        <v>163.38163733287729</v>
      </c>
      <c r="DW13" s="121">
        <v>0</v>
      </c>
      <c r="DX13" s="122">
        <v>6779.6610170000004</v>
      </c>
      <c r="DY13" s="128">
        <v>1447.7400829999999</v>
      </c>
      <c r="DZ13" s="128">
        <v>0</v>
      </c>
      <c r="EA13" s="121">
        <v>0</v>
      </c>
      <c r="EB13" s="122">
        <v>1553.672292</v>
      </c>
      <c r="EC13" s="121">
        <v>0</v>
      </c>
      <c r="ED13" s="122">
        <v>1271.1864410000001</v>
      </c>
      <c r="EE13" s="121">
        <v>0</v>
      </c>
      <c r="EF13" s="122">
        <v>847.5</v>
      </c>
      <c r="EG13" s="121">
        <v>0</v>
      </c>
      <c r="EH13" s="122">
        <v>7397.5988710000001</v>
      </c>
      <c r="EI13" s="121">
        <v>0</v>
      </c>
      <c r="EJ13" s="122">
        <v>6779.6610170000004</v>
      </c>
      <c r="EK13" s="129">
        <v>1553.672292</v>
      </c>
      <c r="EL13" s="130">
        <v>847.5</v>
      </c>
      <c r="EM13" s="131">
        <v>735.83500000000004</v>
      </c>
      <c r="EN13" s="129">
        <v>420.26615000999999</v>
      </c>
      <c r="EO13" s="129">
        <v>10964.025395000001</v>
      </c>
      <c r="EP13" s="129">
        <v>0</v>
      </c>
      <c r="ER13" s="157">
        <v>0</v>
      </c>
      <c r="ES13" s="37">
        <v>0</v>
      </c>
      <c r="ET13" s="55">
        <f t="shared" si="1"/>
        <v>0</v>
      </c>
      <c r="EU13" s="157">
        <v>0</v>
      </c>
      <c r="EV13" s="37">
        <v>0</v>
      </c>
      <c r="EW13" s="55">
        <f t="shared" si="0"/>
        <v>0</v>
      </c>
      <c r="EY13" s="166">
        <v>0</v>
      </c>
      <c r="EZ13" s="37">
        <v>0</v>
      </c>
      <c r="FA13" s="164">
        <f t="shared" si="2"/>
        <v>0</v>
      </c>
      <c r="FB13" s="5">
        <v>4613</v>
      </c>
      <c r="FC13" s="164">
        <f t="shared" si="3"/>
        <v>1</v>
      </c>
      <c r="FE13" s="5"/>
      <c r="FF13" s="166">
        <v>0</v>
      </c>
      <c r="FG13" s="37">
        <v>10423.35</v>
      </c>
      <c r="FH13" s="164">
        <f t="shared" si="4"/>
        <v>0.78248972467766453</v>
      </c>
      <c r="FI13" s="5">
        <v>0</v>
      </c>
      <c r="FJ13" s="164">
        <f t="shared" si="5"/>
        <v>0</v>
      </c>
      <c r="FL13" s="169">
        <v>7873</v>
      </c>
      <c r="FM13" s="170">
        <f t="shared" si="6"/>
        <v>0.68245451314546257</v>
      </c>
      <c r="FN13" s="169">
        <v>2591</v>
      </c>
      <c r="FO13" s="170">
        <f t="shared" si="7"/>
        <v>0.82634348588741824</v>
      </c>
    </row>
    <row r="14" spans="1:171" x14ac:dyDescent="0.35">
      <c r="D14" s="108" t="s">
        <v>277</v>
      </c>
      <c r="E14" s="108">
        <v>10447.41</v>
      </c>
      <c r="F14" s="18"/>
      <c r="I14" s="108" t="s">
        <v>211</v>
      </c>
      <c r="J14" s="108">
        <v>12584.9</v>
      </c>
      <c r="L14" s="108" t="s">
        <v>278</v>
      </c>
      <c r="M14" s="108">
        <v>1895.43</v>
      </c>
      <c r="P14" s="64">
        <v>12</v>
      </c>
      <c r="Q14" s="109">
        <v>31457</v>
      </c>
      <c r="R14" s="110">
        <v>0.379</v>
      </c>
      <c r="S14" s="111">
        <v>1489.55</v>
      </c>
      <c r="T14" s="110">
        <v>0.31</v>
      </c>
      <c r="U14" s="111">
        <v>13260</v>
      </c>
      <c r="V14" s="110">
        <v>0.442</v>
      </c>
      <c r="W14" s="111">
        <v>6355.1643999999997</v>
      </c>
      <c r="X14" s="110">
        <v>0.44199999999999995</v>
      </c>
      <c r="Y14" s="111">
        <v>2424.6349</v>
      </c>
      <c r="Z14" s="110">
        <v>0.251</v>
      </c>
      <c r="AA14" s="111">
        <v>10181.16</v>
      </c>
      <c r="AB14" s="110">
        <v>0.19800000000000001</v>
      </c>
      <c r="AC14" s="111">
        <v>7503.9696000000004</v>
      </c>
      <c r="AD14" s="110">
        <v>0.16200000000000001</v>
      </c>
      <c r="AF14" s="64">
        <v>12</v>
      </c>
      <c r="AG14" s="109">
        <v>14684.967000000001</v>
      </c>
      <c r="AH14" s="111">
        <v>1005.1</v>
      </c>
      <c r="AI14" s="109">
        <v>218.5</v>
      </c>
      <c r="AJ14" s="59">
        <v>0.16500000000000001</v>
      </c>
      <c r="AK14" s="59">
        <v>0.437</v>
      </c>
      <c r="AL14" s="59">
        <v>0.437</v>
      </c>
      <c r="AM14" s="110">
        <v>52.972000000000001</v>
      </c>
      <c r="AN14" s="111">
        <v>442.45679999999999</v>
      </c>
      <c r="AO14" s="59">
        <v>8.2000000000000003E-2</v>
      </c>
      <c r="AP14" s="55">
        <v>3.7999999999999999E-2</v>
      </c>
      <c r="AQ14" s="109">
        <v>16011.4</v>
      </c>
      <c r="AR14" s="111">
        <v>19014.75</v>
      </c>
      <c r="AS14" s="59">
        <v>0.35899999999999999</v>
      </c>
      <c r="AT14" s="55">
        <v>0.81</v>
      </c>
      <c r="AU14" s="43"/>
      <c r="AV14" s="109">
        <v>997.37699999999995</v>
      </c>
      <c r="AW14" s="110">
        <v>0.40499987818050404</v>
      </c>
      <c r="AX14" s="109">
        <v>914.43200000000002</v>
      </c>
      <c r="AY14" s="110">
        <v>0.56903049159925323</v>
      </c>
      <c r="AZ14" s="109">
        <v>1121.4780000000001</v>
      </c>
      <c r="BA14" s="110">
        <v>0.5784392407674851</v>
      </c>
      <c r="BB14" s="43"/>
      <c r="BC14" s="112">
        <v>51358.995000000003</v>
      </c>
      <c r="BD14" s="110">
        <v>0.73770491803278682</v>
      </c>
      <c r="BE14" s="43"/>
      <c r="BF14" s="157">
        <v>21855.530999999999</v>
      </c>
      <c r="BG14" s="43">
        <v>0</v>
      </c>
      <c r="BH14" s="113">
        <v>0</v>
      </c>
      <c r="BI14" s="114">
        <v>0.6704150613496932</v>
      </c>
      <c r="BJ14" s="115">
        <v>0</v>
      </c>
      <c r="BK14" s="113">
        <v>0</v>
      </c>
      <c r="BL14" s="113">
        <v>0</v>
      </c>
      <c r="BM14" s="113">
        <v>0</v>
      </c>
      <c r="BN14" s="113">
        <v>5291.8940000000002</v>
      </c>
      <c r="BO14" s="114">
        <v>0.39263199287728151</v>
      </c>
      <c r="BP14" s="115">
        <v>0</v>
      </c>
      <c r="BQ14" s="43">
        <v>7668</v>
      </c>
      <c r="BR14" s="43">
        <v>0</v>
      </c>
      <c r="BS14" s="43"/>
      <c r="BT14" s="116">
        <v>-700</v>
      </c>
      <c r="BU14" s="43">
        <v>0</v>
      </c>
      <c r="BV14" s="43">
        <v>4485</v>
      </c>
      <c r="BW14" s="43">
        <v>4485</v>
      </c>
      <c r="BX14" s="43">
        <v>0</v>
      </c>
      <c r="BY14" s="43">
        <v>0</v>
      </c>
      <c r="BZ14" s="43">
        <v>0</v>
      </c>
      <c r="CA14" s="43">
        <v>0</v>
      </c>
      <c r="CB14" s="43">
        <v>-5300</v>
      </c>
      <c r="CC14" s="43">
        <v>0</v>
      </c>
      <c r="CD14" s="43">
        <v>-4000</v>
      </c>
      <c r="CE14" s="43">
        <v>0</v>
      </c>
      <c r="CF14" s="43">
        <v>4800</v>
      </c>
      <c r="CG14" s="43">
        <v>4800</v>
      </c>
      <c r="CH14" s="43">
        <v>9373.2597054100006</v>
      </c>
      <c r="CI14" s="43">
        <v>9373.2597054100006</v>
      </c>
      <c r="CJ14" s="114">
        <v>18658.259705410001</v>
      </c>
      <c r="CK14" s="43"/>
      <c r="CL14" s="116">
        <v>-700</v>
      </c>
      <c r="CM14" s="43">
        <v>700</v>
      </c>
      <c r="CN14" s="43">
        <v>4485</v>
      </c>
      <c r="CO14" s="43">
        <v>0</v>
      </c>
      <c r="CP14" s="43">
        <v>0</v>
      </c>
      <c r="CQ14" s="43">
        <v>0</v>
      </c>
      <c r="CR14" s="43">
        <v>0</v>
      </c>
      <c r="CS14" s="43">
        <v>0</v>
      </c>
      <c r="CT14" s="43">
        <v>-5300</v>
      </c>
      <c r="CU14" s="43">
        <v>5300</v>
      </c>
      <c r="CV14" s="43">
        <v>-4000</v>
      </c>
      <c r="CW14" s="43">
        <v>4000</v>
      </c>
      <c r="CX14" s="43">
        <v>4800</v>
      </c>
      <c r="CY14" s="43">
        <v>0</v>
      </c>
      <c r="CZ14" s="43">
        <v>9373.2597054100006</v>
      </c>
      <c r="DA14" s="43">
        <v>0</v>
      </c>
      <c r="DB14" s="114">
        <v>10000</v>
      </c>
      <c r="DC14" s="43"/>
      <c r="DD14" s="117">
        <v>34988.68</v>
      </c>
      <c r="DE14" s="55">
        <v>1570.1769999999999</v>
      </c>
      <c r="DF14" s="59">
        <v>2380.3125980932</v>
      </c>
      <c r="DG14" s="59">
        <v>38939.169598093205</v>
      </c>
      <c r="DH14" s="117">
        <v>11506.75</v>
      </c>
      <c r="DI14" s="117">
        <v>52512.411</v>
      </c>
      <c r="DJ14" s="55">
        <v>7066</v>
      </c>
      <c r="DK14" s="114">
        <v>59578.411</v>
      </c>
      <c r="DL14" s="43"/>
      <c r="DM14" s="117">
        <v>1007.947</v>
      </c>
      <c r="DN14" s="55">
        <v>10555.905846475949</v>
      </c>
      <c r="DO14" s="55">
        <v>11563.852846475949</v>
      </c>
      <c r="DP14" s="59">
        <v>1632.955870667711</v>
      </c>
      <c r="DQ14" s="59">
        <v>2932.5915975665489</v>
      </c>
      <c r="DR14" s="59">
        <v>428.54402442999998</v>
      </c>
      <c r="DS14" s="55">
        <v>3361.1356219965487</v>
      </c>
      <c r="DT14" s="55">
        <v>162.92175542036381</v>
      </c>
      <c r="DU14" s="55">
        <v>162.92175542036381</v>
      </c>
      <c r="DW14" s="121">
        <v>0</v>
      </c>
      <c r="DX14" s="122">
        <v>6779.6610170000004</v>
      </c>
      <c r="DY14" s="128">
        <v>1447.7400829999999</v>
      </c>
      <c r="DZ14" s="128">
        <v>0</v>
      </c>
      <c r="EA14" s="121">
        <v>0</v>
      </c>
      <c r="EB14" s="122">
        <v>1521.4124100900001</v>
      </c>
      <c r="EC14" s="121">
        <v>0</v>
      </c>
      <c r="ED14" s="122">
        <v>1271.1864410000001</v>
      </c>
      <c r="EE14" s="121">
        <v>0</v>
      </c>
      <c r="EF14" s="122">
        <v>847.5</v>
      </c>
      <c r="EG14" s="121">
        <v>0</v>
      </c>
      <c r="EH14" s="122">
        <v>7397.5988710000001</v>
      </c>
      <c r="EI14" s="121">
        <v>0</v>
      </c>
      <c r="EJ14" s="122">
        <v>6779.6610170000004</v>
      </c>
      <c r="EK14" s="129">
        <v>1521.4124100900001</v>
      </c>
      <c r="EL14" s="130">
        <v>847.5</v>
      </c>
      <c r="EM14" s="131">
        <v>735.83500000000004</v>
      </c>
      <c r="EN14" s="129">
        <v>428.54402442999998</v>
      </c>
      <c r="EO14" s="129">
        <v>10964.025395000001</v>
      </c>
      <c r="EP14" s="129">
        <v>0</v>
      </c>
      <c r="ER14" s="157">
        <v>0</v>
      </c>
      <c r="ES14" s="37">
        <v>0</v>
      </c>
      <c r="ET14" s="55">
        <f t="shared" si="1"/>
        <v>0</v>
      </c>
      <c r="EU14" s="157">
        <v>0</v>
      </c>
      <c r="EV14" s="37">
        <v>0</v>
      </c>
      <c r="EW14" s="55">
        <f t="shared" si="0"/>
        <v>0</v>
      </c>
      <c r="EY14" s="166">
        <v>0</v>
      </c>
      <c r="EZ14" s="37">
        <v>0</v>
      </c>
      <c r="FA14" s="164">
        <f t="shared" si="2"/>
        <v>0</v>
      </c>
      <c r="FB14" s="5">
        <v>3484.0037682699999</v>
      </c>
      <c r="FC14" s="164">
        <f t="shared" si="3"/>
        <v>0.75525769960329503</v>
      </c>
      <c r="FE14" s="5"/>
      <c r="FF14" s="166">
        <v>0</v>
      </c>
      <c r="FG14" s="37">
        <v>10423.35</v>
      </c>
      <c r="FH14" s="164">
        <f t="shared" si="4"/>
        <v>0.78248972467766453</v>
      </c>
      <c r="FI14" s="5">
        <v>0</v>
      </c>
      <c r="FJ14" s="164">
        <f t="shared" si="5"/>
        <v>0</v>
      </c>
      <c r="FL14" s="169">
        <v>7873</v>
      </c>
      <c r="FM14" s="170">
        <f t="shared" si="6"/>
        <v>0.68245451314546257</v>
      </c>
      <c r="FN14" s="169">
        <v>2591</v>
      </c>
      <c r="FO14" s="170">
        <f t="shared" si="7"/>
        <v>0.82634348588741824</v>
      </c>
    </row>
    <row r="15" spans="1:171" x14ac:dyDescent="0.35">
      <c r="D15" s="108" t="s">
        <v>279</v>
      </c>
      <c r="E15" s="108">
        <v>10423.35</v>
      </c>
      <c r="F15" s="18"/>
      <c r="I15" s="108" t="s">
        <v>212</v>
      </c>
      <c r="J15" s="108">
        <v>8954</v>
      </c>
      <c r="L15" s="108" t="s">
        <v>280</v>
      </c>
      <c r="M15" s="108">
        <v>7270</v>
      </c>
      <c r="P15" s="64">
        <v>13</v>
      </c>
      <c r="Q15" s="109">
        <v>32453</v>
      </c>
      <c r="R15" s="110">
        <v>0.39100000000000001</v>
      </c>
      <c r="S15" s="111">
        <v>1869.145</v>
      </c>
      <c r="T15" s="110">
        <v>0.38900000000000001</v>
      </c>
      <c r="U15" s="111">
        <v>15300</v>
      </c>
      <c r="V15" s="110">
        <v>0.51</v>
      </c>
      <c r="W15" s="111">
        <v>7879.2536</v>
      </c>
      <c r="X15" s="110">
        <v>0.54799999999999993</v>
      </c>
      <c r="Y15" s="111">
        <v>3120.1477</v>
      </c>
      <c r="Z15" s="110">
        <v>0.32300000000000001</v>
      </c>
      <c r="AA15" s="111">
        <v>11003.88</v>
      </c>
      <c r="AB15" s="110">
        <v>0.214</v>
      </c>
      <c r="AC15" s="111">
        <v>8245.1023999999998</v>
      </c>
      <c r="AD15" s="110">
        <v>0.17799999999999999</v>
      </c>
      <c r="AF15" s="64">
        <v>13</v>
      </c>
      <c r="AG15" s="109">
        <v>16909.962</v>
      </c>
      <c r="AH15" s="111">
        <v>979.8</v>
      </c>
      <c r="AI15" s="109">
        <v>213</v>
      </c>
      <c r="AJ15" s="59">
        <v>0.19</v>
      </c>
      <c r="AK15" s="59">
        <v>0.42599999999999999</v>
      </c>
      <c r="AL15" s="59">
        <v>0.42599999999999999</v>
      </c>
      <c r="AM15" s="110">
        <v>50.387999999999998</v>
      </c>
      <c r="AN15" s="111">
        <v>430.81319999999999</v>
      </c>
      <c r="AO15" s="59">
        <v>7.8E-2</v>
      </c>
      <c r="AP15" s="55">
        <v>3.6999999999999998E-2</v>
      </c>
      <c r="AQ15" s="109">
        <v>15877.6</v>
      </c>
      <c r="AR15" s="111">
        <v>18803.474999999999</v>
      </c>
      <c r="AS15" s="59">
        <v>0.35599999999999998</v>
      </c>
      <c r="AT15" s="55">
        <v>0.80099999999999993</v>
      </c>
      <c r="AU15" s="43"/>
      <c r="AV15" s="109">
        <v>994.91499999999996</v>
      </c>
      <c r="AW15" s="110">
        <v>0.40400014618339519</v>
      </c>
      <c r="AX15" s="109">
        <v>916.05899999999997</v>
      </c>
      <c r="AY15" s="110">
        <v>0.5700429371499689</v>
      </c>
      <c r="AZ15" s="109">
        <v>1121.4780000000001</v>
      </c>
      <c r="BA15" s="110">
        <v>0.5784392407674851</v>
      </c>
      <c r="BB15" s="43"/>
      <c r="BC15" s="112">
        <v>51358.995000000003</v>
      </c>
      <c r="BD15" s="110">
        <v>0.73770491803278682</v>
      </c>
      <c r="BE15" s="43"/>
      <c r="BF15" s="157">
        <v>24329.670999999998</v>
      </c>
      <c r="BG15" s="43">
        <v>0</v>
      </c>
      <c r="BH15" s="113">
        <v>0</v>
      </c>
      <c r="BI15" s="114">
        <v>0.74630892638036805</v>
      </c>
      <c r="BJ15" s="115">
        <v>0</v>
      </c>
      <c r="BK15" s="113">
        <v>0</v>
      </c>
      <c r="BL15" s="113">
        <v>0</v>
      </c>
      <c r="BM15" s="113">
        <v>0</v>
      </c>
      <c r="BN15" s="113">
        <v>6406.0810000000001</v>
      </c>
      <c r="BO15" s="114">
        <v>0.47529907998219323</v>
      </c>
      <c r="BP15" s="115">
        <v>0</v>
      </c>
      <c r="BQ15" s="43">
        <v>7668</v>
      </c>
      <c r="BR15" s="43">
        <v>0</v>
      </c>
      <c r="BS15" s="43"/>
      <c r="BT15" s="116">
        <v>-700</v>
      </c>
      <c r="BU15" s="43">
        <v>0</v>
      </c>
      <c r="BV15" s="43">
        <v>4485</v>
      </c>
      <c r="BW15" s="43">
        <v>4485</v>
      </c>
      <c r="BX15" s="43">
        <v>0</v>
      </c>
      <c r="BY15" s="43">
        <v>0</v>
      </c>
      <c r="BZ15" s="43">
        <v>1310.5749978700001</v>
      </c>
      <c r="CA15" s="43">
        <v>1310.5749978700001</v>
      </c>
      <c r="CB15" s="43">
        <v>-5300</v>
      </c>
      <c r="CC15" s="43">
        <v>0</v>
      </c>
      <c r="CD15" s="43">
        <v>-4000</v>
      </c>
      <c r="CE15" s="43">
        <v>0</v>
      </c>
      <c r="CF15" s="43">
        <v>4800</v>
      </c>
      <c r="CG15" s="43">
        <v>4800</v>
      </c>
      <c r="CH15" s="43">
        <v>10307.71668231</v>
      </c>
      <c r="CI15" s="43">
        <v>10307.71668231</v>
      </c>
      <c r="CJ15" s="114">
        <v>20903.291680180002</v>
      </c>
      <c r="CK15" s="43"/>
      <c r="CL15" s="116">
        <v>-700</v>
      </c>
      <c r="CM15" s="43">
        <v>700</v>
      </c>
      <c r="CN15" s="43">
        <v>4485</v>
      </c>
      <c r="CO15" s="43">
        <v>0</v>
      </c>
      <c r="CP15" s="43">
        <v>0</v>
      </c>
      <c r="CQ15" s="43">
        <v>0</v>
      </c>
      <c r="CR15" s="43">
        <v>1310.5749978700001</v>
      </c>
      <c r="CS15" s="43">
        <v>0</v>
      </c>
      <c r="CT15" s="43">
        <v>-5300</v>
      </c>
      <c r="CU15" s="43">
        <v>5300</v>
      </c>
      <c r="CV15" s="43">
        <v>-4000</v>
      </c>
      <c r="CW15" s="43">
        <v>4000</v>
      </c>
      <c r="CX15" s="43">
        <v>4800</v>
      </c>
      <c r="CY15" s="43">
        <v>0</v>
      </c>
      <c r="CZ15" s="43">
        <v>10307.71668231</v>
      </c>
      <c r="DA15" s="43">
        <v>0</v>
      </c>
      <c r="DB15" s="114">
        <v>10000</v>
      </c>
      <c r="DC15" s="43"/>
      <c r="DD15" s="117">
        <v>35871.457000000002</v>
      </c>
      <c r="DE15" s="55">
        <v>1571.902</v>
      </c>
      <c r="DF15" s="59">
        <v>2602.6944411569998</v>
      </c>
      <c r="DG15" s="59">
        <v>40046.053441157004</v>
      </c>
      <c r="DH15" s="117">
        <v>12788.484</v>
      </c>
      <c r="DI15" s="117">
        <v>54490.411</v>
      </c>
      <c r="DJ15" s="55">
        <v>6774</v>
      </c>
      <c r="DK15" s="114">
        <v>61264.411</v>
      </c>
      <c r="DL15" s="43"/>
      <c r="DM15" s="117">
        <v>983.52599999999995</v>
      </c>
      <c r="DN15" s="55">
        <v>10540.1958456256</v>
      </c>
      <c r="DO15" s="55">
        <v>11523.7218456256</v>
      </c>
      <c r="DP15" s="59">
        <v>1581.399830416711</v>
      </c>
      <c r="DQ15" s="59">
        <v>2924.3137231413061</v>
      </c>
      <c r="DR15" s="59">
        <v>436.82189885999998</v>
      </c>
      <c r="DS15" s="55">
        <v>3361.1356220013063</v>
      </c>
      <c r="DT15" s="55">
        <v>162.46187350785041</v>
      </c>
      <c r="DU15" s="55">
        <v>162.46187350785041</v>
      </c>
      <c r="DW15" s="121">
        <v>0</v>
      </c>
      <c r="DX15" s="122">
        <v>6779.6610170000004</v>
      </c>
      <c r="DY15" s="128">
        <v>1447.7400829999999</v>
      </c>
      <c r="DZ15" s="128">
        <v>0</v>
      </c>
      <c r="EA15" s="121">
        <v>0</v>
      </c>
      <c r="EB15" s="122">
        <v>504.93229200000002</v>
      </c>
      <c r="EC15" s="121">
        <v>0</v>
      </c>
      <c r="ED15" s="122">
        <v>1271.1864410000001</v>
      </c>
      <c r="EE15" s="121">
        <v>0</v>
      </c>
      <c r="EF15" s="122">
        <v>847.5</v>
      </c>
      <c r="EG15" s="121">
        <v>0</v>
      </c>
      <c r="EH15" s="122">
        <v>7397.5988710000001</v>
      </c>
      <c r="EI15" s="121">
        <v>0</v>
      </c>
      <c r="EJ15" s="122">
        <v>6779.6610170000004</v>
      </c>
      <c r="EK15" s="129">
        <v>504.93229200000002</v>
      </c>
      <c r="EL15" s="130">
        <v>847.5</v>
      </c>
      <c r="EM15" s="131">
        <v>735.83500000000004</v>
      </c>
      <c r="EN15" s="129">
        <v>436.82189885999998</v>
      </c>
      <c r="EO15" s="129">
        <v>10964.025395000001</v>
      </c>
      <c r="EP15" s="129">
        <v>0</v>
      </c>
      <c r="ER15" s="157">
        <v>0</v>
      </c>
      <c r="ES15" s="37">
        <v>0</v>
      </c>
      <c r="ET15" s="55">
        <f t="shared" si="1"/>
        <v>0</v>
      </c>
      <c r="EU15" s="157">
        <v>0</v>
      </c>
      <c r="EV15" s="37">
        <v>0</v>
      </c>
      <c r="EW15" s="55">
        <f t="shared" si="0"/>
        <v>0</v>
      </c>
      <c r="EY15" s="166">
        <v>0</v>
      </c>
      <c r="EZ15" s="37">
        <v>0</v>
      </c>
      <c r="FA15" s="164">
        <f t="shared" si="2"/>
        <v>0</v>
      </c>
      <c r="FB15" s="5">
        <v>4613</v>
      </c>
      <c r="FC15" s="164">
        <f t="shared" si="3"/>
        <v>1</v>
      </c>
      <c r="FE15" s="5"/>
      <c r="FF15" s="166">
        <v>0</v>
      </c>
      <c r="FG15" s="37">
        <v>10423.35</v>
      </c>
      <c r="FH15" s="164">
        <f t="shared" si="4"/>
        <v>0.78248972467766453</v>
      </c>
      <c r="FI15" s="5">
        <v>0</v>
      </c>
      <c r="FJ15" s="164">
        <f t="shared" si="5"/>
        <v>0</v>
      </c>
      <c r="FL15" s="169">
        <v>7873</v>
      </c>
      <c r="FM15" s="170">
        <f t="shared" si="6"/>
        <v>0.68245451314546257</v>
      </c>
      <c r="FN15" s="169">
        <v>2591</v>
      </c>
      <c r="FO15" s="170">
        <f t="shared" si="7"/>
        <v>0.82634348588741824</v>
      </c>
    </row>
    <row r="16" spans="1:171" x14ac:dyDescent="0.35">
      <c r="D16" s="108" t="s">
        <v>281</v>
      </c>
      <c r="E16" s="108">
        <v>3500</v>
      </c>
      <c r="F16" s="18"/>
      <c r="I16" s="108" t="s">
        <v>213</v>
      </c>
      <c r="J16" s="108">
        <v>968</v>
      </c>
      <c r="L16" s="108" t="s">
        <v>194</v>
      </c>
      <c r="M16" s="108">
        <v>46320.800000000003</v>
      </c>
      <c r="P16" s="64">
        <v>14</v>
      </c>
      <c r="Q16" s="109">
        <v>32287</v>
      </c>
      <c r="R16" s="110">
        <v>0.38900000000000001</v>
      </c>
      <c r="S16" s="111">
        <v>1917.1949999999999</v>
      </c>
      <c r="T16" s="110">
        <v>0.39899999999999997</v>
      </c>
      <c r="U16" s="111">
        <v>15330</v>
      </c>
      <c r="V16" s="110">
        <v>0.51100000000000001</v>
      </c>
      <c r="W16" s="111">
        <v>8353.7342000000008</v>
      </c>
      <c r="X16" s="110">
        <v>0.58100000000000007</v>
      </c>
      <c r="Y16" s="111">
        <v>3361.6451999999999</v>
      </c>
      <c r="Z16" s="110">
        <v>0.34800000000000003</v>
      </c>
      <c r="AA16" s="111">
        <v>10078.32</v>
      </c>
      <c r="AB16" s="110">
        <v>0.19600000000000001</v>
      </c>
      <c r="AC16" s="111">
        <v>7596.6112000000003</v>
      </c>
      <c r="AD16" s="110">
        <v>0.16400000000000001</v>
      </c>
      <c r="AF16" s="64">
        <v>14</v>
      </c>
      <c r="AG16" s="109">
        <v>18422.958600000002</v>
      </c>
      <c r="AH16" s="111">
        <v>954.5</v>
      </c>
      <c r="AI16" s="109">
        <v>207.5</v>
      </c>
      <c r="AJ16" s="59">
        <v>0.20700000000000002</v>
      </c>
      <c r="AK16" s="59">
        <v>0.41499999999999998</v>
      </c>
      <c r="AL16" s="59">
        <v>0.41499999999999998</v>
      </c>
      <c r="AM16" s="110">
        <v>51.68</v>
      </c>
      <c r="AN16" s="111">
        <v>500.6748</v>
      </c>
      <c r="AO16" s="59">
        <v>0.08</v>
      </c>
      <c r="AP16" s="55">
        <v>4.2999999999999997E-2</v>
      </c>
      <c r="AQ16" s="109">
        <v>16100.6</v>
      </c>
      <c r="AR16" s="111">
        <v>18709.575000000001</v>
      </c>
      <c r="AS16" s="59">
        <v>0.36099999999999999</v>
      </c>
      <c r="AT16" s="55">
        <v>0.79700000000000004</v>
      </c>
      <c r="AU16" s="43"/>
      <c r="AV16" s="109">
        <v>999.84</v>
      </c>
      <c r="AW16" s="110">
        <v>0.40600001624259952</v>
      </c>
      <c r="AX16" s="109">
        <v>911.99199999999996</v>
      </c>
      <c r="AY16" s="110">
        <v>0.5675121344119477</v>
      </c>
      <c r="AZ16" s="109">
        <v>1121.4780000000001</v>
      </c>
      <c r="BA16" s="110">
        <v>0.5784392407674851</v>
      </c>
      <c r="BB16" s="43"/>
      <c r="BC16" s="112">
        <v>51358.995000000003</v>
      </c>
      <c r="BD16" s="110">
        <v>0.73770491803278682</v>
      </c>
      <c r="BE16" s="43"/>
      <c r="BF16" s="157">
        <v>24980.846000000001</v>
      </c>
      <c r="BG16" s="43">
        <v>0</v>
      </c>
      <c r="BH16" s="113">
        <v>0</v>
      </c>
      <c r="BI16" s="114">
        <v>0.76628361963190184</v>
      </c>
      <c r="BJ16" s="115">
        <v>0</v>
      </c>
      <c r="BK16" s="113">
        <v>0</v>
      </c>
      <c r="BL16" s="113">
        <v>0</v>
      </c>
      <c r="BM16" s="113">
        <v>0</v>
      </c>
      <c r="BN16" s="113">
        <v>6829.7910000000002</v>
      </c>
      <c r="BO16" s="114">
        <v>0.50673623683039026</v>
      </c>
      <c r="BP16" s="115">
        <v>0</v>
      </c>
      <c r="BQ16" s="43">
        <v>7668</v>
      </c>
      <c r="BR16" s="43">
        <v>0</v>
      </c>
      <c r="BS16" s="43"/>
      <c r="BT16" s="116">
        <v>-700</v>
      </c>
      <c r="BU16" s="43">
        <v>0</v>
      </c>
      <c r="BV16" s="43">
        <v>4485</v>
      </c>
      <c r="BW16" s="43">
        <v>4485</v>
      </c>
      <c r="BX16" s="43">
        <v>0</v>
      </c>
      <c r="BY16" s="43">
        <v>0</v>
      </c>
      <c r="BZ16" s="43">
        <v>5000</v>
      </c>
      <c r="CA16" s="43">
        <v>5000</v>
      </c>
      <c r="CB16" s="43">
        <v>-5300</v>
      </c>
      <c r="CC16" s="43">
        <v>0</v>
      </c>
      <c r="CD16" s="43">
        <v>-4000</v>
      </c>
      <c r="CE16" s="43">
        <v>0</v>
      </c>
      <c r="CF16" s="43">
        <v>4800</v>
      </c>
      <c r="CG16" s="43">
        <v>4800</v>
      </c>
      <c r="CH16" s="43">
        <v>9058.23317021</v>
      </c>
      <c r="CI16" s="43">
        <v>9058.23317021</v>
      </c>
      <c r="CJ16" s="114">
        <v>23343.233170209998</v>
      </c>
      <c r="CK16" s="43"/>
      <c r="CL16" s="116">
        <v>-700</v>
      </c>
      <c r="CM16" s="43">
        <v>700</v>
      </c>
      <c r="CN16" s="43">
        <v>4485</v>
      </c>
      <c r="CO16" s="43">
        <v>0</v>
      </c>
      <c r="CP16" s="43">
        <v>0</v>
      </c>
      <c r="CQ16" s="43">
        <v>0</v>
      </c>
      <c r="CR16" s="43">
        <v>5000</v>
      </c>
      <c r="CS16" s="43">
        <v>0</v>
      </c>
      <c r="CT16" s="43">
        <v>-5300</v>
      </c>
      <c r="CU16" s="43">
        <v>5300</v>
      </c>
      <c r="CV16" s="43">
        <v>-4000</v>
      </c>
      <c r="CW16" s="43">
        <v>4000</v>
      </c>
      <c r="CX16" s="43">
        <v>4800</v>
      </c>
      <c r="CY16" s="43">
        <v>0</v>
      </c>
      <c r="CZ16" s="43">
        <v>9058.23317021</v>
      </c>
      <c r="DA16" s="43">
        <v>0</v>
      </c>
      <c r="DB16" s="114">
        <v>10000</v>
      </c>
      <c r="DC16" s="43"/>
      <c r="DD16" s="117">
        <v>36210.646999999997</v>
      </c>
      <c r="DE16" s="55">
        <v>1573.49</v>
      </c>
      <c r="DF16" s="59">
        <v>2314.1030445305</v>
      </c>
      <c r="DG16" s="59">
        <v>40098.240044530496</v>
      </c>
      <c r="DH16" s="117">
        <v>12777.052</v>
      </c>
      <c r="DI16" s="117">
        <v>52294.411</v>
      </c>
      <c r="DJ16" s="55">
        <v>6546</v>
      </c>
      <c r="DK16" s="114">
        <v>58840.411</v>
      </c>
      <c r="DL16" s="43"/>
      <c r="DM16" s="117">
        <v>966.90200000000004</v>
      </c>
      <c r="DN16" s="55">
        <v>10540.1958456256</v>
      </c>
      <c r="DO16" s="55">
        <v>11507.0978456256</v>
      </c>
      <c r="DP16" s="59">
        <v>1607.177850542211</v>
      </c>
      <c r="DQ16" s="59">
        <v>2924.3137231413061</v>
      </c>
      <c r="DR16" s="59">
        <v>436.82189885999998</v>
      </c>
      <c r="DS16" s="55">
        <v>3361.1356220013063</v>
      </c>
      <c r="DT16" s="55">
        <v>162.46187350785041</v>
      </c>
      <c r="DU16" s="55">
        <v>162.46187350785041</v>
      </c>
      <c r="DW16" s="121">
        <v>0</v>
      </c>
      <c r="DX16" s="122">
        <v>6779.6610170000004</v>
      </c>
      <c r="DY16" s="128">
        <v>1447.7400829999999</v>
      </c>
      <c r="DZ16" s="128">
        <v>0</v>
      </c>
      <c r="EA16" s="121">
        <v>0</v>
      </c>
      <c r="EB16" s="122">
        <v>757.72198806999995</v>
      </c>
      <c r="EC16" s="121">
        <v>0</v>
      </c>
      <c r="ED16" s="122">
        <v>1271.1864410000001</v>
      </c>
      <c r="EE16" s="121">
        <v>0</v>
      </c>
      <c r="EF16" s="122">
        <v>847.5</v>
      </c>
      <c r="EG16" s="121">
        <v>0</v>
      </c>
      <c r="EH16" s="122">
        <v>7397.5988710000001</v>
      </c>
      <c r="EI16" s="121">
        <v>0</v>
      </c>
      <c r="EJ16" s="122">
        <v>6779.6610170000004</v>
      </c>
      <c r="EK16" s="129">
        <v>757.72198806999995</v>
      </c>
      <c r="EL16" s="130">
        <v>847.5</v>
      </c>
      <c r="EM16" s="131">
        <v>735.83500000000004</v>
      </c>
      <c r="EN16" s="129">
        <v>436.82189885999998</v>
      </c>
      <c r="EO16" s="129">
        <v>10964.025395000001</v>
      </c>
      <c r="EP16" s="129">
        <v>0</v>
      </c>
      <c r="ER16" s="157">
        <v>0</v>
      </c>
      <c r="ES16" s="37">
        <v>0</v>
      </c>
      <c r="ET16" s="55">
        <f t="shared" si="1"/>
        <v>0</v>
      </c>
      <c r="EU16" s="157">
        <v>0</v>
      </c>
      <c r="EV16" s="37">
        <v>0</v>
      </c>
      <c r="EW16" s="55">
        <f t="shared" si="0"/>
        <v>0</v>
      </c>
      <c r="EY16" s="166">
        <v>0</v>
      </c>
      <c r="EZ16" s="37">
        <v>0</v>
      </c>
      <c r="FA16" s="164">
        <f t="shared" si="2"/>
        <v>0</v>
      </c>
      <c r="FB16" s="5">
        <v>4538.1274936199998</v>
      </c>
      <c r="FC16" s="164">
        <f t="shared" si="3"/>
        <v>0.98376923772382396</v>
      </c>
      <c r="FE16" s="5"/>
      <c r="FF16" s="166">
        <v>0</v>
      </c>
      <c r="FG16" s="37">
        <v>10423.35</v>
      </c>
      <c r="FH16" s="164">
        <f t="shared" si="4"/>
        <v>0.78248972467766453</v>
      </c>
      <c r="FI16" s="5">
        <v>0</v>
      </c>
      <c r="FJ16" s="164">
        <f t="shared" si="5"/>
        <v>0</v>
      </c>
      <c r="FL16" s="169">
        <v>7873</v>
      </c>
      <c r="FM16" s="170">
        <f t="shared" si="6"/>
        <v>0.68245451314546257</v>
      </c>
      <c r="FN16" s="169">
        <v>2591</v>
      </c>
      <c r="FO16" s="170">
        <f t="shared" si="7"/>
        <v>0.82634348588741824</v>
      </c>
    </row>
    <row r="17" spans="2:171" x14ac:dyDescent="0.35">
      <c r="D17" s="108" t="s">
        <v>191</v>
      </c>
      <c r="E17" s="108">
        <v>30000</v>
      </c>
      <c r="F17" s="18"/>
      <c r="I17" s="108" t="s">
        <v>214</v>
      </c>
      <c r="J17" s="108">
        <v>13478</v>
      </c>
      <c r="L17" s="108" t="s">
        <v>282</v>
      </c>
      <c r="M17" s="108">
        <v>158</v>
      </c>
      <c r="P17" s="64">
        <v>15</v>
      </c>
      <c r="Q17" s="109">
        <v>31374</v>
      </c>
      <c r="R17" s="110">
        <v>0.378</v>
      </c>
      <c r="S17" s="111">
        <v>1672.14</v>
      </c>
      <c r="T17" s="110">
        <v>0.34800000000000003</v>
      </c>
      <c r="U17" s="111">
        <v>13530</v>
      </c>
      <c r="V17" s="110">
        <v>0.45100000000000001</v>
      </c>
      <c r="W17" s="111">
        <v>7792.9844000000003</v>
      </c>
      <c r="X17" s="110">
        <v>0.54200000000000004</v>
      </c>
      <c r="Y17" s="111">
        <v>3120.1477</v>
      </c>
      <c r="Z17" s="110">
        <v>0.32300000000000001</v>
      </c>
      <c r="AA17" s="111">
        <v>7764.42</v>
      </c>
      <c r="AB17" s="110">
        <v>0.151</v>
      </c>
      <c r="AC17" s="111">
        <v>5790.1</v>
      </c>
      <c r="AD17" s="110">
        <v>0.125</v>
      </c>
      <c r="AF17" s="64">
        <v>15</v>
      </c>
      <c r="AG17" s="109">
        <v>19045.957200000001</v>
      </c>
      <c r="AH17" s="111">
        <v>945.3</v>
      </c>
      <c r="AI17" s="109">
        <v>205.5</v>
      </c>
      <c r="AJ17" s="59">
        <v>0.214</v>
      </c>
      <c r="AK17" s="59">
        <v>0.41099999999999998</v>
      </c>
      <c r="AL17" s="59">
        <v>0.41099999999999998</v>
      </c>
      <c r="AM17" s="110">
        <v>56.847999999999999</v>
      </c>
      <c r="AN17" s="111">
        <v>582.17999999999995</v>
      </c>
      <c r="AO17" s="59">
        <v>8.7999999999999995E-2</v>
      </c>
      <c r="AP17" s="55">
        <v>4.9999999999999996E-2</v>
      </c>
      <c r="AQ17" s="109">
        <v>17171</v>
      </c>
      <c r="AR17" s="111">
        <v>18780</v>
      </c>
      <c r="AS17" s="59">
        <v>0.38500000000000001</v>
      </c>
      <c r="AT17" s="55">
        <v>0.8</v>
      </c>
      <c r="AU17" s="43"/>
      <c r="AV17" s="109">
        <v>1004.765</v>
      </c>
      <c r="AW17" s="110">
        <v>0.40799988630180378</v>
      </c>
      <c r="AX17" s="109">
        <v>906.76800000000003</v>
      </c>
      <c r="AY17" s="110">
        <v>0.56426135656502807</v>
      </c>
      <c r="AZ17" s="109">
        <v>1121.4780000000001</v>
      </c>
      <c r="BA17" s="110">
        <v>0.5784392407674851</v>
      </c>
      <c r="BB17" s="43"/>
      <c r="BC17" s="112">
        <v>51358.995000000003</v>
      </c>
      <c r="BD17" s="110">
        <v>0.73770491803278682</v>
      </c>
      <c r="BE17" s="43"/>
      <c r="BF17" s="157">
        <v>23893.52</v>
      </c>
      <c r="BG17" s="43">
        <v>0</v>
      </c>
      <c r="BH17" s="113">
        <v>0</v>
      </c>
      <c r="BI17" s="114">
        <v>0.7329300613496933</v>
      </c>
      <c r="BJ17" s="115">
        <v>0</v>
      </c>
      <c r="BK17" s="113">
        <v>0</v>
      </c>
      <c r="BL17" s="113">
        <v>0</v>
      </c>
      <c r="BM17" s="113">
        <v>0</v>
      </c>
      <c r="BN17" s="113">
        <v>6512.1450000000004</v>
      </c>
      <c r="BO17" s="114">
        <v>0.48316849680961571</v>
      </c>
      <c r="BP17" s="115">
        <v>0</v>
      </c>
      <c r="BQ17" s="43">
        <v>7668</v>
      </c>
      <c r="BR17" s="43">
        <v>0</v>
      </c>
      <c r="BS17" s="43"/>
      <c r="BT17" s="116">
        <v>-700</v>
      </c>
      <c r="BU17" s="43">
        <v>0</v>
      </c>
      <c r="BV17" s="43">
        <v>4485</v>
      </c>
      <c r="BW17" s="43">
        <v>4485</v>
      </c>
      <c r="BX17" s="43">
        <v>0</v>
      </c>
      <c r="BY17" s="43">
        <v>0</v>
      </c>
      <c r="BZ17" s="43">
        <v>5000</v>
      </c>
      <c r="CA17" s="43">
        <v>5000</v>
      </c>
      <c r="CB17" s="43">
        <v>-5300</v>
      </c>
      <c r="CC17" s="43">
        <v>0</v>
      </c>
      <c r="CD17" s="43">
        <v>-4000</v>
      </c>
      <c r="CE17" s="43">
        <v>0</v>
      </c>
      <c r="CF17" s="43">
        <v>4800</v>
      </c>
      <c r="CG17" s="43">
        <v>4800</v>
      </c>
      <c r="CH17" s="43">
        <v>11163.3032766</v>
      </c>
      <c r="CI17" s="43">
        <v>11163.3032766</v>
      </c>
      <c r="CJ17" s="114">
        <v>25448.3032766</v>
      </c>
      <c r="CK17" s="43"/>
      <c r="CL17" s="116">
        <v>-700</v>
      </c>
      <c r="CM17" s="43">
        <v>700</v>
      </c>
      <c r="CN17" s="43">
        <v>4485</v>
      </c>
      <c r="CO17" s="43">
        <v>0</v>
      </c>
      <c r="CP17" s="43">
        <v>0</v>
      </c>
      <c r="CQ17" s="43">
        <v>0</v>
      </c>
      <c r="CR17" s="43">
        <v>5000</v>
      </c>
      <c r="CS17" s="43">
        <v>0</v>
      </c>
      <c r="CT17" s="43">
        <v>-5300</v>
      </c>
      <c r="CU17" s="43">
        <v>5300</v>
      </c>
      <c r="CV17" s="43">
        <v>-4000</v>
      </c>
      <c r="CW17" s="43">
        <v>4000</v>
      </c>
      <c r="CX17" s="43">
        <v>4800</v>
      </c>
      <c r="CY17" s="43">
        <v>0</v>
      </c>
      <c r="CZ17" s="43">
        <v>11163.3032766</v>
      </c>
      <c r="DA17" s="43">
        <v>0</v>
      </c>
      <c r="DB17" s="114">
        <v>10000</v>
      </c>
      <c r="DC17" s="43"/>
      <c r="DD17" s="117">
        <v>35437.512000000002</v>
      </c>
      <c r="DE17" s="55">
        <v>1574.3240000000001</v>
      </c>
      <c r="DF17" s="59">
        <v>1735.9122407733</v>
      </c>
      <c r="DG17" s="59">
        <v>38747.748240773304</v>
      </c>
      <c r="DH17" s="117">
        <v>12124.716</v>
      </c>
      <c r="DI17" s="117">
        <v>51166.411</v>
      </c>
      <c r="DJ17" s="55">
        <v>6399</v>
      </c>
      <c r="DK17" s="114">
        <v>57565.411</v>
      </c>
      <c r="DL17" s="43"/>
      <c r="DM17" s="117">
        <v>965.66200000000003</v>
      </c>
      <c r="DN17" s="55">
        <v>10555.905846475949</v>
      </c>
      <c r="DO17" s="55">
        <v>11521.567846475949</v>
      </c>
      <c r="DP17" s="59">
        <v>1581.399830416711</v>
      </c>
      <c r="DQ17" s="59">
        <v>2932.5915975665489</v>
      </c>
      <c r="DR17" s="59">
        <v>428.54402442999998</v>
      </c>
      <c r="DS17" s="55">
        <v>3361.1356219965487</v>
      </c>
      <c r="DT17" s="55">
        <v>162.92175542036381</v>
      </c>
      <c r="DU17" s="55">
        <v>162.92175542036381</v>
      </c>
      <c r="DW17" s="121">
        <v>0</v>
      </c>
      <c r="DX17" s="122">
        <v>6779.6610170000004</v>
      </c>
      <c r="DY17" s="128">
        <v>1447.7400829999999</v>
      </c>
      <c r="DZ17" s="128">
        <v>0</v>
      </c>
      <c r="EA17" s="121">
        <v>0</v>
      </c>
      <c r="EB17" s="122">
        <v>1521.4124100900001</v>
      </c>
      <c r="EC17" s="121">
        <v>0</v>
      </c>
      <c r="ED17" s="122">
        <v>1271.1864410000001</v>
      </c>
      <c r="EE17" s="121">
        <v>0</v>
      </c>
      <c r="EF17" s="122">
        <v>847.5</v>
      </c>
      <c r="EG17" s="121">
        <v>0</v>
      </c>
      <c r="EH17" s="122">
        <v>7397.5988710000001</v>
      </c>
      <c r="EI17" s="121">
        <v>0</v>
      </c>
      <c r="EJ17" s="122">
        <v>6779.6610170000004</v>
      </c>
      <c r="EK17" s="129">
        <v>1521.4124100900001</v>
      </c>
      <c r="EL17" s="130">
        <v>847.5</v>
      </c>
      <c r="EM17" s="131">
        <v>735.83500000000004</v>
      </c>
      <c r="EN17" s="129">
        <v>428.54402442999998</v>
      </c>
      <c r="EO17" s="129">
        <v>10964.025395000001</v>
      </c>
      <c r="EP17" s="129">
        <v>0</v>
      </c>
      <c r="ER17" s="157">
        <v>0</v>
      </c>
      <c r="ES17" s="37">
        <v>0</v>
      </c>
      <c r="ET17" s="55">
        <f t="shared" si="1"/>
        <v>0</v>
      </c>
      <c r="EU17" s="157">
        <v>0</v>
      </c>
      <c r="EV17" s="37">
        <v>0</v>
      </c>
      <c r="EW17" s="55">
        <f t="shared" si="0"/>
        <v>0</v>
      </c>
      <c r="EY17" s="166">
        <v>0</v>
      </c>
      <c r="EZ17" s="37">
        <v>0</v>
      </c>
      <c r="FA17" s="164">
        <f t="shared" si="2"/>
        <v>0</v>
      </c>
      <c r="FB17" s="5">
        <v>4479.8725723400003</v>
      </c>
      <c r="FC17" s="164">
        <f t="shared" si="3"/>
        <v>0.97114081342727077</v>
      </c>
      <c r="FE17" s="5"/>
      <c r="FF17" s="166">
        <v>0</v>
      </c>
      <c r="FG17" s="37">
        <v>10423.35</v>
      </c>
      <c r="FH17" s="164">
        <f t="shared" si="4"/>
        <v>0.78248972467766453</v>
      </c>
      <c r="FI17" s="5">
        <v>0</v>
      </c>
      <c r="FJ17" s="164">
        <f t="shared" si="5"/>
        <v>0</v>
      </c>
      <c r="FL17" s="169">
        <v>7873</v>
      </c>
      <c r="FM17" s="170">
        <f t="shared" si="6"/>
        <v>0.68245451314546257</v>
      </c>
      <c r="FN17" s="169">
        <v>2591</v>
      </c>
      <c r="FO17" s="170">
        <f t="shared" si="7"/>
        <v>0.82634348588741824</v>
      </c>
    </row>
    <row r="18" spans="2:171" x14ac:dyDescent="0.35">
      <c r="D18" s="108" t="s">
        <v>207</v>
      </c>
      <c r="E18" s="108">
        <v>37999.68</v>
      </c>
      <c r="F18" s="18"/>
      <c r="L18" s="108" t="s">
        <v>283</v>
      </c>
      <c r="M18" s="108">
        <v>847.5</v>
      </c>
      <c r="P18" s="64">
        <v>16</v>
      </c>
      <c r="Q18" s="109">
        <v>29465</v>
      </c>
      <c r="R18" s="110">
        <v>0.35499999999999998</v>
      </c>
      <c r="S18" s="111">
        <v>1215.665</v>
      </c>
      <c r="T18" s="110">
        <v>0.253</v>
      </c>
      <c r="U18" s="111">
        <v>10470</v>
      </c>
      <c r="V18" s="110">
        <v>0.34899999999999998</v>
      </c>
      <c r="W18" s="111">
        <v>6340.7861999999996</v>
      </c>
      <c r="X18" s="110">
        <v>0.44099999999999995</v>
      </c>
      <c r="Y18" s="111">
        <v>2424.6349</v>
      </c>
      <c r="Z18" s="110">
        <v>0.251</v>
      </c>
      <c r="AA18" s="111">
        <v>4936.32</v>
      </c>
      <c r="AB18" s="110">
        <v>9.5999999999999988E-2</v>
      </c>
      <c r="AC18" s="111">
        <v>3566.7015999999999</v>
      </c>
      <c r="AD18" s="110">
        <v>7.6999999999999999E-2</v>
      </c>
      <c r="AF18" s="64">
        <v>16</v>
      </c>
      <c r="AG18" s="109">
        <v>19134.956999999999</v>
      </c>
      <c r="AH18" s="111">
        <v>947.6</v>
      </c>
      <c r="AI18" s="109">
        <v>206</v>
      </c>
      <c r="AJ18" s="59">
        <v>0.21499999999999997</v>
      </c>
      <c r="AK18" s="59">
        <v>0.41200000000000003</v>
      </c>
      <c r="AL18" s="59">
        <v>0.41199999999999998</v>
      </c>
      <c r="AM18" s="110">
        <v>65.245999999999995</v>
      </c>
      <c r="AN18" s="111">
        <v>663.68520000000001</v>
      </c>
      <c r="AO18" s="59">
        <v>0.10099999999999999</v>
      </c>
      <c r="AP18" s="55">
        <v>5.7000000000000002E-2</v>
      </c>
      <c r="AQ18" s="109">
        <v>19802.400000000001</v>
      </c>
      <c r="AR18" s="111">
        <v>19061.7</v>
      </c>
      <c r="AS18" s="59">
        <v>0.44400000000000001</v>
      </c>
      <c r="AT18" s="55">
        <v>0.81200000000000006</v>
      </c>
      <c r="AU18" s="43"/>
      <c r="AV18" s="109">
        <v>1002.303</v>
      </c>
      <c r="AW18" s="110">
        <v>0.40700015430469494</v>
      </c>
      <c r="AX18" s="109">
        <v>900.34500000000003</v>
      </c>
      <c r="AY18" s="110">
        <v>0.5602644679527069</v>
      </c>
      <c r="AZ18" s="109">
        <v>1121.4780000000001</v>
      </c>
      <c r="BA18" s="110">
        <v>0.5784392407674851</v>
      </c>
      <c r="BB18" s="43"/>
      <c r="BC18" s="112">
        <v>51358.995000000003</v>
      </c>
      <c r="BD18" s="110">
        <v>0.73770491803278682</v>
      </c>
      <c r="BE18" s="43"/>
      <c r="BF18" s="157">
        <v>21529.504000000001</v>
      </c>
      <c r="BG18" s="43">
        <v>0</v>
      </c>
      <c r="BH18" s="113">
        <v>0</v>
      </c>
      <c r="BI18" s="114">
        <v>0.6604142331288344</v>
      </c>
      <c r="BJ18" s="115">
        <v>0</v>
      </c>
      <c r="BK18" s="113">
        <v>0</v>
      </c>
      <c r="BL18" s="113">
        <v>0</v>
      </c>
      <c r="BM18" s="113">
        <v>0</v>
      </c>
      <c r="BN18" s="113">
        <v>5504.8130000000001</v>
      </c>
      <c r="BO18" s="114">
        <v>0.40842951476480188</v>
      </c>
      <c r="BP18" s="115">
        <v>0</v>
      </c>
      <c r="BQ18" s="43">
        <v>7668</v>
      </c>
      <c r="BR18" s="43">
        <v>0</v>
      </c>
      <c r="BS18" s="43"/>
      <c r="BT18" s="116">
        <v>-700</v>
      </c>
      <c r="BU18" s="43">
        <v>0</v>
      </c>
      <c r="BV18" s="43">
        <v>4485</v>
      </c>
      <c r="BW18" s="43">
        <v>4485</v>
      </c>
      <c r="BX18" s="43">
        <v>0</v>
      </c>
      <c r="BY18" s="43">
        <v>0</v>
      </c>
      <c r="BZ18" s="43">
        <v>5000</v>
      </c>
      <c r="CA18" s="43">
        <v>5000</v>
      </c>
      <c r="CB18" s="43">
        <v>-5300</v>
      </c>
      <c r="CC18" s="43">
        <v>0</v>
      </c>
      <c r="CD18" s="43">
        <v>-4000</v>
      </c>
      <c r="CE18" s="43">
        <v>0</v>
      </c>
      <c r="CF18" s="43">
        <v>4800</v>
      </c>
      <c r="CG18" s="43">
        <v>4800</v>
      </c>
      <c r="CH18" s="43">
        <v>12619.90597383</v>
      </c>
      <c r="CI18" s="43">
        <v>12619.90597383</v>
      </c>
      <c r="CJ18" s="114">
        <v>26904.905973829998</v>
      </c>
      <c r="CK18" s="43"/>
      <c r="CL18" s="116">
        <v>-700</v>
      </c>
      <c r="CM18" s="43">
        <v>700</v>
      </c>
      <c r="CN18" s="43">
        <v>4485</v>
      </c>
      <c r="CO18" s="43">
        <v>0</v>
      </c>
      <c r="CP18" s="43">
        <v>0</v>
      </c>
      <c r="CQ18" s="43">
        <v>0</v>
      </c>
      <c r="CR18" s="43">
        <v>5000</v>
      </c>
      <c r="CS18" s="43">
        <v>0</v>
      </c>
      <c r="CT18" s="43">
        <v>-5300</v>
      </c>
      <c r="CU18" s="43">
        <v>5300</v>
      </c>
      <c r="CV18" s="43">
        <v>-4000</v>
      </c>
      <c r="CW18" s="43">
        <v>4000</v>
      </c>
      <c r="CX18" s="43">
        <v>4800</v>
      </c>
      <c r="CY18" s="43">
        <v>0</v>
      </c>
      <c r="CZ18" s="43">
        <v>12619.90597383</v>
      </c>
      <c r="DA18" s="43">
        <v>0</v>
      </c>
      <c r="DB18" s="114">
        <v>10000</v>
      </c>
      <c r="DC18" s="43"/>
      <c r="DD18" s="117">
        <v>35147.108999999997</v>
      </c>
      <c r="DE18" s="55">
        <v>1572.316</v>
      </c>
      <c r="DF18" s="59">
        <v>1480.2774786436</v>
      </c>
      <c r="DG18" s="59">
        <v>38199.702478643594</v>
      </c>
      <c r="DH18" s="117">
        <v>11305.368</v>
      </c>
      <c r="DI18" s="117">
        <v>50740.411</v>
      </c>
      <c r="DJ18" s="55">
        <v>6816</v>
      </c>
      <c r="DK18" s="114">
        <v>57556.411</v>
      </c>
      <c r="DL18" s="43"/>
      <c r="DM18" s="117">
        <v>972.73599999999999</v>
      </c>
      <c r="DN18" s="55">
        <v>10571.615847326309</v>
      </c>
      <c r="DO18" s="55">
        <v>11544.35184732631</v>
      </c>
      <c r="DP18" s="59">
        <v>1581.399830416711</v>
      </c>
      <c r="DQ18" s="59">
        <v>2940.8694719917921</v>
      </c>
      <c r="DR18" s="59">
        <v>420.26615000999999</v>
      </c>
      <c r="DS18" s="55">
        <v>3361.1356220017919</v>
      </c>
      <c r="DT18" s="55">
        <v>163.38163733287729</v>
      </c>
      <c r="DU18" s="55">
        <v>163.38163733287729</v>
      </c>
      <c r="DW18" s="121">
        <v>0</v>
      </c>
      <c r="DX18" s="122">
        <v>6779.6610170000004</v>
      </c>
      <c r="DY18" s="128">
        <v>1447.7400829999999</v>
      </c>
      <c r="DZ18" s="128">
        <v>0</v>
      </c>
      <c r="EA18" s="121">
        <v>0</v>
      </c>
      <c r="EB18" s="122">
        <v>1553.672292</v>
      </c>
      <c r="EC18" s="121">
        <v>0</v>
      </c>
      <c r="ED18" s="122">
        <v>1271.1864410000001</v>
      </c>
      <c r="EE18" s="121">
        <v>0</v>
      </c>
      <c r="EF18" s="122">
        <v>847.5</v>
      </c>
      <c r="EG18" s="121">
        <v>0</v>
      </c>
      <c r="EH18" s="122">
        <v>7397.5988710000001</v>
      </c>
      <c r="EI18" s="121">
        <v>0</v>
      </c>
      <c r="EJ18" s="122">
        <v>6779.6610170000004</v>
      </c>
      <c r="EK18" s="129">
        <v>1553.672292</v>
      </c>
      <c r="EL18" s="130">
        <v>847.5</v>
      </c>
      <c r="EM18" s="131">
        <v>735.83500000000004</v>
      </c>
      <c r="EN18" s="129">
        <v>420.26615000999999</v>
      </c>
      <c r="EO18" s="129">
        <v>10964.025395000001</v>
      </c>
      <c r="EP18" s="129">
        <v>0</v>
      </c>
      <c r="ER18" s="157">
        <v>0</v>
      </c>
      <c r="ES18" s="37">
        <v>0</v>
      </c>
      <c r="ET18" s="55">
        <f t="shared" si="1"/>
        <v>0</v>
      </c>
      <c r="EU18" s="157">
        <v>0</v>
      </c>
      <c r="EV18" s="37">
        <v>0</v>
      </c>
      <c r="EW18" s="55">
        <f t="shared" si="0"/>
        <v>0</v>
      </c>
      <c r="EY18" s="166">
        <v>0</v>
      </c>
      <c r="EZ18" s="37">
        <v>0</v>
      </c>
      <c r="FA18" s="164">
        <f t="shared" si="2"/>
        <v>0</v>
      </c>
      <c r="FB18" s="5">
        <v>4613</v>
      </c>
      <c r="FC18" s="164">
        <f t="shared" si="3"/>
        <v>1</v>
      </c>
      <c r="FE18" s="5"/>
      <c r="FF18" s="166">
        <v>0</v>
      </c>
      <c r="FG18" s="37">
        <v>10423.35</v>
      </c>
      <c r="FH18" s="164">
        <f t="shared" si="4"/>
        <v>0.78248972467766453</v>
      </c>
      <c r="FI18" s="5">
        <v>0</v>
      </c>
      <c r="FJ18" s="164">
        <f t="shared" si="5"/>
        <v>0</v>
      </c>
      <c r="FL18" s="169">
        <v>7873</v>
      </c>
      <c r="FM18" s="170">
        <f t="shared" si="6"/>
        <v>0.68245451314546257</v>
      </c>
      <c r="FN18" s="169">
        <v>2591</v>
      </c>
      <c r="FO18" s="170">
        <f t="shared" si="7"/>
        <v>0.82634348588741824</v>
      </c>
    </row>
    <row r="19" spans="2:171" x14ac:dyDescent="0.35">
      <c r="D19" s="108" t="s">
        <v>208</v>
      </c>
      <c r="E19" s="108">
        <v>37999.68</v>
      </c>
      <c r="F19" s="18"/>
      <c r="L19" s="108" t="s">
        <v>284</v>
      </c>
      <c r="M19" s="108">
        <v>847.5</v>
      </c>
      <c r="P19" s="64">
        <v>17</v>
      </c>
      <c r="Q19" s="109">
        <v>20916</v>
      </c>
      <c r="R19" s="110">
        <v>0.252</v>
      </c>
      <c r="S19" s="111">
        <v>615.04</v>
      </c>
      <c r="T19" s="110">
        <v>0.128</v>
      </c>
      <c r="U19" s="111">
        <v>6210</v>
      </c>
      <c r="V19" s="110">
        <v>0.20699999999999999</v>
      </c>
      <c r="W19" s="111">
        <v>4227.1908000000003</v>
      </c>
      <c r="X19" s="110">
        <v>0.29399999999999998</v>
      </c>
      <c r="Y19" s="111">
        <v>1468.3047999999999</v>
      </c>
      <c r="Z19" s="110">
        <v>0.152</v>
      </c>
      <c r="AA19" s="111">
        <v>1799.7</v>
      </c>
      <c r="AB19" s="110">
        <v>3.5000000000000003E-2</v>
      </c>
      <c r="AC19" s="111">
        <v>1204.3407999999999</v>
      </c>
      <c r="AD19" s="110">
        <v>2.5999999999999999E-2</v>
      </c>
      <c r="AF19" s="64">
        <v>17</v>
      </c>
      <c r="AG19" s="109">
        <v>18333.9588</v>
      </c>
      <c r="AH19" s="111">
        <v>926.9</v>
      </c>
      <c r="AI19" s="109">
        <v>201.5</v>
      </c>
      <c r="AJ19" s="59">
        <v>0.20599999999999999</v>
      </c>
      <c r="AK19" s="59">
        <v>0.40299999999999997</v>
      </c>
      <c r="AL19" s="59">
        <v>0.40300000000000002</v>
      </c>
      <c r="AM19" s="110">
        <v>71.706000000000003</v>
      </c>
      <c r="AN19" s="111">
        <v>675.3288</v>
      </c>
      <c r="AO19" s="59">
        <v>0.111</v>
      </c>
      <c r="AP19" s="55">
        <v>5.7999999999999996E-2</v>
      </c>
      <c r="AQ19" s="109">
        <v>23905.599999999999</v>
      </c>
      <c r="AR19" s="111">
        <v>19366.875</v>
      </c>
      <c r="AS19" s="59">
        <v>0.53599999999999992</v>
      </c>
      <c r="AT19" s="55">
        <v>0.82499999999999996</v>
      </c>
      <c r="AU19" s="43"/>
      <c r="AV19" s="109">
        <v>1009.691</v>
      </c>
      <c r="AW19" s="110">
        <v>0.41000016242599469</v>
      </c>
      <c r="AX19" s="109">
        <v>889.62300000000005</v>
      </c>
      <c r="AY19" s="110">
        <v>0.55359240821406352</v>
      </c>
      <c r="AZ19" s="109">
        <v>1121.4780000000001</v>
      </c>
      <c r="BA19" s="110">
        <v>0.5784392407674851</v>
      </c>
      <c r="BB19" s="43"/>
      <c r="BC19" s="112">
        <v>51358.995000000003</v>
      </c>
      <c r="BD19" s="110">
        <v>0.73770491803278682</v>
      </c>
      <c r="BE19" s="43"/>
      <c r="BF19" s="157">
        <v>16552.667000000001</v>
      </c>
      <c r="BG19" s="43">
        <v>0</v>
      </c>
      <c r="BH19" s="113">
        <v>0</v>
      </c>
      <c r="BI19" s="114">
        <v>0.50775052147239264</v>
      </c>
      <c r="BJ19" s="115">
        <v>0</v>
      </c>
      <c r="BK19" s="113">
        <v>0</v>
      </c>
      <c r="BL19" s="113">
        <v>0</v>
      </c>
      <c r="BM19" s="113">
        <v>0</v>
      </c>
      <c r="BN19" s="113">
        <v>3977.0909999999999</v>
      </c>
      <c r="BO19" s="114">
        <v>0.295080204778157</v>
      </c>
      <c r="BP19" s="115">
        <v>0</v>
      </c>
      <c r="BQ19" s="43">
        <v>7668</v>
      </c>
      <c r="BR19" s="43">
        <v>356.94</v>
      </c>
      <c r="BS19" s="43"/>
      <c r="BT19" s="116">
        <v>-700</v>
      </c>
      <c r="BU19" s="43">
        <v>0</v>
      </c>
      <c r="BV19" s="43">
        <v>4485</v>
      </c>
      <c r="BW19" s="43">
        <v>4485</v>
      </c>
      <c r="BX19" s="43">
        <v>0</v>
      </c>
      <c r="BY19" s="43">
        <v>0</v>
      </c>
      <c r="BZ19" s="43">
        <v>5000</v>
      </c>
      <c r="CA19" s="43">
        <v>5000</v>
      </c>
      <c r="CB19" s="43">
        <v>-5300</v>
      </c>
      <c r="CC19" s="43">
        <v>0</v>
      </c>
      <c r="CD19" s="43">
        <v>-4000</v>
      </c>
      <c r="CE19" s="43">
        <v>0</v>
      </c>
      <c r="CF19" s="43">
        <v>4800</v>
      </c>
      <c r="CG19" s="43">
        <v>4800</v>
      </c>
      <c r="CH19" s="43">
        <v>8186.3133576500004</v>
      </c>
      <c r="CI19" s="43">
        <v>8186.3133576500004</v>
      </c>
      <c r="CJ19" s="114">
        <v>22471.31335765</v>
      </c>
      <c r="CK19" s="43"/>
      <c r="CL19" s="116">
        <v>-700</v>
      </c>
      <c r="CM19" s="43">
        <v>700</v>
      </c>
      <c r="CN19" s="43">
        <v>4485</v>
      </c>
      <c r="CO19" s="43">
        <v>0</v>
      </c>
      <c r="CP19" s="43">
        <v>0</v>
      </c>
      <c r="CQ19" s="43">
        <v>0</v>
      </c>
      <c r="CR19" s="43">
        <v>5000</v>
      </c>
      <c r="CS19" s="43">
        <v>0</v>
      </c>
      <c r="CT19" s="43">
        <v>-5300</v>
      </c>
      <c r="CU19" s="43">
        <v>5300</v>
      </c>
      <c r="CV19" s="43">
        <v>-4000</v>
      </c>
      <c r="CW19" s="43">
        <v>4000</v>
      </c>
      <c r="CX19" s="43">
        <v>4800</v>
      </c>
      <c r="CY19" s="43">
        <v>0</v>
      </c>
      <c r="CZ19" s="43">
        <v>8186.3133576500004</v>
      </c>
      <c r="DA19" s="43">
        <v>0</v>
      </c>
      <c r="DB19" s="114">
        <v>10000</v>
      </c>
      <c r="DC19" s="43"/>
      <c r="DD19" s="117">
        <v>35595.012999999999</v>
      </c>
      <c r="DE19" s="55">
        <v>1914.402</v>
      </c>
      <c r="DF19" s="59">
        <v>1494.4245101833001</v>
      </c>
      <c r="DG19" s="59">
        <v>39003.839510183301</v>
      </c>
      <c r="DH19" s="117">
        <v>10324.808000000001</v>
      </c>
      <c r="DI19" s="117">
        <v>51969.411</v>
      </c>
      <c r="DJ19" s="55">
        <v>6649</v>
      </c>
      <c r="DK19" s="114">
        <v>58618.411</v>
      </c>
      <c r="DL19" s="43"/>
      <c r="DM19" s="117">
        <v>968.74</v>
      </c>
      <c r="DN19" s="55">
        <v>10571.615847326309</v>
      </c>
      <c r="DO19" s="55">
        <v>11540.355847326309</v>
      </c>
      <c r="DP19" s="59">
        <v>1581.399830416711</v>
      </c>
      <c r="DQ19" s="59">
        <v>2940.8694719917921</v>
      </c>
      <c r="DR19" s="59">
        <v>420.26615000999999</v>
      </c>
      <c r="DS19" s="55">
        <v>3361.1356220017919</v>
      </c>
      <c r="DT19" s="55">
        <v>163.38163733287729</v>
      </c>
      <c r="DU19" s="55">
        <v>163.38163733287729</v>
      </c>
      <c r="DW19" s="121">
        <v>0</v>
      </c>
      <c r="DX19" s="122">
        <v>6779.6610170000004</v>
      </c>
      <c r="DY19" s="128">
        <v>1447.7400829999999</v>
      </c>
      <c r="DZ19" s="128">
        <v>0</v>
      </c>
      <c r="EA19" s="121">
        <v>0</v>
      </c>
      <c r="EB19" s="122">
        <v>1553.672292</v>
      </c>
      <c r="EC19" s="121">
        <v>0</v>
      </c>
      <c r="ED19" s="122">
        <v>1271.1864410000001</v>
      </c>
      <c r="EE19" s="121">
        <v>0</v>
      </c>
      <c r="EF19" s="122">
        <v>847.5</v>
      </c>
      <c r="EG19" s="121">
        <v>0</v>
      </c>
      <c r="EH19" s="122">
        <v>7397.5988710000001</v>
      </c>
      <c r="EI19" s="121">
        <v>0</v>
      </c>
      <c r="EJ19" s="122">
        <v>6779.6610170000004</v>
      </c>
      <c r="EK19" s="129">
        <v>1553.672292</v>
      </c>
      <c r="EL19" s="130">
        <v>847.5</v>
      </c>
      <c r="EM19" s="131">
        <v>735.83500000000004</v>
      </c>
      <c r="EN19" s="129">
        <v>420.26615000999999</v>
      </c>
      <c r="EO19" s="129">
        <v>10964.025395000001</v>
      </c>
      <c r="EP19" s="129">
        <v>0</v>
      </c>
      <c r="ER19" s="157">
        <v>0</v>
      </c>
      <c r="ES19" s="37">
        <v>0</v>
      </c>
      <c r="ET19" s="55">
        <f t="shared" si="1"/>
        <v>0</v>
      </c>
      <c r="EU19" s="157">
        <v>0</v>
      </c>
      <c r="EV19" s="37">
        <v>0</v>
      </c>
      <c r="EW19" s="55">
        <f t="shared" si="0"/>
        <v>0</v>
      </c>
      <c r="EY19" s="166">
        <v>0</v>
      </c>
      <c r="EZ19" s="37">
        <v>2377.0242569299999</v>
      </c>
      <c r="FA19" s="164">
        <f t="shared" si="2"/>
        <v>0.17473006112402401</v>
      </c>
      <c r="FB19" s="5">
        <v>4613</v>
      </c>
      <c r="FC19" s="164">
        <f t="shared" si="3"/>
        <v>1</v>
      </c>
      <c r="FE19" s="5"/>
      <c r="FF19" s="166">
        <v>0</v>
      </c>
      <c r="FG19" s="37">
        <v>10423.35</v>
      </c>
      <c r="FH19" s="164">
        <f t="shared" si="4"/>
        <v>0.78248972467766453</v>
      </c>
      <c r="FI19" s="5">
        <v>0</v>
      </c>
      <c r="FJ19" s="164">
        <f t="shared" si="5"/>
        <v>0</v>
      </c>
      <c r="FL19" s="169">
        <v>7873</v>
      </c>
      <c r="FM19" s="170">
        <f t="shared" si="6"/>
        <v>0.68245451314546257</v>
      </c>
      <c r="FN19" s="169">
        <v>2591</v>
      </c>
      <c r="FO19" s="170">
        <f t="shared" si="7"/>
        <v>0.82634348588741824</v>
      </c>
    </row>
    <row r="20" spans="2:171" x14ac:dyDescent="0.35">
      <c r="D20" s="108" t="s">
        <v>206</v>
      </c>
      <c r="E20" s="108">
        <v>32600</v>
      </c>
      <c r="F20" s="18"/>
      <c r="L20" s="108" t="s">
        <v>285</v>
      </c>
      <c r="M20" s="108">
        <v>735.83500000000004</v>
      </c>
      <c r="P20" s="64">
        <v>18</v>
      </c>
      <c r="Q20" s="109">
        <v>4565</v>
      </c>
      <c r="R20" s="110">
        <v>5.5E-2</v>
      </c>
      <c r="S20" s="111">
        <v>62.465000000000003</v>
      </c>
      <c r="T20" s="110">
        <v>1.3000000000000001E-2</v>
      </c>
      <c r="U20" s="111">
        <v>1560</v>
      </c>
      <c r="V20" s="110">
        <v>5.1999999999999998E-2</v>
      </c>
      <c r="W20" s="111">
        <v>1739.7621999999999</v>
      </c>
      <c r="X20" s="110">
        <v>0.12099999999999998</v>
      </c>
      <c r="Y20" s="111">
        <v>511.97469999999998</v>
      </c>
      <c r="Z20" s="110">
        <v>5.2999999999999999E-2</v>
      </c>
      <c r="AA20" s="111">
        <v>0</v>
      </c>
      <c r="AB20" s="110">
        <v>0</v>
      </c>
      <c r="AC20" s="111">
        <v>0</v>
      </c>
      <c r="AD20" s="110">
        <v>0</v>
      </c>
      <c r="AF20" s="64">
        <v>18</v>
      </c>
      <c r="AG20" s="109">
        <v>15307.9656</v>
      </c>
      <c r="AH20" s="111">
        <v>901.6</v>
      </c>
      <c r="AI20" s="109">
        <v>196</v>
      </c>
      <c r="AJ20" s="59">
        <v>0.17199999999999999</v>
      </c>
      <c r="AK20" s="59">
        <v>0.39200000000000002</v>
      </c>
      <c r="AL20" s="59">
        <v>0.39200000000000002</v>
      </c>
      <c r="AM20" s="110">
        <v>80.75</v>
      </c>
      <c r="AN20" s="111">
        <v>803.40840000000003</v>
      </c>
      <c r="AO20" s="59">
        <v>0.125</v>
      </c>
      <c r="AP20" s="55">
        <v>6.9000000000000006E-2</v>
      </c>
      <c r="AQ20" s="109">
        <v>27473.599999999999</v>
      </c>
      <c r="AR20" s="111">
        <v>19578.150000000001</v>
      </c>
      <c r="AS20" s="59">
        <v>0.61599999999999999</v>
      </c>
      <c r="AT20" s="55">
        <v>0.83400000000000007</v>
      </c>
      <c r="AU20" s="43"/>
      <c r="AV20" s="109">
        <v>1049.0930000000001</v>
      </c>
      <c r="AW20" s="110">
        <v>0.42599993502960221</v>
      </c>
      <c r="AX20" s="109">
        <v>875.74099999999999</v>
      </c>
      <c r="AY20" s="110">
        <v>0.54495395146235215</v>
      </c>
      <c r="AZ20" s="109">
        <v>1121.4780000000001</v>
      </c>
      <c r="BA20" s="110">
        <v>0.5784392407674851</v>
      </c>
      <c r="BB20" s="43"/>
      <c r="BC20" s="112">
        <v>51358.995000000003</v>
      </c>
      <c r="BD20" s="110">
        <v>0.73770491803278682</v>
      </c>
      <c r="BE20" s="43"/>
      <c r="BF20" s="157">
        <v>8563.5049999999992</v>
      </c>
      <c r="BG20" s="43">
        <v>0</v>
      </c>
      <c r="BH20" s="113">
        <v>0</v>
      </c>
      <c r="BI20" s="114">
        <v>0.26268420245398771</v>
      </c>
      <c r="BJ20" s="115">
        <v>0</v>
      </c>
      <c r="BK20" s="113">
        <v>0</v>
      </c>
      <c r="BL20" s="113">
        <v>0</v>
      </c>
      <c r="BM20" s="113">
        <v>0</v>
      </c>
      <c r="BN20" s="113">
        <v>2359.0790000000002</v>
      </c>
      <c r="BO20" s="114">
        <v>0.17503182964831579</v>
      </c>
      <c r="BP20" s="115">
        <v>0</v>
      </c>
      <c r="BQ20" s="43">
        <v>7668</v>
      </c>
      <c r="BR20" s="43">
        <v>651.21892933000004</v>
      </c>
      <c r="BS20" s="43"/>
      <c r="BT20" s="116">
        <v>-700</v>
      </c>
      <c r="BU20" s="43">
        <v>0</v>
      </c>
      <c r="BV20" s="43">
        <v>4485</v>
      </c>
      <c r="BW20" s="43">
        <v>4485</v>
      </c>
      <c r="BX20" s="43">
        <v>0</v>
      </c>
      <c r="BY20" s="43">
        <v>0</v>
      </c>
      <c r="BZ20" s="43">
        <v>5000</v>
      </c>
      <c r="CA20" s="43">
        <v>5000</v>
      </c>
      <c r="CB20" s="43">
        <v>-5300</v>
      </c>
      <c r="CC20" s="43">
        <v>0</v>
      </c>
      <c r="CD20" s="43">
        <v>-4000</v>
      </c>
      <c r="CE20" s="43">
        <v>0</v>
      </c>
      <c r="CF20" s="43">
        <v>4800</v>
      </c>
      <c r="CG20" s="43">
        <v>4800</v>
      </c>
      <c r="CH20" s="43">
        <v>9515.0866049600008</v>
      </c>
      <c r="CI20" s="43">
        <v>9515.0866049600008</v>
      </c>
      <c r="CJ20" s="114">
        <v>23800.086604960001</v>
      </c>
      <c r="CK20" s="43"/>
      <c r="CL20" s="116">
        <v>-700</v>
      </c>
      <c r="CM20" s="43">
        <v>700</v>
      </c>
      <c r="CN20" s="43">
        <v>4485</v>
      </c>
      <c r="CO20" s="43">
        <v>0</v>
      </c>
      <c r="CP20" s="43">
        <v>0</v>
      </c>
      <c r="CQ20" s="43">
        <v>0</v>
      </c>
      <c r="CR20" s="43">
        <v>5000</v>
      </c>
      <c r="CS20" s="43">
        <v>0</v>
      </c>
      <c r="CT20" s="43">
        <v>-5300</v>
      </c>
      <c r="CU20" s="43">
        <v>5300</v>
      </c>
      <c r="CV20" s="43">
        <v>-4000</v>
      </c>
      <c r="CW20" s="43">
        <v>4000</v>
      </c>
      <c r="CX20" s="43">
        <v>4800</v>
      </c>
      <c r="CY20" s="43">
        <v>0</v>
      </c>
      <c r="CZ20" s="43">
        <v>9515.0866049600008</v>
      </c>
      <c r="DA20" s="43">
        <v>0</v>
      </c>
      <c r="DB20" s="114">
        <v>10000</v>
      </c>
      <c r="DC20" s="43"/>
      <c r="DD20" s="117">
        <v>37848.421000000002</v>
      </c>
      <c r="DE20" s="55">
        <v>2170.46</v>
      </c>
      <c r="DF20" s="59">
        <v>1594.9169902076001</v>
      </c>
      <c r="DG20" s="59">
        <v>41613.797990207604</v>
      </c>
      <c r="DH20" s="117">
        <v>9622.509</v>
      </c>
      <c r="DI20" s="117">
        <v>54666.411</v>
      </c>
      <c r="DJ20" s="55">
        <v>6747</v>
      </c>
      <c r="DK20" s="114">
        <v>61413.411</v>
      </c>
      <c r="DL20" s="43"/>
      <c r="DM20" s="117">
        <v>947.26800000000003</v>
      </c>
      <c r="DN20" s="55">
        <v>10571.615847326309</v>
      </c>
      <c r="DO20" s="55">
        <v>11518.883847326309</v>
      </c>
      <c r="DP20" s="59">
        <v>1581.399830416711</v>
      </c>
      <c r="DQ20" s="59">
        <v>2940.8694719917921</v>
      </c>
      <c r="DR20" s="59">
        <v>0</v>
      </c>
      <c r="DS20" s="55">
        <v>2940.8694719917921</v>
      </c>
      <c r="DT20" s="55">
        <v>163.38163733287729</v>
      </c>
      <c r="DU20" s="55">
        <v>163.38163733287729</v>
      </c>
      <c r="DW20" s="121">
        <v>0</v>
      </c>
      <c r="DX20" s="122">
        <v>5734.7610169999998</v>
      </c>
      <c r="DY20" s="128">
        <v>1196.160083</v>
      </c>
      <c r="DZ20" s="128">
        <v>0</v>
      </c>
      <c r="EA20" s="121">
        <v>0</v>
      </c>
      <c r="EB20" s="122">
        <v>1553.672292</v>
      </c>
      <c r="EC20" s="121">
        <v>0</v>
      </c>
      <c r="ED20" s="122">
        <v>898.13259101000006</v>
      </c>
      <c r="EE20" s="121">
        <v>0</v>
      </c>
      <c r="EF20" s="122">
        <v>847.5</v>
      </c>
      <c r="EG20" s="121">
        <v>0</v>
      </c>
      <c r="EH20" s="122">
        <v>7397.5988710000001</v>
      </c>
      <c r="EI20" s="121">
        <v>0</v>
      </c>
      <c r="EJ20" s="122">
        <v>5734.7610169999998</v>
      </c>
      <c r="EK20" s="129">
        <v>1553.672292</v>
      </c>
      <c r="EL20" s="130">
        <v>847.5</v>
      </c>
      <c r="EM20" s="131">
        <v>735.83500000000004</v>
      </c>
      <c r="EN20" s="129">
        <v>0</v>
      </c>
      <c r="EO20" s="129">
        <v>10339.391545009999</v>
      </c>
      <c r="EP20" s="129">
        <v>0</v>
      </c>
      <c r="ER20" s="157">
        <v>774.15700000000004</v>
      </c>
      <c r="ES20" s="37">
        <v>1591.4646720000001</v>
      </c>
      <c r="ET20" s="55">
        <f t="shared" si="1"/>
        <v>8.2234788180964108E-2</v>
      </c>
      <c r="EU20" s="157">
        <v>0</v>
      </c>
      <c r="EV20" s="37">
        <v>148.69800000000001</v>
      </c>
      <c r="EW20" s="55">
        <f t="shared" si="0"/>
        <v>8.1433913327301918E-2</v>
      </c>
      <c r="EY20" s="166">
        <v>1017.39286192</v>
      </c>
      <c r="EZ20" s="37">
        <v>3156.57</v>
      </c>
      <c r="FA20" s="164">
        <f t="shared" si="2"/>
        <v>0.30681924421529583</v>
      </c>
      <c r="FB20" s="5">
        <v>4613</v>
      </c>
      <c r="FC20" s="164">
        <f t="shared" si="3"/>
        <v>1</v>
      </c>
      <c r="FE20" s="5"/>
      <c r="FF20" s="166">
        <v>0</v>
      </c>
      <c r="FG20" s="37">
        <v>0</v>
      </c>
      <c r="FH20" s="164">
        <f t="shared" si="4"/>
        <v>0</v>
      </c>
      <c r="FI20" s="5">
        <v>0</v>
      </c>
      <c r="FJ20" s="164">
        <f t="shared" si="5"/>
        <v>0</v>
      </c>
      <c r="FL20" s="169">
        <v>7873</v>
      </c>
      <c r="FM20" s="170">
        <f t="shared" si="6"/>
        <v>0.68245451314546257</v>
      </c>
      <c r="FN20" s="169">
        <v>2591</v>
      </c>
      <c r="FO20" s="170">
        <f t="shared" si="7"/>
        <v>0.82634348588741824</v>
      </c>
    </row>
    <row r="21" spans="2:171" x14ac:dyDescent="0.35">
      <c r="D21" s="108" t="s">
        <v>286</v>
      </c>
      <c r="E21" s="108">
        <v>1100.37359042</v>
      </c>
      <c r="F21" s="18"/>
      <c r="L21" s="108" t="s">
        <v>287</v>
      </c>
      <c r="M21" s="108">
        <v>735.83500000000004</v>
      </c>
      <c r="P21" s="64">
        <v>19</v>
      </c>
      <c r="Q21" s="109">
        <v>0</v>
      </c>
      <c r="R21" s="110">
        <v>0</v>
      </c>
      <c r="S21" s="111">
        <v>0</v>
      </c>
      <c r="T21" s="110">
        <v>0</v>
      </c>
      <c r="U21" s="111">
        <v>0</v>
      </c>
      <c r="V21" s="110">
        <v>0</v>
      </c>
      <c r="W21" s="111">
        <v>0</v>
      </c>
      <c r="X21" s="110">
        <v>0</v>
      </c>
      <c r="Y21" s="111">
        <v>0</v>
      </c>
      <c r="Z21" s="110">
        <v>0</v>
      </c>
      <c r="AA21" s="111">
        <v>0</v>
      </c>
      <c r="AB21" s="110">
        <v>0</v>
      </c>
      <c r="AC21" s="111">
        <v>0</v>
      </c>
      <c r="AD21" s="110">
        <v>0</v>
      </c>
      <c r="AF21" s="64">
        <v>19</v>
      </c>
      <c r="AG21" s="109">
        <v>14150.968199999999</v>
      </c>
      <c r="AH21" s="111">
        <v>867.1</v>
      </c>
      <c r="AI21" s="109">
        <v>188.5</v>
      </c>
      <c r="AJ21" s="59">
        <v>0.15899999999999997</v>
      </c>
      <c r="AK21" s="59">
        <v>0.377</v>
      </c>
      <c r="AL21" s="59">
        <v>0.377</v>
      </c>
      <c r="AM21" s="110">
        <v>90.44</v>
      </c>
      <c r="AN21" s="111">
        <v>1117.7855999999999</v>
      </c>
      <c r="AO21" s="59">
        <v>0.13999999999999999</v>
      </c>
      <c r="AP21" s="55">
        <v>9.5999999999999988E-2</v>
      </c>
      <c r="AQ21" s="109">
        <v>29703.599999999999</v>
      </c>
      <c r="AR21" s="111">
        <v>19742.474999999999</v>
      </c>
      <c r="AS21" s="59">
        <v>0.66599999999999993</v>
      </c>
      <c r="AT21" s="55">
        <v>0.84099999999999997</v>
      </c>
      <c r="AU21" s="43"/>
      <c r="AV21" s="109">
        <v>1044.1679999999999</v>
      </c>
      <c r="AW21" s="110">
        <v>0.42400006497039783</v>
      </c>
      <c r="AX21" s="109">
        <v>870.74099999999999</v>
      </c>
      <c r="AY21" s="110">
        <v>0.54184256378344742</v>
      </c>
      <c r="AZ21" s="109">
        <v>1121.4780000000001</v>
      </c>
      <c r="BA21" s="110">
        <v>0.5784392407674851</v>
      </c>
      <c r="BB21" s="43"/>
      <c r="BC21" s="112">
        <v>51358.995000000003</v>
      </c>
      <c r="BD21" s="110">
        <v>0.73770491803278682</v>
      </c>
      <c r="BE21" s="43"/>
      <c r="BF21" s="157">
        <v>6041.09</v>
      </c>
      <c r="BG21" s="43">
        <v>0</v>
      </c>
      <c r="BH21" s="113">
        <v>0</v>
      </c>
      <c r="BI21" s="114">
        <v>0.18530950920245398</v>
      </c>
      <c r="BJ21" s="115">
        <v>0</v>
      </c>
      <c r="BK21" s="113">
        <v>0</v>
      </c>
      <c r="BL21" s="113">
        <v>0</v>
      </c>
      <c r="BM21" s="113">
        <v>0</v>
      </c>
      <c r="BN21" s="113">
        <v>1396.289</v>
      </c>
      <c r="BO21" s="114">
        <v>0.10359764059949547</v>
      </c>
      <c r="BP21" s="115">
        <v>0</v>
      </c>
      <c r="BQ21" s="43">
        <v>7668</v>
      </c>
      <c r="BR21" s="43">
        <v>650.75904741999989</v>
      </c>
      <c r="BS21" s="43"/>
      <c r="BT21" s="116">
        <v>-700</v>
      </c>
      <c r="BU21" s="43">
        <v>0</v>
      </c>
      <c r="BV21" s="43">
        <v>4485</v>
      </c>
      <c r="BW21" s="43">
        <v>4485</v>
      </c>
      <c r="BX21" s="43">
        <v>0</v>
      </c>
      <c r="BY21" s="43">
        <v>0</v>
      </c>
      <c r="BZ21" s="43">
        <v>5000</v>
      </c>
      <c r="CA21" s="43">
        <v>5000</v>
      </c>
      <c r="CB21" s="43">
        <v>-5300</v>
      </c>
      <c r="CC21" s="43">
        <v>0</v>
      </c>
      <c r="CD21" s="43">
        <v>-4000</v>
      </c>
      <c r="CE21" s="43">
        <v>0</v>
      </c>
      <c r="CF21" s="43">
        <v>4800</v>
      </c>
      <c r="CG21" s="43">
        <v>4800</v>
      </c>
      <c r="CH21" s="43">
        <v>9516.3936855899992</v>
      </c>
      <c r="CI21" s="43">
        <v>9516.3936855899992</v>
      </c>
      <c r="CJ21" s="114">
        <v>23801.393685589999</v>
      </c>
      <c r="CK21" s="43"/>
      <c r="CL21" s="116">
        <v>-700</v>
      </c>
      <c r="CM21" s="43">
        <v>700</v>
      </c>
      <c r="CN21" s="43">
        <v>4485</v>
      </c>
      <c r="CO21" s="43">
        <v>0</v>
      </c>
      <c r="CP21" s="43">
        <v>0</v>
      </c>
      <c r="CQ21" s="43">
        <v>0</v>
      </c>
      <c r="CR21" s="43">
        <v>5000</v>
      </c>
      <c r="CS21" s="43">
        <v>0</v>
      </c>
      <c r="CT21" s="43">
        <v>-5300</v>
      </c>
      <c r="CU21" s="43">
        <v>5300</v>
      </c>
      <c r="CV21" s="43">
        <v>-4000</v>
      </c>
      <c r="CW21" s="43">
        <v>4000</v>
      </c>
      <c r="CX21" s="43">
        <v>4800</v>
      </c>
      <c r="CY21" s="43">
        <v>0</v>
      </c>
      <c r="CZ21" s="43">
        <v>9516.3936855899992</v>
      </c>
      <c r="DA21" s="43">
        <v>0</v>
      </c>
      <c r="DB21" s="114">
        <v>10000</v>
      </c>
      <c r="DC21" s="43"/>
      <c r="DD21" s="117">
        <v>39546.004000000001</v>
      </c>
      <c r="DE21" s="55">
        <v>2273.2370000000001</v>
      </c>
      <c r="DF21" s="59">
        <v>1721.6878511989</v>
      </c>
      <c r="DG21" s="59">
        <v>43540.9288511989</v>
      </c>
      <c r="DH21" s="117">
        <v>9376.7790000000005</v>
      </c>
      <c r="DI21" s="117">
        <v>56199.411</v>
      </c>
      <c r="DJ21" s="55">
        <v>6343</v>
      </c>
      <c r="DK21" s="114">
        <v>62542.411</v>
      </c>
      <c r="DL21" s="43"/>
      <c r="DM21" s="117">
        <v>936.72299999999996</v>
      </c>
      <c r="DN21" s="55">
        <v>10555.905846475949</v>
      </c>
      <c r="DO21" s="55">
        <v>11492.628846475949</v>
      </c>
      <c r="DP21" s="59">
        <v>1581.399830416711</v>
      </c>
      <c r="DQ21" s="59">
        <v>2932.5915975665489</v>
      </c>
      <c r="DR21" s="59">
        <v>0</v>
      </c>
      <c r="DS21" s="55">
        <v>2932.5915975665489</v>
      </c>
      <c r="DT21" s="55">
        <v>162.92175542036381</v>
      </c>
      <c r="DU21" s="55">
        <v>162.92175542036381</v>
      </c>
      <c r="DW21" s="121">
        <v>0</v>
      </c>
      <c r="DX21" s="122">
        <v>4690.3208989100003</v>
      </c>
      <c r="DY21" s="128">
        <v>944.58008299999995</v>
      </c>
      <c r="DZ21" s="128">
        <v>0</v>
      </c>
      <c r="EA21" s="121">
        <v>0</v>
      </c>
      <c r="EB21" s="122">
        <v>1553.672292</v>
      </c>
      <c r="EC21" s="121">
        <v>0</v>
      </c>
      <c r="ED21" s="122">
        <v>226.67657588</v>
      </c>
      <c r="EE21" s="121">
        <v>0</v>
      </c>
      <c r="EF21" s="122">
        <v>847.5</v>
      </c>
      <c r="EG21" s="121">
        <v>0</v>
      </c>
      <c r="EH21" s="122">
        <v>7284.4726424700002</v>
      </c>
      <c r="EI21" s="121">
        <v>0</v>
      </c>
      <c r="EJ21" s="122">
        <v>4690.3208989100003</v>
      </c>
      <c r="EK21" s="129">
        <v>1553.672292</v>
      </c>
      <c r="EL21" s="130">
        <v>847.5</v>
      </c>
      <c r="EM21" s="131">
        <v>735.83500000000004</v>
      </c>
      <c r="EN21" s="129">
        <v>0</v>
      </c>
      <c r="EO21" s="129">
        <v>9303.2293013500002</v>
      </c>
      <c r="EP21" s="129">
        <v>0</v>
      </c>
      <c r="ER21" s="157">
        <v>799.48800000000006</v>
      </c>
      <c r="ES21" s="37">
        <v>1591.4646720000001</v>
      </c>
      <c r="ET21" s="55">
        <f t="shared" si="1"/>
        <v>8.3115355620833262E-2</v>
      </c>
      <c r="EU21" s="157">
        <v>0</v>
      </c>
      <c r="EV21" s="37">
        <v>148.69800000000001</v>
      </c>
      <c r="EW21" s="55">
        <f t="shared" si="0"/>
        <v>8.1433913327301918E-2</v>
      </c>
      <c r="EY21" s="166">
        <v>10447.41</v>
      </c>
      <c r="EZ21" s="37">
        <v>3156.57</v>
      </c>
      <c r="FA21" s="164">
        <f t="shared" si="2"/>
        <v>1</v>
      </c>
      <c r="FB21" s="5">
        <v>4613</v>
      </c>
      <c r="FC21" s="164">
        <f t="shared" si="3"/>
        <v>1</v>
      </c>
      <c r="FE21" s="5"/>
      <c r="FF21" s="166">
        <v>0</v>
      </c>
      <c r="FG21" s="37">
        <v>0</v>
      </c>
      <c r="FH21" s="164">
        <f t="shared" si="4"/>
        <v>0</v>
      </c>
      <c r="FI21" s="5">
        <v>0</v>
      </c>
      <c r="FJ21" s="164">
        <f t="shared" si="5"/>
        <v>0</v>
      </c>
      <c r="FL21" s="169">
        <v>7873</v>
      </c>
      <c r="FM21" s="170">
        <f t="shared" si="6"/>
        <v>0.68245451314546257</v>
      </c>
      <c r="FN21" s="169">
        <v>2591</v>
      </c>
      <c r="FO21" s="170">
        <f t="shared" si="7"/>
        <v>0.82634348588741824</v>
      </c>
    </row>
    <row r="22" spans="2:171" x14ac:dyDescent="0.35">
      <c r="D22" s="108" t="s">
        <v>288</v>
      </c>
      <c r="E22" s="108">
        <v>1517.77579117</v>
      </c>
      <c r="F22" s="18"/>
      <c r="P22" s="64">
        <v>20</v>
      </c>
      <c r="Q22" s="109">
        <v>0</v>
      </c>
      <c r="R22" s="110">
        <v>0</v>
      </c>
      <c r="S22" s="111">
        <v>0</v>
      </c>
      <c r="T22" s="110">
        <v>0</v>
      </c>
      <c r="U22" s="111">
        <v>0</v>
      </c>
      <c r="V22" s="110">
        <v>0</v>
      </c>
      <c r="W22" s="111">
        <v>0</v>
      </c>
      <c r="X22" s="110">
        <v>0</v>
      </c>
      <c r="Y22" s="111">
        <v>0</v>
      </c>
      <c r="Z22" s="110">
        <v>0</v>
      </c>
      <c r="AA22" s="111">
        <v>0</v>
      </c>
      <c r="AB22" s="110">
        <v>0</v>
      </c>
      <c r="AC22" s="111">
        <v>0</v>
      </c>
      <c r="AD22" s="110">
        <v>0</v>
      </c>
      <c r="AF22" s="64">
        <v>20</v>
      </c>
      <c r="AG22" s="109">
        <v>13794.968999999999</v>
      </c>
      <c r="AH22" s="111">
        <v>825.7</v>
      </c>
      <c r="AI22" s="109">
        <v>179.5</v>
      </c>
      <c r="AJ22" s="59">
        <v>0.155</v>
      </c>
      <c r="AK22" s="59">
        <v>0.35900000000000004</v>
      </c>
      <c r="AL22" s="59">
        <v>0.35899999999999999</v>
      </c>
      <c r="AM22" s="110">
        <v>96.254000000000005</v>
      </c>
      <c r="AN22" s="111">
        <v>1315.7267999999999</v>
      </c>
      <c r="AO22" s="59">
        <v>0.14900000000000002</v>
      </c>
      <c r="AP22" s="55">
        <v>0.11299999999999999</v>
      </c>
      <c r="AQ22" s="109">
        <v>30684.799999999999</v>
      </c>
      <c r="AR22" s="111">
        <v>19601.625</v>
      </c>
      <c r="AS22" s="59">
        <v>0.68799999999999994</v>
      </c>
      <c r="AT22" s="55">
        <v>0.83499999999999996</v>
      </c>
      <c r="AU22" s="43"/>
      <c r="AV22" s="109">
        <v>1044.1679999999999</v>
      </c>
      <c r="AW22" s="110">
        <v>0.42400006497039783</v>
      </c>
      <c r="AX22" s="109">
        <v>871.05899999999997</v>
      </c>
      <c r="AY22" s="110">
        <v>0.54204044803982576</v>
      </c>
      <c r="AZ22" s="109">
        <v>1121.4780000000001</v>
      </c>
      <c r="BA22" s="110">
        <v>0.5784392407674851</v>
      </c>
      <c r="BB22" s="43"/>
      <c r="BC22" s="112">
        <v>51358.995000000003</v>
      </c>
      <c r="BD22" s="110">
        <v>0.73770491803278682</v>
      </c>
      <c r="BE22" s="43"/>
      <c r="BF22" s="157">
        <v>5887.6229999999996</v>
      </c>
      <c r="BG22" s="43">
        <v>0</v>
      </c>
      <c r="BH22" s="113">
        <v>0</v>
      </c>
      <c r="BI22" s="114">
        <v>0.1806019325153374</v>
      </c>
      <c r="BJ22" s="115">
        <v>0</v>
      </c>
      <c r="BK22" s="113">
        <v>0</v>
      </c>
      <c r="BL22" s="113">
        <v>0</v>
      </c>
      <c r="BM22" s="113">
        <v>0</v>
      </c>
      <c r="BN22" s="113">
        <v>1465.329</v>
      </c>
      <c r="BO22" s="114">
        <v>0.10872006232378691</v>
      </c>
      <c r="BP22" s="115">
        <v>0</v>
      </c>
      <c r="BQ22" s="43">
        <v>7668</v>
      </c>
      <c r="BR22" s="43">
        <v>650.29916550999997</v>
      </c>
      <c r="BS22" s="43"/>
      <c r="BT22" s="116">
        <v>-700</v>
      </c>
      <c r="BU22" s="43">
        <v>0</v>
      </c>
      <c r="BV22" s="43">
        <v>4485</v>
      </c>
      <c r="BW22" s="43">
        <v>4485</v>
      </c>
      <c r="BX22" s="43">
        <v>0</v>
      </c>
      <c r="BY22" s="43">
        <v>0</v>
      </c>
      <c r="BZ22" s="43">
        <v>5000</v>
      </c>
      <c r="CA22" s="43">
        <v>5000</v>
      </c>
      <c r="CB22" s="43">
        <v>-5300</v>
      </c>
      <c r="CC22" s="43">
        <v>0</v>
      </c>
      <c r="CD22" s="43">
        <v>-4000</v>
      </c>
      <c r="CE22" s="43">
        <v>0</v>
      </c>
      <c r="CF22" s="43">
        <v>4504.8368282000001</v>
      </c>
      <c r="CG22" s="43">
        <v>4504.8368282000001</v>
      </c>
      <c r="CH22" s="43">
        <v>18059.16525527</v>
      </c>
      <c r="CI22" s="43">
        <v>18059.16525527</v>
      </c>
      <c r="CJ22" s="114">
        <v>32049.002083470001</v>
      </c>
      <c r="CK22" s="43"/>
      <c r="CL22" s="116">
        <v>-700</v>
      </c>
      <c r="CM22" s="43">
        <v>700</v>
      </c>
      <c r="CN22" s="43">
        <v>4485</v>
      </c>
      <c r="CO22" s="43">
        <v>0</v>
      </c>
      <c r="CP22" s="43">
        <v>0</v>
      </c>
      <c r="CQ22" s="43">
        <v>0</v>
      </c>
      <c r="CR22" s="43">
        <v>5000</v>
      </c>
      <c r="CS22" s="43">
        <v>0</v>
      </c>
      <c r="CT22" s="43">
        <v>-5300</v>
      </c>
      <c r="CU22" s="43">
        <v>5300</v>
      </c>
      <c r="CV22" s="43">
        <v>-4000</v>
      </c>
      <c r="CW22" s="43">
        <v>4000</v>
      </c>
      <c r="CX22" s="43">
        <v>4504.8368282000001</v>
      </c>
      <c r="CY22" s="43">
        <v>0</v>
      </c>
      <c r="CZ22" s="43">
        <v>18059.16525527</v>
      </c>
      <c r="DA22" s="43">
        <v>0</v>
      </c>
      <c r="DB22" s="114">
        <v>10000</v>
      </c>
      <c r="DC22" s="43"/>
      <c r="DD22" s="117">
        <v>39969.786999999997</v>
      </c>
      <c r="DE22" s="55">
        <v>2306.6689999999999</v>
      </c>
      <c r="DF22" s="59">
        <v>1856.2611563997</v>
      </c>
      <c r="DG22" s="59">
        <v>44132.717156399696</v>
      </c>
      <c r="DH22" s="117">
        <v>9472</v>
      </c>
      <c r="DI22" s="117">
        <v>56362.411</v>
      </c>
      <c r="DJ22" s="55">
        <v>5867</v>
      </c>
      <c r="DK22" s="114">
        <v>62229.411</v>
      </c>
      <c r="DL22" s="43"/>
      <c r="DM22" s="117">
        <v>925.00199999999995</v>
      </c>
      <c r="DN22" s="55">
        <v>10540.1958456256</v>
      </c>
      <c r="DO22" s="55">
        <v>11465.1978456256</v>
      </c>
      <c r="DP22" s="59">
        <v>1426.7317096637109</v>
      </c>
      <c r="DQ22" s="59">
        <v>2924.3137231413061</v>
      </c>
      <c r="DR22" s="59">
        <v>0</v>
      </c>
      <c r="DS22" s="55">
        <v>2924.3137231413061</v>
      </c>
      <c r="DT22" s="55">
        <v>162.46187350785041</v>
      </c>
      <c r="DU22" s="55">
        <v>162.46187350785041</v>
      </c>
      <c r="DW22" s="121">
        <v>0</v>
      </c>
      <c r="DX22" s="122">
        <v>3645.8807808299998</v>
      </c>
      <c r="DY22" s="128">
        <v>693.00008300000002</v>
      </c>
      <c r="DZ22" s="128">
        <v>0</v>
      </c>
      <c r="EA22" s="121">
        <v>0</v>
      </c>
      <c r="EB22" s="122">
        <v>1553.672292</v>
      </c>
      <c r="EC22" s="121">
        <v>0</v>
      </c>
      <c r="ED22" s="122">
        <v>0</v>
      </c>
      <c r="EE22" s="121">
        <v>0</v>
      </c>
      <c r="EF22" s="122">
        <v>847.5</v>
      </c>
      <c r="EG22" s="121">
        <v>0</v>
      </c>
      <c r="EH22" s="122">
        <v>6726.5669746800004</v>
      </c>
      <c r="EI22" s="121">
        <v>0</v>
      </c>
      <c r="EJ22" s="122">
        <v>3645.8807808299998</v>
      </c>
      <c r="EK22" s="129">
        <v>1553.672292</v>
      </c>
      <c r="EL22" s="130">
        <v>847.5</v>
      </c>
      <c r="EM22" s="131">
        <v>735.83500000000004</v>
      </c>
      <c r="EN22" s="129">
        <v>0</v>
      </c>
      <c r="EO22" s="129">
        <v>8267.0670576800003</v>
      </c>
      <c r="EP22" s="129">
        <v>0</v>
      </c>
      <c r="ER22" s="157">
        <v>807.81600000000003</v>
      </c>
      <c r="ES22" s="37">
        <v>1591.4646720000001</v>
      </c>
      <c r="ET22" s="55">
        <f t="shared" si="1"/>
        <v>8.3404857244899808E-2</v>
      </c>
      <c r="EU22" s="157">
        <v>0</v>
      </c>
      <c r="EV22" s="37">
        <v>149.62200000000001</v>
      </c>
      <c r="EW22" s="55">
        <f t="shared" si="0"/>
        <v>8.1939938532176418E-2</v>
      </c>
      <c r="EY22" s="166">
        <v>0</v>
      </c>
      <c r="EZ22" s="37">
        <v>3156.57</v>
      </c>
      <c r="FA22" s="164">
        <f t="shared" si="2"/>
        <v>0.23203283156840868</v>
      </c>
      <c r="FB22" s="5">
        <v>4613</v>
      </c>
      <c r="FC22" s="164">
        <f t="shared" si="3"/>
        <v>1</v>
      </c>
      <c r="FE22" s="5"/>
      <c r="FF22" s="166">
        <v>0</v>
      </c>
      <c r="FG22" s="37">
        <v>0</v>
      </c>
      <c r="FH22" s="164">
        <f t="shared" si="4"/>
        <v>0</v>
      </c>
      <c r="FI22" s="5">
        <v>0</v>
      </c>
      <c r="FJ22" s="164">
        <f t="shared" si="5"/>
        <v>0</v>
      </c>
      <c r="FL22" s="169">
        <v>7873</v>
      </c>
      <c r="FM22" s="170">
        <f t="shared" si="6"/>
        <v>0.68245451314546257</v>
      </c>
      <c r="FN22" s="169">
        <v>2591</v>
      </c>
      <c r="FO22" s="170">
        <f t="shared" si="7"/>
        <v>0.82634348588741824</v>
      </c>
    </row>
    <row r="23" spans="2:171" x14ac:dyDescent="0.35">
      <c r="P23" s="64">
        <v>21</v>
      </c>
      <c r="Q23" s="109">
        <v>0</v>
      </c>
      <c r="R23" s="110">
        <v>0</v>
      </c>
      <c r="S23" s="111">
        <v>0</v>
      </c>
      <c r="T23" s="110">
        <v>0</v>
      </c>
      <c r="U23" s="111">
        <v>0</v>
      </c>
      <c r="V23" s="110">
        <v>0</v>
      </c>
      <c r="W23" s="111">
        <v>0</v>
      </c>
      <c r="X23" s="110">
        <v>0</v>
      </c>
      <c r="Y23" s="111">
        <v>0</v>
      </c>
      <c r="Z23" s="110">
        <v>0</v>
      </c>
      <c r="AA23" s="111">
        <v>0</v>
      </c>
      <c r="AB23" s="110">
        <v>0</v>
      </c>
      <c r="AC23" s="111">
        <v>0</v>
      </c>
      <c r="AD23" s="110">
        <v>0</v>
      </c>
      <c r="AF23" s="64">
        <v>21</v>
      </c>
      <c r="AG23" s="109">
        <v>13883.968800000001</v>
      </c>
      <c r="AH23" s="111">
        <v>786.6</v>
      </c>
      <c r="AI23" s="109">
        <v>171</v>
      </c>
      <c r="AJ23" s="59">
        <v>0.156</v>
      </c>
      <c r="AK23" s="59">
        <v>0.34200000000000003</v>
      </c>
      <c r="AL23" s="59">
        <v>0.34200000000000003</v>
      </c>
      <c r="AM23" s="110">
        <v>98.837999999999994</v>
      </c>
      <c r="AN23" s="111">
        <v>1327.3704</v>
      </c>
      <c r="AO23" s="59">
        <v>0.153</v>
      </c>
      <c r="AP23" s="55">
        <v>0.114</v>
      </c>
      <c r="AQ23" s="109">
        <v>30551</v>
      </c>
      <c r="AR23" s="111">
        <v>19507.724999999999</v>
      </c>
      <c r="AS23" s="59">
        <v>0.68500000000000005</v>
      </c>
      <c r="AT23" s="55">
        <v>0.83099999999999996</v>
      </c>
      <c r="AU23" s="43"/>
      <c r="AV23" s="109">
        <v>1049.0930000000001</v>
      </c>
      <c r="AW23" s="110">
        <v>0.42599993502960221</v>
      </c>
      <c r="AX23" s="109">
        <v>872.11800000000005</v>
      </c>
      <c r="AY23" s="110">
        <v>0.54269943995021785</v>
      </c>
      <c r="AZ23" s="109">
        <v>1121.4780000000001</v>
      </c>
      <c r="BA23" s="110">
        <v>0.5784392407674851</v>
      </c>
      <c r="BB23" s="43"/>
      <c r="BC23" s="112">
        <v>51358.995000000003</v>
      </c>
      <c r="BD23" s="110">
        <v>0.73770491803278682</v>
      </c>
      <c r="BE23" s="43"/>
      <c r="BF23" s="157">
        <v>5945.5720000000001</v>
      </c>
      <c r="BG23" s="43">
        <v>0</v>
      </c>
      <c r="BH23" s="113">
        <v>0</v>
      </c>
      <c r="BI23" s="114">
        <v>0.18237950920245399</v>
      </c>
      <c r="BJ23" s="115">
        <v>0</v>
      </c>
      <c r="BK23" s="113">
        <v>0</v>
      </c>
      <c r="BL23" s="113">
        <v>0</v>
      </c>
      <c r="BM23" s="113">
        <v>0</v>
      </c>
      <c r="BN23" s="113">
        <v>1508.2539999999999</v>
      </c>
      <c r="BO23" s="114">
        <v>0.11190488202997477</v>
      </c>
      <c r="BP23" s="115">
        <v>0</v>
      </c>
      <c r="BQ23" s="43">
        <v>7668</v>
      </c>
      <c r="BR23" s="43">
        <v>649.83928358999992</v>
      </c>
      <c r="BS23" s="43"/>
      <c r="BT23" s="116">
        <v>-700</v>
      </c>
      <c r="BU23" s="43">
        <v>0</v>
      </c>
      <c r="BV23" s="43">
        <v>4485</v>
      </c>
      <c r="BW23" s="43">
        <v>4485</v>
      </c>
      <c r="BX23" s="43">
        <v>0</v>
      </c>
      <c r="BY23" s="43">
        <v>0</v>
      </c>
      <c r="BZ23" s="43">
        <v>5000</v>
      </c>
      <c r="CA23" s="43">
        <v>5000</v>
      </c>
      <c r="CB23" s="43">
        <v>-5300</v>
      </c>
      <c r="CC23" s="43">
        <v>0</v>
      </c>
      <c r="CD23" s="43">
        <v>-4000</v>
      </c>
      <c r="CE23" s="43">
        <v>0</v>
      </c>
      <c r="CF23" s="43">
        <v>2042.3663779999999</v>
      </c>
      <c r="CG23" s="43">
        <v>2042.3663779999999</v>
      </c>
      <c r="CH23" s="43">
        <v>9657.8253464900008</v>
      </c>
      <c r="CI23" s="43">
        <v>9657.8253464900008</v>
      </c>
      <c r="CJ23" s="114">
        <v>21185.191724490003</v>
      </c>
      <c r="CK23" s="43"/>
      <c r="CL23" s="116">
        <v>-700</v>
      </c>
      <c r="CM23" s="43">
        <v>700</v>
      </c>
      <c r="CN23" s="43">
        <v>4485</v>
      </c>
      <c r="CO23" s="43">
        <v>0</v>
      </c>
      <c r="CP23" s="43">
        <v>0</v>
      </c>
      <c r="CQ23" s="43">
        <v>0</v>
      </c>
      <c r="CR23" s="43">
        <v>5000</v>
      </c>
      <c r="CS23" s="43">
        <v>0</v>
      </c>
      <c r="CT23" s="43">
        <v>-5300</v>
      </c>
      <c r="CU23" s="43">
        <v>5300</v>
      </c>
      <c r="CV23" s="43">
        <v>-4000</v>
      </c>
      <c r="CW23" s="43">
        <v>4000</v>
      </c>
      <c r="CX23" s="43">
        <v>2042.3663779999999</v>
      </c>
      <c r="CY23" s="43">
        <v>0</v>
      </c>
      <c r="CZ23" s="43">
        <v>9657.8253464900008</v>
      </c>
      <c r="DA23" s="43">
        <v>0</v>
      </c>
      <c r="DB23" s="114">
        <v>10000</v>
      </c>
      <c r="DC23" s="43"/>
      <c r="DD23" s="117">
        <v>39444.449999999997</v>
      </c>
      <c r="DE23" s="55">
        <v>2243.4639999999999</v>
      </c>
      <c r="DF23" s="59">
        <v>1829.2845996880999</v>
      </c>
      <c r="DG23" s="59">
        <v>43517.198599688098</v>
      </c>
      <c r="DH23" s="117">
        <v>9191.0499999999993</v>
      </c>
      <c r="DI23" s="117">
        <v>54642.411</v>
      </c>
      <c r="DJ23" s="55">
        <v>5831</v>
      </c>
      <c r="DK23" s="114">
        <v>60473.411</v>
      </c>
      <c r="DL23" s="43"/>
      <c r="DM23" s="117">
        <v>870.59100000000001</v>
      </c>
      <c r="DN23" s="55">
        <v>10524.485844775239</v>
      </c>
      <c r="DO23" s="55">
        <v>11395.07684477524</v>
      </c>
      <c r="DP23" s="59">
        <v>1323.6196291617121</v>
      </c>
      <c r="DQ23" s="59">
        <v>2916.0358487160638</v>
      </c>
      <c r="DR23" s="59">
        <v>0</v>
      </c>
      <c r="DS23" s="55">
        <v>2916.0358487160638</v>
      </c>
      <c r="DT23" s="55">
        <v>162.0019915953369</v>
      </c>
      <c r="DU23" s="55">
        <v>162.0019915953369</v>
      </c>
      <c r="DW23" s="121">
        <v>0</v>
      </c>
      <c r="DX23" s="122">
        <v>2601.4406627399999</v>
      </c>
      <c r="DY23" s="128">
        <v>441.42008299999998</v>
      </c>
      <c r="DZ23" s="128">
        <v>0</v>
      </c>
      <c r="EA23" s="121">
        <v>0</v>
      </c>
      <c r="EB23" s="122">
        <v>1553.672292</v>
      </c>
      <c r="EC23" s="121">
        <v>0</v>
      </c>
      <c r="ED23" s="122">
        <v>0</v>
      </c>
      <c r="EE23" s="121">
        <v>0</v>
      </c>
      <c r="EF23" s="122">
        <v>847.5</v>
      </c>
      <c r="EG23" s="121">
        <v>0</v>
      </c>
      <c r="EH23" s="122">
        <v>5941.9847310200003</v>
      </c>
      <c r="EI23" s="121">
        <v>0</v>
      </c>
      <c r="EJ23" s="122">
        <v>2601.4406627399999</v>
      </c>
      <c r="EK23" s="129">
        <v>1553.672292</v>
      </c>
      <c r="EL23" s="130">
        <v>847.5</v>
      </c>
      <c r="EM23" s="131">
        <v>735.83500000000004</v>
      </c>
      <c r="EN23" s="129">
        <v>0</v>
      </c>
      <c r="EO23" s="129">
        <v>7230.9048140200002</v>
      </c>
      <c r="EP23" s="129">
        <v>0</v>
      </c>
      <c r="ER23" s="157">
        <v>841.47500000000002</v>
      </c>
      <c r="ES23" s="37">
        <v>1591.4646720000001</v>
      </c>
      <c r="ET23" s="55">
        <f t="shared" si="1"/>
        <v>8.4574926308835521E-2</v>
      </c>
      <c r="EU23" s="157">
        <v>0</v>
      </c>
      <c r="EV23" s="37">
        <v>150.084</v>
      </c>
      <c r="EW23" s="55">
        <f t="shared" si="0"/>
        <v>8.2192951134613654E-2</v>
      </c>
      <c r="EY23" s="166">
        <v>10447.41</v>
      </c>
      <c r="EZ23" s="37">
        <v>3156.57</v>
      </c>
      <c r="FA23" s="164">
        <f t="shared" si="2"/>
        <v>1</v>
      </c>
      <c r="FB23" s="5">
        <v>4613</v>
      </c>
      <c r="FC23" s="164">
        <f t="shared" si="3"/>
        <v>1</v>
      </c>
      <c r="FE23" s="5"/>
      <c r="FF23" s="166">
        <v>0</v>
      </c>
      <c r="FG23" s="37">
        <v>0</v>
      </c>
      <c r="FH23" s="164">
        <f t="shared" si="4"/>
        <v>0</v>
      </c>
      <c r="FI23" s="5">
        <v>0</v>
      </c>
      <c r="FJ23" s="164">
        <f t="shared" si="5"/>
        <v>0</v>
      </c>
      <c r="FL23" s="169">
        <v>7873</v>
      </c>
      <c r="FM23" s="170">
        <f t="shared" si="6"/>
        <v>0.68245451314546257</v>
      </c>
      <c r="FN23" s="169">
        <v>2591</v>
      </c>
      <c r="FO23" s="170">
        <f t="shared" si="7"/>
        <v>0.82634348588741824</v>
      </c>
    </row>
    <row r="24" spans="2:171" x14ac:dyDescent="0.35">
      <c r="P24" s="64">
        <v>22</v>
      </c>
      <c r="Q24" s="109">
        <v>0</v>
      </c>
      <c r="R24" s="110">
        <v>0</v>
      </c>
      <c r="S24" s="111">
        <v>0</v>
      </c>
      <c r="T24" s="110">
        <v>0</v>
      </c>
      <c r="U24" s="111">
        <v>0</v>
      </c>
      <c r="V24" s="110">
        <v>0</v>
      </c>
      <c r="W24" s="111">
        <v>0</v>
      </c>
      <c r="X24" s="110">
        <v>0</v>
      </c>
      <c r="Y24" s="111">
        <v>0</v>
      </c>
      <c r="Z24" s="110">
        <v>0</v>
      </c>
      <c r="AA24" s="111">
        <v>0</v>
      </c>
      <c r="AB24" s="110">
        <v>0</v>
      </c>
      <c r="AC24" s="111">
        <v>0</v>
      </c>
      <c r="AD24" s="110">
        <v>0</v>
      </c>
      <c r="AF24" s="64">
        <v>22</v>
      </c>
      <c r="AG24" s="109">
        <v>14417.9676</v>
      </c>
      <c r="AH24" s="111">
        <v>765.9</v>
      </c>
      <c r="AI24" s="109">
        <v>166.5</v>
      </c>
      <c r="AJ24" s="59">
        <v>0.16200000000000001</v>
      </c>
      <c r="AK24" s="59">
        <v>0.33299999999999996</v>
      </c>
      <c r="AL24" s="59">
        <v>0.33300000000000002</v>
      </c>
      <c r="AM24" s="110">
        <v>99.483999999999995</v>
      </c>
      <c r="AN24" s="111">
        <v>1327.3704</v>
      </c>
      <c r="AO24" s="59">
        <v>0.154</v>
      </c>
      <c r="AP24" s="55">
        <v>0.114</v>
      </c>
      <c r="AQ24" s="109">
        <v>30149.599999999999</v>
      </c>
      <c r="AR24" s="111">
        <v>19202.55</v>
      </c>
      <c r="AS24" s="59">
        <v>0.67599999999999993</v>
      </c>
      <c r="AT24" s="55">
        <v>0.81799999999999995</v>
      </c>
      <c r="AU24" s="43"/>
      <c r="AV24" s="109">
        <v>1004.765</v>
      </c>
      <c r="AW24" s="110">
        <v>0.40799988630180378</v>
      </c>
      <c r="AX24" s="109">
        <v>872.95899999999995</v>
      </c>
      <c r="AY24" s="110">
        <v>0.5432227753578095</v>
      </c>
      <c r="AZ24" s="109">
        <v>1121.4780000000001</v>
      </c>
      <c r="BA24" s="110">
        <v>0.5784392407674851</v>
      </c>
      <c r="BB24" s="43"/>
      <c r="BC24" s="112">
        <v>51358.995000000003</v>
      </c>
      <c r="BD24" s="110">
        <v>0.73770491803278682</v>
      </c>
      <c r="BE24" s="43"/>
      <c r="BF24" s="157">
        <v>6146.2820000000002</v>
      </c>
      <c r="BG24" s="43">
        <v>0</v>
      </c>
      <c r="BH24" s="113">
        <v>0</v>
      </c>
      <c r="BI24" s="114">
        <v>0.18853625766871165</v>
      </c>
      <c r="BJ24" s="115">
        <v>0</v>
      </c>
      <c r="BK24" s="113">
        <v>0</v>
      </c>
      <c r="BL24" s="113">
        <v>0</v>
      </c>
      <c r="BM24" s="113">
        <v>0</v>
      </c>
      <c r="BN24" s="113">
        <v>1535.356</v>
      </c>
      <c r="BO24" s="114">
        <v>0.11391571449769995</v>
      </c>
      <c r="BP24" s="115">
        <v>0</v>
      </c>
      <c r="BQ24" s="43">
        <v>7668</v>
      </c>
      <c r="BR24" s="43">
        <v>649.37940168</v>
      </c>
      <c r="BS24" s="43"/>
      <c r="BT24" s="116">
        <v>-700</v>
      </c>
      <c r="BU24" s="43">
        <v>0</v>
      </c>
      <c r="BV24" s="43">
        <v>4485</v>
      </c>
      <c r="BW24" s="43">
        <v>4485</v>
      </c>
      <c r="BX24" s="43">
        <v>0</v>
      </c>
      <c r="BY24" s="43">
        <v>0</v>
      </c>
      <c r="BZ24" s="43">
        <v>5000</v>
      </c>
      <c r="CA24" s="43">
        <v>5000</v>
      </c>
      <c r="CB24" s="43">
        <v>-5300</v>
      </c>
      <c r="CC24" s="43">
        <v>0</v>
      </c>
      <c r="CD24" s="43">
        <v>-4000</v>
      </c>
      <c r="CE24" s="43">
        <v>0</v>
      </c>
      <c r="CF24" s="43">
        <v>0</v>
      </c>
      <c r="CG24" s="43">
        <v>0</v>
      </c>
      <c r="CH24" s="43">
        <v>9732.1485416300002</v>
      </c>
      <c r="CI24" s="43">
        <v>9732.1485416300002</v>
      </c>
      <c r="CJ24" s="114">
        <v>19217.148541629998</v>
      </c>
      <c r="CK24" s="43"/>
      <c r="CL24" s="116">
        <v>-700</v>
      </c>
      <c r="CM24" s="43">
        <v>700</v>
      </c>
      <c r="CN24" s="43">
        <v>4485</v>
      </c>
      <c r="CO24" s="43">
        <v>0</v>
      </c>
      <c r="CP24" s="43">
        <v>0</v>
      </c>
      <c r="CQ24" s="43">
        <v>0</v>
      </c>
      <c r="CR24" s="43">
        <v>5000</v>
      </c>
      <c r="CS24" s="43">
        <v>0</v>
      </c>
      <c r="CT24" s="43">
        <v>-5300</v>
      </c>
      <c r="CU24" s="43">
        <v>5300</v>
      </c>
      <c r="CV24" s="43">
        <v>-4000</v>
      </c>
      <c r="CW24" s="43">
        <v>4000</v>
      </c>
      <c r="CX24" s="43">
        <v>0</v>
      </c>
      <c r="CY24" s="43">
        <v>0</v>
      </c>
      <c r="CZ24" s="43">
        <v>9732.1485416300002</v>
      </c>
      <c r="DA24" s="43">
        <v>0</v>
      </c>
      <c r="DB24" s="114">
        <v>10000</v>
      </c>
      <c r="DC24" s="43"/>
      <c r="DD24" s="117">
        <v>37823.044999999998</v>
      </c>
      <c r="DE24" s="55">
        <v>2313.4409999999998</v>
      </c>
      <c r="DF24" s="59">
        <v>1756.4523769007999</v>
      </c>
      <c r="DG24" s="59">
        <v>41892.938376900798</v>
      </c>
      <c r="DH24" s="117">
        <v>8729.9030000000002</v>
      </c>
      <c r="DI24" s="117">
        <v>53281.411</v>
      </c>
      <c r="DJ24" s="55">
        <v>5512</v>
      </c>
      <c r="DK24" s="114">
        <v>58793.411</v>
      </c>
      <c r="DL24" s="43"/>
      <c r="DM24" s="117">
        <v>752.79300000000001</v>
      </c>
      <c r="DN24" s="55">
        <v>10508.77584392489</v>
      </c>
      <c r="DO24" s="55">
        <v>11261.56884392489</v>
      </c>
      <c r="DP24" s="59">
        <v>1246.285568785212</v>
      </c>
      <c r="DQ24" s="59">
        <v>2907.757974290821</v>
      </c>
      <c r="DR24" s="59">
        <v>0</v>
      </c>
      <c r="DS24" s="55">
        <v>2907.757974290821</v>
      </c>
      <c r="DT24" s="55">
        <v>161.54210968282339</v>
      </c>
      <c r="DU24" s="55">
        <v>161.54210968282339</v>
      </c>
      <c r="DW24" s="121">
        <v>0</v>
      </c>
      <c r="DX24" s="122">
        <v>1557.0005446499999</v>
      </c>
      <c r="DY24" s="128">
        <v>292.95783934000002</v>
      </c>
      <c r="DZ24" s="128">
        <v>0</v>
      </c>
      <c r="EA24" s="121">
        <v>0</v>
      </c>
      <c r="EB24" s="122">
        <v>1553.672292</v>
      </c>
      <c r="EC24" s="121">
        <v>0</v>
      </c>
      <c r="ED24" s="122">
        <v>0</v>
      </c>
      <c r="EE24" s="121">
        <v>0</v>
      </c>
      <c r="EF24" s="122">
        <v>847.5</v>
      </c>
      <c r="EG24" s="121">
        <v>0</v>
      </c>
      <c r="EH24" s="122">
        <v>5054.2847310200004</v>
      </c>
      <c r="EI24" s="121">
        <v>0</v>
      </c>
      <c r="EJ24" s="122">
        <v>1557.0005446499999</v>
      </c>
      <c r="EK24" s="129">
        <v>1553.672292</v>
      </c>
      <c r="EL24" s="130">
        <v>847.5</v>
      </c>
      <c r="EM24" s="131">
        <v>735.83500000000004</v>
      </c>
      <c r="EN24" s="129">
        <v>0</v>
      </c>
      <c r="EO24" s="129">
        <v>6194.7425703600002</v>
      </c>
      <c r="EP24" s="129">
        <v>0</v>
      </c>
      <c r="ER24" s="157">
        <v>845.63900000000001</v>
      </c>
      <c r="ES24" s="37">
        <v>1591.4646720000001</v>
      </c>
      <c r="ET24" s="55">
        <f t="shared" si="1"/>
        <v>8.4719677120868808E-2</v>
      </c>
      <c r="EU24" s="157">
        <v>0</v>
      </c>
      <c r="EV24" s="37">
        <v>150.084</v>
      </c>
      <c r="EW24" s="55">
        <f t="shared" si="0"/>
        <v>8.2192951134613654E-2</v>
      </c>
      <c r="EY24" s="166">
        <v>4370.1044896200001</v>
      </c>
      <c r="EZ24" s="37">
        <v>3156.57</v>
      </c>
      <c r="FA24" s="164">
        <f t="shared" si="2"/>
        <v>0.55327003491772264</v>
      </c>
      <c r="FB24" s="5">
        <v>4613</v>
      </c>
      <c r="FC24" s="164">
        <f t="shared" si="3"/>
        <v>1</v>
      </c>
      <c r="FE24" s="5"/>
      <c r="FF24" s="166">
        <v>0</v>
      </c>
      <c r="FG24" s="37">
        <v>0</v>
      </c>
      <c r="FH24" s="164">
        <f t="shared" si="4"/>
        <v>0</v>
      </c>
      <c r="FI24" s="5">
        <v>0</v>
      </c>
      <c r="FJ24" s="164">
        <f t="shared" si="5"/>
        <v>0</v>
      </c>
      <c r="FL24" s="169">
        <v>7873</v>
      </c>
      <c r="FM24" s="170">
        <f t="shared" si="6"/>
        <v>0.68245451314546257</v>
      </c>
      <c r="FN24" s="169">
        <v>2591</v>
      </c>
      <c r="FO24" s="170">
        <f t="shared" si="7"/>
        <v>0.82634348588741824</v>
      </c>
    </row>
    <row r="25" spans="2:171" x14ac:dyDescent="0.35">
      <c r="P25" s="64">
        <v>23</v>
      </c>
      <c r="Q25" s="109">
        <v>0</v>
      </c>
      <c r="R25" s="110">
        <v>0</v>
      </c>
      <c r="S25" s="111">
        <v>0</v>
      </c>
      <c r="T25" s="110">
        <v>0</v>
      </c>
      <c r="U25" s="111">
        <v>0</v>
      </c>
      <c r="V25" s="110">
        <v>0</v>
      </c>
      <c r="W25" s="111">
        <v>0</v>
      </c>
      <c r="X25" s="110">
        <v>0</v>
      </c>
      <c r="Y25" s="111">
        <v>0</v>
      </c>
      <c r="Z25" s="110">
        <v>0</v>
      </c>
      <c r="AA25" s="111">
        <v>0</v>
      </c>
      <c r="AB25" s="110">
        <v>0</v>
      </c>
      <c r="AC25" s="111">
        <v>0</v>
      </c>
      <c r="AD25" s="110">
        <v>0</v>
      </c>
      <c r="AF25" s="64">
        <v>23</v>
      </c>
      <c r="AG25" s="109">
        <v>15396.965399999999</v>
      </c>
      <c r="AH25" s="111">
        <v>795.8</v>
      </c>
      <c r="AI25" s="109">
        <v>173</v>
      </c>
      <c r="AJ25" s="59">
        <v>0.17299999999999999</v>
      </c>
      <c r="AK25" s="59">
        <v>0.34599999999999997</v>
      </c>
      <c r="AL25" s="59">
        <v>0.34599999999999997</v>
      </c>
      <c r="AM25" s="110">
        <v>94.962000000000003</v>
      </c>
      <c r="AN25" s="111">
        <v>1490.3807999999999</v>
      </c>
      <c r="AO25" s="59">
        <v>0.14699999999999999</v>
      </c>
      <c r="AP25" s="55">
        <v>0.12799999999999997</v>
      </c>
      <c r="AQ25" s="109">
        <v>29569.8</v>
      </c>
      <c r="AR25" s="111">
        <v>18920.849999999999</v>
      </c>
      <c r="AS25" s="59">
        <v>0.66300000000000003</v>
      </c>
      <c r="AT25" s="55">
        <v>0.80599999999999994</v>
      </c>
      <c r="AU25" s="43"/>
      <c r="AV25" s="109">
        <v>1012.153</v>
      </c>
      <c r="AW25" s="110">
        <v>0.41099989442310353</v>
      </c>
      <c r="AX25" s="109">
        <v>880.58399999999995</v>
      </c>
      <c r="AY25" s="110">
        <v>0.54796764156813937</v>
      </c>
      <c r="AZ25" s="109">
        <v>1121.4780000000001</v>
      </c>
      <c r="BA25" s="110">
        <v>0.5784392407674851</v>
      </c>
      <c r="BB25" s="43"/>
      <c r="BC25" s="112">
        <v>51358.995000000003</v>
      </c>
      <c r="BD25" s="110">
        <v>0.73770491803278682</v>
      </c>
      <c r="BE25" s="43"/>
      <c r="BF25" s="157">
        <v>6571.3689999999997</v>
      </c>
      <c r="BG25" s="43">
        <v>0</v>
      </c>
      <c r="BH25" s="113">
        <v>0</v>
      </c>
      <c r="BI25" s="114">
        <v>0.20157573619631902</v>
      </c>
      <c r="BJ25" s="115">
        <v>0</v>
      </c>
      <c r="BK25" s="113">
        <v>0</v>
      </c>
      <c r="BL25" s="113">
        <v>0</v>
      </c>
      <c r="BM25" s="113">
        <v>0</v>
      </c>
      <c r="BN25" s="113">
        <v>1480.5350000000001</v>
      </c>
      <c r="BO25" s="114">
        <v>0.10984827125686304</v>
      </c>
      <c r="BP25" s="115">
        <v>0</v>
      </c>
      <c r="BQ25" s="43">
        <v>7668</v>
      </c>
      <c r="BR25" s="43">
        <v>648.91951976999997</v>
      </c>
      <c r="BS25" s="43"/>
      <c r="BT25" s="116">
        <v>-700</v>
      </c>
      <c r="BU25" s="43">
        <v>0</v>
      </c>
      <c r="BV25" s="43">
        <v>4485</v>
      </c>
      <c r="BW25" s="43">
        <v>4485</v>
      </c>
      <c r="BX25" s="43">
        <v>0</v>
      </c>
      <c r="BY25" s="43">
        <v>0</v>
      </c>
      <c r="BZ25" s="43">
        <v>0</v>
      </c>
      <c r="CA25" s="43">
        <v>0</v>
      </c>
      <c r="CB25" s="43">
        <v>-5300</v>
      </c>
      <c r="CC25" s="43">
        <v>0</v>
      </c>
      <c r="CD25" s="43">
        <v>-4000</v>
      </c>
      <c r="CE25" s="43">
        <v>0</v>
      </c>
      <c r="CF25" s="43">
        <v>0</v>
      </c>
      <c r="CG25" s="43">
        <v>0</v>
      </c>
      <c r="CH25" s="43">
        <v>10546.37620977</v>
      </c>
      <c r="CI25" s="43">
        <v>10546.37620977</v>
      </c>
      <c r="CJ25" s="114">
        <v>15031.37620977</v>
      </c>
      <c r="CK25" s="43"/>
      <c r="CL25" s="116">
        <v>-700</v>
      </c>
      <c r="CM25" s="43">
        <v>700</v>
      </c>
      <c r="CN25" s="43">
        <v>4485</v>
      </c>
      <c r="CO25" s="43">
        <v>0</v>
      </c>
      <c r="CP25" s="43">
        <v>0</v>
      </c>
      <c r="CQ25" s="43">
        <v>0</v>
      </c>
      <c r="CR25" s="43">
        <v>0</v>
      </c>
      <c r="CS25" s="43">
        <v>0</v>
      </c>
      <c r="CT25" s="43">
        <v>-5300</v>
      </c>
      <c r="CU25" s="43">
        <v>5300</v>
      </c>
      <c r="CV25" s="43">
        <v>-4000</v>
      </c>
      <c r="CW25" s="43">
        <v>4000</v>
      </c>
      <c r="CX25" s="43">
        <v>0</v>
      </c>
      <c r="CY25" s="43">
        <v>0</v>
      </c>
      <c r="CZ25" s="43">
        <v>10546.37620977</v>
      </c>
      <c r="DA25" s="43">
        <v>0</v>
      </c>
      <c r="DB25" s="114">
        <v>10000</v>
      </c>
      <c r="DC25" s="43"/>
      <c r="DD25" s="117">
        <v>35535.332000000002</v>
      </c>
      <c r="DE25" s="55">
        <v>2244.5859999999998</v>
      </c>
      <c r="DF25" s="59">
        <v>1767.0647649206001</v>
      </c>
      <c r="DG25" s="59">
        <v>39546.982764920605</v>
      </c>
      <c r="DH25" s="117">
        <v>8735.6959999999999</v>
      </c>
      <c r="DI25" s="117">
        <v>60671.411</v>
      </c>
      <c r="DJ25" s="55">
        <v>5654</v>
      </c>
      <c r="DK25" s="114">
        <v>66325.410999999993</v>
      </c>
      <c r="DL25" s="43"/>
      <c r="DM25" s="117">
        <v>677.21799999999996</v>
      </c>
      <c r="DN25" s="55">
        <v>10493.065843074541</v>
      </c>
      <c r="DO25" s="55">
        <v>11170.283843074541</v>
      </c>
      <c r="DP25" s="59">
        <v>1194.729528534212</v>
      </c>
      <c r="DQ25" s="59">
        <v>2899.4800998655778</v>
      </c>
      <c r="DR25" s="59">
        <v>0</v>
      </c>
      <c r="DS25" s="55">
        <v>2899.4800998655778</v>
      </c>
      <c r="DT25" s="55">
        <v>161.08222777030991</v>
      </c>
      <c r="DU25" s="55">
        <v>161.08222777030991</v>
      </c>
      <c r="DW25" s="121">
        <v>0</v>
      </c>
      <c r="DX25" s="122">
        <v>2412.11279491</v>
      </c>
      <c r="DY25" s="128">
        <v>544.53783934</v>
      </c>
      <c r="DZ25" s="128">
        <v>0</v>
      </c>
      <c r="EA25" s="121">
        <v>0</v>
      </c>
      <c r="EB25" s="122">
        <v>1553.672292</v>
      </c>
      <c r="EC25" s="121">
        <v>0</v>
      </c>
      <c r="ED25" s="122">
        <v>0</v>
      </c>
      <c r="EE25" s="121">
        <v>0</v>
      </c>
      <c r="EF25" s="122">
        <v>847.5</v>
      </c>
      <c r="EG25" s="121">
        <v>0</v>
      </c>
      <c r="EH25" s="122">
        <v>5666.09485571</v>
      </c>
      <c r="EI25" s="121">
        <v>0</v>
      </c>
      <c r="EJ25" s="122">
        <v>2412.11279491</v>
      </c>
      <c r="EK25" s="129">
        <v>1553.672292</v>
      </c>
      <c r="EL25" s="130">
        <v>847.5</v>
      </c>
      <c r="EM25" s="131">
        <v>735.83500000000004</v>
      </c>
      <c r="EN25" s="129">
        <v>0</v>
      </c>
      <c r="EO25" s="129">
        <v>7058.1326950500006</v>
      </c>
      <c r="EP25" s="129">
        <v>0</v>
      </c>
      <c r="ER25" s="157">
        <v>849.803</v>
      </c>
      <c r="ES25" s="37">
        <v>1591.4646720000001</v>
      </c>
      <c r="ET25" s="55">
        <f t="shared" si="1"/>
        <v>8.4864427932902081E-2</v>
      </c>
      <c r="EU25" s="157">
        <v>0</v>
      </c>
      <c r="EV25" s="37">
        <v>150.084</v>
      </c>
      <c r="EW25" s="55">
        <f t="shared" si="0"/>
        <v>8.2192951134613654E-2</v>
      </c>
      <c r="EY25" s="166">
        <v>1901.5744047000001</v>
      </c>
      <c r="EZ25" s="37">
        <v>3156.57</v>
      </c>
      <c r="FA25" s="164">
        <f t="shared" si="2"/>
        <v>0.37181357255009201</v>
      </c>
      <c r="FB25" s="5">
        <v>4613</v>
      </c>
      <c r="FC25" s="164">
        <f t="shared" si="3"/>
        <v>1</v>
      </c>
      <c r="FE25" s="5"/>
      <c r="FF25" s="166">
        <v>0</v>
      </c>
      <c r="FG25" s="37">
        <v>0</v>
      </c>
      <c r="FH25" s="164">
        <f t="shared" si="4"/>
        <v>0</v>
      </c>
      <c r="FI25" s="5">
        <v>0</v>
      </c>
      <c r="FJ25" s="164">
        <f t="shared" si="5"/>
        <v>0</v>
      </c>
      <c r="FL25" s="169">
        <v>7873</v>
      </c>
      <c r="FM25" s="170">
        <f t="shared" si="6"/>
        <v>0.68245451314546257</v>
      </c>
      <c r="FN25" s="169">
        <v>2591</v>
      </c>
      <c r="FO25" s="170">
        <f t="shared" si="7"/>
        <v>0.82634348588741824</v>
      </c>
    </row>
    <row r="26" spans="2:171" x14ac:dyDescent="0.35">
      <c r="P26" s="64">
        <v>24</v>
      </c>
      <c r="Q26" s="109">
        <v>0</v>
      </c>
      <c r="R26" s="110">
        <v>0</v>
      </c>
      <c r="S26" s="111">
        <v>0</v>
      </c>
      <c r="T26" s="110">
        <v>0</v>
      </c>
      <c r="U26" s="111">
        <v>0</v>
      </c>
      <c r="V26" s="110">
        <v>0</v>
      </c>
      <c r="W26" s="111">
        <v>0</v>
      </c>
      <c r="X26" s="110">
        <v>0</v>
      </c>
      <c r="Y26" s="111">
        <v>0</v>
      </c>
      <c r="Z26" s="110">
        <v>0</v>
      </c>
      <c r="AA26" s="111">
        <v>0</v>
      </c>
      <c r="AB26" s="110">
        <v>0</v>
      </c>
      <c r="AC26" s="111">
        <v>0</v>
      </c>
      <c r="AD26" s="110">
        <v>0</v>
      </c>
      <c r="AF26" s="64">
        <v>24</v>
      </c>
      <c r="AG26" s="109">
        <v>16286.963400000001</v>
      </c>
      <c r="AH26" s="111">
        <v>811.9</v>
      </c>
      <c r="AI26" s="109">
        <v>176.5</v>
      </c>
      <c r="AJ26" s="59">
        <v>0.183</v>
      </c>
      <c r="AK26" s="59">
        <v>0.35299999999999998</v>
      </c>
      <c r="AL26" s="59">
        <v>0.35299999999999998</v>
      </c>
      <c r="AM26" s="110">
        <v>88.501999999999995</v>
      </c>
      <c r="AN26" s="111">
        <v>1816.4015999999999</v>
      </c>
      <c r="AO26" s="59">
        <v>0.13699999999999998</v>
      </c>
      <c r="AP26" s="55">
        <v>0.156</v>
      </c>
      <c r="AQ26" s="109">
        <v>29391.4</v>
      </c>
      <c r="AR26" s="111">
        <v>18897.375</v>
      </c>
      <c r="AS26" s="59">
        <v>0.65900000000000003</v>
      </c>
      <c r="AT26" s="55">
        <v>0.80500000000000005</v>
      </c>
      <c r="AU26" s="43"/>
      <c r="AV26" s="109">
        <v>1004.765</v>
      </c>
      <c r="AW26" s="110">
        <v>0.40799988630180378</v>
      </c>
      <c r="AX26" s="109">
        <v>890.72900000000004</v>
      </c>
      <c r="AY26" s="110">
        <v>0.55428064716863723</v>
      </c>
      <c r="AZ26" s="109">
        <v>1121.4780000000001</v>
      </c>
      <c r="BA26" s="110">
        <v>0.5784392407674851</v>
      </c>
      <c r="BB26" s="43"/>
      <c r="BC26" s="112">
        <v>51358.995000000003</v>
      </c>
      <c r="BD26" s="110">
        <v>0.73770491803278682</v>
      </c>
      <c r="BE26" s="43"/>
      <c r="BF26" s="157">
        <v>6957.915</v>
      </c>
      <c r="BG26" s="43">
        <v>0</v>
      </c>
      <c r="BH26" s="113">
        <v>0</v>
      </c>
      <c r="BI26" s="114">
        <v>0.21343297546012269</v>
      </c>
      <c r="BJ26" s="115">
        <v>0</v>
      </c>
      <c r="BK26" s="113">
        <v>0</v>
      </c>
      <c r="BL26" s="113">
        <v>0</v>
      </c>
      <c r="BM26" s="113">
        <v>0</v>
      </c>
      <c r="BN26" s="113">
        <v>1406.877</v>
      </c>
      <c r="BO26" s="114">
        <v>0.1043832170945244</v>
      </c>
      <c r="BP26" s="115">
        <v>0</v>
      </c>
      <c r="BQ26" s="43">
        <v>7668</v>
      </c>
      <c r="BR26" s="43">
        <v>648.91951976999997</v>
      </c>
      <c r="BS26" s="43"/>
      <c r="BT26" s="116">
        <v>-700</v>
      </c>
      <c r="BU26" s="43">
        <v>0</v>
      </c>
      <c r="BV26" s="43">
        <v>4485</v>
      </c>
      <c r="BW26" s="43">
        <v>4485</v>
      </c>
      <c r="BX26" s="43">
        <v>0</v>
      </c>
      <c r="BY26" s="43">
        <v>0</v>
      </c>
      <c r="BZ26" s="43">
        <v>-4810.0725000000002</v>
      </c>
      <c r="CA26" s="43">
        <v>0</v>
      </c>
      <c r="CB26" s="43">
        <v>-5300</v>
      </c>
      <c r="CC26" s="43">
        <v>0</v>
      </c>
      <c r="CD26" s="43">
        <v>-4000</v>
      </c>
      <c r="CE26" s="43">
        <v>0</v>
      </c>
      <c r="CF26" s="43">
        <v>-4800</v>
      </c>
      <c r="CG26" s="43">
        <v>0</v>
      </c>
      <c r="CH26" s="43">
        <v>10858.56195757</v>
      </c>
      <c r="CI26" s="43">
        <v>10858.56195757</v>
      </c>
      <c r="CJ26" s="114">
        <v>15343.56195757</v>
      </c>
      <c r="CK26" s="43"/>
      <c r="CL26" s="116">
        <v>-700</v>
      </c>
      <c r="CM26" s="43">
        <v>700</v>
      </c>
      <c r="CN26" s="43">
        <v>4485</v>
      </c>
      <c r="CO26" s="43">
        <v>0</v>
      </c>
      <c r="CP26" s="43">
        <v>0</v>
      </c>
      <c r="CQ26" s="43">
        <v>0</v>
      </c>
      <c r="CR26" s="43">
        <v>-4810.0725000000002</v>
      </c>
      <c r="CS26" s="43">
        <v>4810.0725000000002</v>
      </c>
      <c r="CT26" s="43">
        <v>-5300</v>
      </c>
      <c r="CU26" s="43">
        <v>5300</v>
      </c>
      <c r="CV26" s="43">
        <v>-4000</v>
      </c>
      <c r="CW26" s="43">
        <v>4000</v>
      </c>
      <c r="CX26" s="43">
        <v>-4800</v>
      </c>
      <c r="CY26" s="43">
        <v>4800</v>
      </c>
      <c r="CZ26" s="43">
        <v>10858.56195757</v>
      </c>
      <c r="DA26" s="43">
        <v>0</v>
      </c>
      <c r="DB26" s="114">
        <v>19610.072500000002</v>
      </c>
      <c r="DC26" s="43"/>
      <c r="DD26" s="117">
        <v>33040.881000000001</v>
      </c>
      <c r="DE26" s="55">
        <v>2151.8310000000001</v>
      </c>
      <c r="DF26" s="59">
        <v>1471.6367999372001</v>
      </c>
      <c r="DG26" s="59">
        <v>36664.348799937201</v>
      </c>
      <c r="DH26" s="117">
        <v>8425.4889999999996</v>
      </c>
      <c r="DI26" s="117">
        <v>58109.411</v>
      </c>
      <c r="DJ26" s="55">
        <v>5743</v>
      </c>
      <c r="DK26" s="114">
        <v>63852.411</v>
      </c>
      <c r="DL26" s="43"/>
      <c r="DM26" s="117">
        <v>646.51700000000005</v>
      </c>
      <c r="DN26" s="55">
        <v>10493.065843074541</v>
      </c>
      <c r="DO26" s="55">
        <v>11139.582843074541</v>
      </c>
      <c r="DP26" s="59">
        <v>1194.729528534212</v>
      </c>
      <c r="DQ26" s="59">
        <v>2899.4800998655778</v>
      </c>
      <c r="DR26" s="59">
        <v>0</v>
      </c>
      <c r="DS26" s="55">
        <v>2899.4800998655778</v>
      </c>
      <c r="DT26" s="55">
        <v>161.08222777030991</v>
      </c>
      <c r="DU26" s="55">
        <v>161.08222777030991</v>
      </c>
      <c r="DW26" s="121">
        <v>0</v>
      </c>
      <c r="DX26" s="122">
        <v>3457.0127949100001</v>
      </c>
      <c r="DY26" s="128">
        <v>796.11783934000005</v>
      </c>
      <c r="DZ26" s="128">
        <v>0</v>
      </c>
      <c r="EA26" s="121">
        <v>0</v>
      </c>
      <c r="EB26" s="122">
        <v>1553.672292</v>
      </c>
      <c r="EC26" s="121">
        <v>0</v>
      </c>
      <c r="ED26" s="122">
        <v>0</v>
      </c>
      <c r="EE26" s="121">
        <v>0</v>
      </c>
      <c r="EF26" s="122">
        <v>847.5</v>
      </c>
      <c r="EG26" s="121">
        <v>0</v>
      </c>
      <c r="EH26" s="122">
        <v>6459.4148557099998</v>
      </c>
      <c r="EI26" s="121">
        <v>0</v>
      </c>
      <c r="EJ26" s="122">
        <v>3457.0127949100001</v>
      </c>
      <c r="EK26" s="129">
        <v>1553.672292</v>
      </c>
      <c r="EL26" s="130">
        <v>847.5</v>
      </c>
      <c r="EM26" s="131">
        <v>735.83500000000004</v>
      </c>
      <c r="EN26" s="129">
        <v>0</v>
      </c>
      <c r="EO26" s="129">
        <v>8103.0326950500003</v>
      </c>
      <c r="EP26" s="129">
        <v>0</v>
      </c>
      <c r="ER26" s="157">
        <v>837.31100000000004</v>
      </c>
      <c r="ES26" s="37">
        <v>1591.4646720000001</v>
      </c>
      <c r="ET26" s="55">
        <f t="shared" si="1"/>
        <v>8.4430175496802248E-2</v>
      </c>
      <c r="EU26" s="157">
        <v>0</v>
      </c>
      <c r="EV26" s="37">
        <v>59.540188460000003</v>
      </c>
      <c r="EW26" s="55">
        <f t="shared" si="0"/>
        <v>3.26069654369451E-2</v>
      </c>
      <c r="EY26" s="166">
        <v>0</v>
      </c>
      <c r="EZ26" s="37">
        <v>3156.57</v>
      </c>
      <c r="FA26" s="164">
        <f t="shared" si="2"/>
        <v>0.23203283156840868</v>
      </c>
      <c r="FB26" s="5">
        <v>4613</v>
      </c>
      <c r="FC26" s="164">
        <f t="shared" si="3"/>
        <v>1</v>
      </c>
      <c r="FE26" s="5"/>
      <c r="FF26" s="166">
        <v>0</v>
      </c>
      <c r="FG26" s="37">
        <v>0</v>
      </c>
      <c r="FH26" s="164">
        <f t="shared" si="4"/>
        <v>0</v>
      </c>
      <c r="FI26" s="5">
        <v>0</v>
      </c>
      <c r="FJ26" s="164">
        <f t="shared" si="5"/>
        <v>0</v>
      </c>
      <c r="FL26" s="169">
        <v>7873</v>
      </c>
      <c r="FM26" s="170">
        <f t="shared" si="6"/>
        <v>0.68245451314546257</v>
      </c>
      <c r="FN26" s="169">
        <v>2591</v>
      </c>
      <c r="FO26" s="170">
        <f t="shared" si="7"/>
        <v>0.82634348588741824</v>
      </c>
    </row>
    <row r="27" spans="2:171" x14ac:dyDescent="0.35">
      <c r="P27" s="64">
        <v>25</v>
      </c>
      <c r="Q27" s="109">
        <v>0</v>
      </c>
      <c r="R27" s="110">
        <v>0</v>
      </c>
      <c r="S27" s="111">
        <v>0</v>
      </c>
      <c r="T27" s="110">
        <v>0</v>
      </c>
      <c r="U27" s="111">
        <v>0</v>
      </c>
      <c r="V27" s="110">
        <v>0</v>
      </c>
      <c r="W27" s="111">
        <v>0</v>
      </c>
      <c r="X27" s="110">
        <v>0</v>
      </c>
      <c r="Y27" s="111">
        <v>0</v>
      </c>
      <c r="Z27" s="110">
        <v>0</v>
      </c>
      <c r="AA27" s="111">
        <v>0</v>
      </c>
      <c r="AB27" s="110">
        <v>0</v>
      </c>
      <c r="AC27" s="111">
        <v>0</v>
      </c>
      <c r="AD27" s="110">
        <v>0</v>
      </c>
      <c r="AF27" s="64">
        <v>25</v>
      </c>
      <c r="AG27" s="109">
        <v>16998.961800000001</v>
      </c>
      <c r="AH27" s="111">
        <v>814.2</v>
      </c>
      <c r="AI27" s="109">
        <v>177</v>
      </c>
      <c r="AJ27" s="59">
        <v>0.191</v>
      </c>
      <c r="AK27" s="59">
        <v>0.35400000000000004</v>
      </c>
      <c r="AL27" s="59">
        <v>0.35399999999999998</v>
      </c>
      <c r="AM27" s="110">
        <v>80.75</v>
      </c>
      <c r="AN27" s="111">
        <v>2060.9171999999999</v>
      </c>
      <c r="AO27" s="59">
        <v>0.125</v>
      </c>
      <c r="AP27" s="55">
        <v>0.17699999999999999</v>
      </c>
      <c r="AQ27" s="109">
        <v>28410.2</v>
      </c>
      <c r="AR27" s="111">
        <v>18967.8</v>
      </c>
      <c r="AS27" s="59">
        <v>0.63700000000000001</v>
      </c>
      <c r="AT27" s="55">
        <v>0.80799999999999994</v>
      </c>
      <c r="AU27" s="43"/>
      <c r="AV27" s="109">
        <v>962.9</v>
      </c>
      <c r="AW27" s="110">
        <v>0.39099997563610084</v>
      </c>
      <c r="AX27" s="109">
        <v>891.79700000000003</v>
      </c>
      <c r="AY27" s="110">
        <v>0.55494523957685127</v>
      </c>
      <c r="AZ27" s="109">
        <v>1121.4780000000001</v>
      </c>
      <c r="BA27" s="110">
        <v>0.5784392407674851</v>
      </c>
      <c r="BB27" s="43"/>
      <c r="BC27" s="112">
        <v>51358.995000000003</v>
      </c>
      <c r="BD27" s="110">
        <v>0.73770491803278682</v>
      </c>
      <c r="BE27" s="43"/>
      <c r="BF27" s="157">
        <v>7269.6490000000003</v>
      </c>
      <c r="BG27" s="43">
        <v>0</v>
      </c>
      <c r="BH27" s="113">
        <v>0</v>
      </c>
      <c r="BI27" s="114">
        <v>0.22299536809815951</v>
      </c>
      <c r="BJ27" s="115">
        <v>0</v>
      </c>
      <c r="BK27" s="113">
        <v>0</v>
      </c>
      <c r="BL27" s="113">
        <v>0</v>
      </c>
      <c r="BM27" s="113">
        <v>0</v>
      </c>
      <c r="BN27" s="113">
        <v>1319.4259999999999</v>
      </c>
      <c r="BO27" s="114">
        <v>9.7894791512093779E-2</v>
      </c>
      <c r="BP27" s="115">
        <v>0</v>
      </c>
      <c r="BQ27" s="43">
        <v>7668</v>
      </c>
      <c r="BR27" s="43">
        <v>648.91853372000003</v>
      </c>
      <c r="BS27" s="43"/>
      <c r="BT27" s="116">
        <v>-700</v>
      </c>
      <c r="BU27" s="43">
        <v>0</v>
      </c>
      <c r="BV27" s="43">
        <v>4485</v>
      </c>
      <c r="BW27" s="43">
        <v>4485</v>
      </c>
      <c r="BX27" s="43">
        <v>0</v>
      </c>
      <c r="BY27" s="43">
        <v>0</v>
      </c>
      <c r="BZ27" s="43">
        <v>-5000</v>
      </c>
      <c r="CA27" s="43">
        <v>0</v>
      </c>
      <c r="CB27" s="43">
        <v>-5300</v>
      </c>
      <c r="CC27" s="43">
        <v>0</v>
      </c>
      <c r="CD27" s="43">
        <v>-4000</v>
      </c>
      <c r="CE27" s="43">
        <v>0</v>
      </c>
      <c r="CF27" s="43">
        <v>-4800</v>
      </c>
      <c r="CG27" s="43">
        <v>0</v>
      </c>
      <c r="CH27" s="43">
        <v>10465.69935228</v>
      </c>
      <c r="CI27" s="43">
        <v>10465.69935228</v>
      </c>
      <c r="CJ27" s="114">
        <v>14950.69935228</v>
      </c>
      <c r="CK27" s="43"/>
      <c r="CL27" s="116">
        <v>-700</v>
      </c>
      <c r="CM27" s="43">
        <v>700</v>
      </c>
      <c r="CN27" s="43">
        <v>4485</v>
      </c>
      <c r="CO27" s="43">
        <v>0</v>
      </c>
      <c r="CP27" s="43">
        <v>0</v>
      </c>
      <c r="CQ27" s="43">
        <v>0</v>
      </c>
      <c r="CR27" s="43">
        <v>-5000</v>
      </c>
      <c r="CS27" s="43">
        <v>5000</v>
      </c>
      <c r="CT27" s="43">
        <v>-5300</v>
      </c>
      <c r="CU27" s="43">
        <v>5300</v>
      </c>
      <c r="CV27" s="43">
        <v>-4000</v>
      </c>
      <c r="CW27" s="43">
        <v>4000</v>
      </c>
      <c r="CX27" s="43">
        <v>-4800</v>
      </c>
      <c r="CY27" s="43">
        <v>4800</v>
      </c>
      <c r="CZ27" s="43">
        <v>10465.69935228</v>
      </c>
      <c r="DA27" s="43">
        <v>0</v>
      </c>
      <c r="DB27" s="114">
        <v>19800</v>
      </c>
      <c r="DC27" s="43"/>
      <c r="DD27" s="117">
        <v>31786.223000000002</v>
      </c>
      <c r="DE27" s="55">
        <v>2078.2950000000001</v>
      </c>
      <c r="DF27" s="59">
        <v>1181.2321244955001</v>
      </c>
      <c r="DG27" s="59">
        <v>35045.750124495506</v>
      </c>
      <c r="DH27" s="117">
        <v>8278.491</v>
      </c>
      <c r="DI27" s="117">
        <v>51910.411</v>
      </c>
      <c r="DJ27" s="55">
        <v>5751</v>
      </c>
      <c r="DK27" s="114">
        <v>57661.411</v>
      </c>
      <c r="DL27" s="43"/>
      <c r="DM27" s="117">
        <v>683.41</v>
      </c>
      <c r="DN27" s="55">
        <v>10493.065843074541</v>
      </c>
      <c r="DO27" s="55">
        <v>11176.475843074541</v>
      </c>
      <c r="DP27" s="59">
        <v>1184.791349728639</v>
      </c>
      <c r="DQ27" s="59">
        <v>2899.4623509651742</v>
      </c>
      <c r="DR27" s="59">
        <v>0</v>
      </c>
      <c r="DS27" s="55">
        <v>2899.4623509651742</v>
      </c>
      <c r="DT27" s="55">
        <v>161.08124172028741</v>
      </c>
      <c r="DU27" s="55">
        <v>161.08124172028741</v>
      </c>
      <c r="DW27" s="121">
        <v>0</v>
      </c>
      <c r="DX27" s="122">
        <v>4501.9137809599997</v>
      </c>
      <c r="DY27" s="128">
        <v>804.05041492999999</v>
      </c>
      <c r="DZ27" s="128">
        <v>0</v>
      </c>
      <c r="EA27" s="121">
        <v>0</v>
      </c>
      <c r="EB27" s="122">
        <v>1553.672292</v>
      </c>
      <c r="EC27" s="121">
        <v>0</v>
      </c>
      <c r="ED27" s="122">
        <v>149.28615934999999</v>
      </c>
      <c r="EE27" s="121">
        <v>0</v>
      </c>
      <c r="EF27" s="122">
        <v>847.5</v>
      </c>
      <c r="EG27" s="121">
        <v>0</v>
      </c>
      <c r="EH27" s="122">
        <v>7347.1148557099996</v>
      </c>
      <c r="EI27" s="121">
        <v>0</v>
      </c>
      <c r="EJ27" s="122">
        <v>4501.9137809599997</v>
      </c>
      <c r="EK27" s="129">
        <v>1553.672292</v>
      </c>
      <c r="EL27" s="130">
        <v>847.5</v>
      </c>
      <c r="EM27" s="131">
        <v>735.83500000000004</v>
      </c>
      <c r="EN27" s="129">
        <v>0</v>
      </c>
      <c r="EO27" s="129">
        <v>9147.9514299900002</v>
      </c>
      <c r="EP27" s="129">
        <v>0</v>
      </c>
      <c r="ER27" s="157">
        <v>820.30799999999999</v>
      </c>
      <c r="ES27" s="37">
        <v>1591.4646720000001</v>
      </c>
      <c r="ET27" s="55">
        <f t="shared" si="1"/>
        <v>8.3839109680999668E-2</v>
      </c>
      <c r="EU27" s="157">
        <v>0</v>
      </c>
      <c r="EV27" s="37">
        <v>0</v>
      </c>
      <c r="EW27" s="55">
        <f t="shared" si="0"/>
        <v>0</v>
      </c>
      <c r="EY27" s="166">
        <v>0</v>
      </c>
      <c r="EZ27" s="37">
        <v>3156.57</v>
      </c>
      <c r="FA27" s="164">
        <f t="shared" si="2"/>
        <v>0.23203283156840868</v>
      </c>
      <c r="FB27" s="5">
        <v>4613</v>
      </c>
      <c r="FC27" s="164">
        <f t="shared" si="3"/>
        <v>1</v>
      </c>
      <c r="FE27" s="5"/>
      <c r="FF27" s="166">
        <v>0</v>
      </c>
      <c r="FG27" s="37">
        <v>0</v>
      </c>
      <c r="FH27" s="164">
        <f t="shared" si="4"/>
        <v>0</v>
      </c>
      <c r="FI27" s="5">
        <v>0</v>
      </c>
      <c r="FJ27" s="164">
        <f t="shared" si="5"/>
        <v>0</v>
      </c>
      <c r="FL27" s="169">
        <v>7873</v>
      </c>
      <c r="FM27" s="170">
        <f t="shared" si="6"/>
        <v>0.68245451314546257</v>
      </c>
      <c r="FN27" s="169">
        <v>2591</v>
      </c>
      <c r="FO27" s="170">
        <f t="shared" si="7"/>
        <v>0.82634348588741824</v>
      </c>
    </row>
    <row r="28" spans="2:171" x14ac:dyDescent="0.35">
      <c r="P28" s="64">
        <v>26</v>
      </c>
      <c r="Q28" s="109">
        <v>0</v>
      </c>
      <c r="R28" s="110">
        <v>0</v>
      </c>
      <c r="S28" s="111">
        <v>0</v>
      </c>
      <c r="T28" s="110">
        <v>0</v>
      </c>
      <c r="U28" s="111">
        <v>0</v>
      </c>
      <c r="V28" s="110">
        <v>0</v>
      </c>
      <c r="W28" s="111">
        <v>0</v>
      </c>
      <c r="X28" s="110">
        <v>0</v>
      </c>
      <c r="Y28" s="111">
        <v>0</v>
      </c>
      <c r="Z28" s="110">
        <v>0</v>
      </c>
      <c r="AA28" s="111">
        <v>0</v>
      </c>
      <c r="AB28" s="110">
        <v>0</v>
      </c>
      <c r="AC28" s="111">
        <v>0</v>
      </c>
      <c r="AD28" s="110">
        <v>0</v>
      </c>
      <c r="AF28" s="64">
        <v>26</v>
      </c>
      <c r="AG28" s="109">
        <v>16464.963</v>
      </c>
      <c r="AH28" s="111">
        <v>795.8</v>
      </c>
      <c r="AI28" s="109">
        <v>173</v>
      </c>
      <c r="AJ28" s="59">
        <v>0.185</v>
      </c>
      <c r="AK28" s="59">
        <v>0.34599999999999997</v>
      </c>
      <c r="AL28" s="59">
        <v>0.34599999999999997</v>
      </c>
      <c r="AM28" s="110">
        <v>72.998000000000005</v>
      </c>
      <c r="AN28" s="111">
        <v>2130.7788</v>
      </c>
      <c r="AO28" s="59">
        <v>0.113</v>
      </c>
      <c r="AP28" s="55">
        <v>0.183</v>
      </c>
      <c r="AQ28" s="109">
        <v>28544</v>
      </c>
      <c r="AR28" s="111">
        <v>19460.775000000001</v>
      </c>
      <c r="AS28" s="59">
        <v>0.64</v>
      </c>
      <c r="AT28" s="55">
        <v>0.82900000000000007</v>
      </c>
      <c r="AU28" s="43"/>
      <c r="AV28" s="109">
        <v>953.04899999999998</v>
      </c>
      <c r="AW28" s="110">
        <v>0.38699982945270561</v>
      </c>
      <c r="AX28" s="109">
        <v>890.97</v>
      </c>
      <c r="AY28" s="110">
        <v>0.55443061605476041</v>
      </c>
      <c r="AZ28" s="109">
        <v>1121.4780000000001</v>
      </c>
      <c r="BA28" s="110">
        <v>0.5784392407674851</v>
      </c>
      <c r="BB28" s="43"/>
      <c r="BC28" s="112">
        <v>51358.995000000003</v>
      </c>
      <c r="BD28" s="110">
        <v>0.73770491803278682</v>
      </c>
      <c r="BE28" s="43"/>
      <c r="BF28" s="157">
        <v>7015.8770000000004</v>
      </c>
      <c r="BG28" s="43">
        <v>0</v>
      </c>
      <c r="BH28" s="113">
        <v>0</v>
      </c>
      <c r="BI28" s="114">
        <v>0.21521095092024542</v>
      </c>
      <c r="BJ28" s="115">
        <v>0</v>
      </c>
      <c r="BK28" s="113">
        <v>0</v>
      </c>
      <c r="BL28" s="113">
        <v>0</v>
      </c>
      <c r="BM28" s="113">
        <v>0</v>
      </c>
      <c r="BN28" s="113">
        <v>1240.171</v>
      </c>
      <c r="BO28" s="114">
        <v>9.2014468021961712E-2</v>
      </c>
      <c r="BP28" s="115">
        <v>0</v>
      </c>
      <c r="BQ28" s="43">
        <v>7668</v>
      </c>
      <c r="BR28" s="43">
        <v>648.91853372000003</v>
      </c>
      <c r="BS28" s="43"/>
      <c r="BT28" s="116">
        <v>-700</v>
      </c>
      <c r="BU28" s="43">
        <v>0</v>
      </c>
      <c r="BV28" s="43">
        <v>4485</v>
      </c>
      <c r="BW28" s="43">
        <v>4485</v>
      </c>
      <c r="BX28" s="43">
        <v>0</v>
      </c>
      <c r="BY28" s="43">
        <v>0</v>
      </c>
      <c r="BZ28" s="43">
        <v>-5000</v>
      </c>
      <c r="CA28" s="43">
        <v>0</v>
      </c>
      <c r="CB28" s="43">
        <v>-5300</v>
      </c>
      <c r="CC28" s="43">
        <v>0</v>
      </c>
      <c r="CD28" s="43">
        <v>-4000</v>
      </c>
      <c r="CE28" s="43">
        <v>0</v>
      </c>
      <c r="CF28" s="43">
        <v>-4800</v>
      </c>
      <c r="CG28" s="43">
        <v>0</v>
      </c>
      <c r="CH28" s="43">
        <v>10670.129944279999</v>
      </c>
      <c r="CI28" s="43">
        <v>10670.129944279999</v>
      </c>
      <c r="CJ28" s="114">
        <v>15155.129944279999</v>
      </c>
      <c r="CK28" s="43"/>
      <c r="CL28" s="116">
        <v>-700</v>
      </c>
      <c r="CM28" s="43">
        <v>700</v>
      </c>
      <c r="CN28" s="43">
        <v>4485</v>
      </c>
      <c r="CO28" s="43">
        <v>0</v>
      </c>
      <c r="CP28" s="43">
        <v>0</v>
      </c>
      <c r="CQ28" s="43">
        <v>0</v>
      </c>
      <c r="CR28" s="43">
        <v>-5000</v>
      </c>
      <c r="CS28" s="43">
        <v>5000</v>
      </c>
      <c r="CT28" s="43">
        <v>-5300</v>
      </c>
      <c r="CU28" s="43">
        <v>5300</v>
      </c>
      <c r="CV28" s="43">
        <v>-4000</v>
      </c>
      <c r="CW28" s="43">
        <v>4000</v>
      </c>
      <c r="CX28" s="43">
        <v>-4800</v>
      </c>
      <c r="CY28" s="43">
        <v>4800</v>
      </c>
      <c r="CZ28" s="43">
        <v>10670.129944279999</v>
      </c>
      <c r="DA28" s="43">
        <v>0</v>
      </c>
      <c r="DB28" s="114">
        <v>19800</v>
      </c>
      <c r="DC28" s="43"/>
      <c r="DD28" s="117">
        <v>30001.379000000001</v>
      </c>
      <c r="DE28" s="55">
        <v>2007.146</v>
      </c>
      <c r="DF28" s="59">
        <v>902.25761518069999</v>
      </c>
      <c r="DG28" s="59">
        <v>32910.782615180702</v>
      </c>
      <c r="DH28" s="117">
        <v>7875.8549999999996</v>
      </c>
      <c r="DI28" s="117">
        <v>51609.411</v>
      </c>
      <c r="DJ28" s="55">
        <v>5689</v>
      </c>
      <c r="DK28" s="114">
        <v>57298.411</v>
      </c>
      <c r="DL28" s="43"/>
      <c r="DM28" s="117">
        <v>705.69399999999996</v>
      </c>
      <c r="DN28" s="55">
        <v>10493.065843074541</v>
      </c>
      <c r="DO28" s="55">
        <v>11198.75984307454</v>
      </c>
      <c r="DP28" s="59">
        <v>1184.791349728639</v>
      </c>
      <c r="DQ28" s="59">
        <v>2899.4623509651742</v>
      </c>
      <c r="DR28" s="59">
        <v>0</v>
      </c>
      <c r="DS28" s="55">
        <v>2899.4623509651742</v>
      </c>
      <c r="DT28" s="55">
        <v>161.08124172028741</v>
      </c>
      <c r="DU28" s="55">
        <v>161.08124172028741</v>
      </c>
      <c r="DW28" s="121">
        <v>0</v>
      </c>
      <c r="DX28" s="122">
        <v>5546.8137809600003</v>
      </c>
      <c r="DY28" s="128">
        <v>927.68639963999999</v>
      </c>
      <c r="DZ28" s="128">
        <v>0</v>
      </c>
      <c r="EA28" s="121">
        <v>0</v>
      </c>
      <c r="EB28" s="122">
        <v>1553.672292</v>
      </c>
      <c r="EC28" s="121">
        <v>0</v>
      </c>
      <c r="ED28" s="122">
        <v>1020.06615935</v>
      </c>
      <c r="EE28" s="121">
        <v>0</v>
      </c>
      <c r="EF28" s="122">
        <v>847.5</v>
      </c>
      <c r="EG28" s="121">
        <v>0</v>
      </c>
      <c r="EH28" s="122">
        <v>7397.5988710000001</v>
      </c>
      <c r="EI28" s="121">
        <v>0</v>
      </c>
      <c r="EJ28" s="122">
        <v>5546.8137809600003</v>
      </c>
      <c r="EK28" s="129">
        <v>1553.672292</v>
      </c>
      <c r="EL28" s="130">
        <v>847.5</v>
      </c>
      <c r="EM28" s="131">
        <v>735.83500000000004</v>
      </c>
      <c r="EN28" s="129">
        <v>0</v>
      </c>
      <c r="EO28" s="129">
        <v>10192.85142999</v>
      </c>
      <c r="EP28" s="129">
        <v>0</v>
      </c>
      <c r="ER28" s="157">
        <v>803.65200000000004</v>
      </c>
      <c r="ES28" s="37">
        <v>1591.4646720000001</v>
      </c>
      <c r="ET28" s="55">
        <f t="shared" si="1"/>
        <v>8.3260106432866535E-2</v>
      </c>
      <c r="EU28" s="157">
        <v>0</v>
      </c>
      <c r="EV28" s="37">
        <v>0</v>
      </c>
      <c r="EW28" s="55">
        <f t="shared" si="0"/>
        <v>0</v>
      </c>
      <c r="EY28" s="166">
        <v>0</v>
      </c>
      <c r="EZ28" s="37">
        <v>3156.57</v>
      </c>
      <c r="FA28" s="164">
        <f t="shared" si="2"/>
        <v>0.23203283156840868</v>
      </c>
      <c r="FB28" s="5">
        <v>4613</v>
      </c>
      <c r="FC28" s="164">
        <f t="shared" si="3"/>
        <v>1</v>
      </c>
      <c r="FE28" s="5"/>
      <c r="FF28" s="166">
        <v>0</v>
      </c>
      <c r="FG28" s="37">
        <v>0</v>
      </c>
      <c r="FH28" s="164">
        <f t="shared" si="4"/>
        <v>0</v>
      </c>
      <c r="FI28" s="5">
        <v>0</v>
      </c>
      <c r="FJ28" s="164">
        <f t="shared" si="5"/>
        <v>0</v>
      </c>
      <c r="FL28" s="169">
        <v>7873</v>
      </c>
      <c r="FM28" s="170">
        <f t="shared" si="6"/>
        <v>0.68245451314546257</v>
      </c>
      <c r="FN28" s="169">
        <v>2591</v>
      </c>
      <c r="FO28" s="170">
        <f t="shared" si="7"/>
        <v>0.82634348588741824</v>
      </c>
    </row>
    <row r="29" spans="2:171" x14ac:dyDescent="0.35">
      <c r="P29" s="64">
        <v>27</v>
      </c>
      <c r="Q29" s="109">
        <v>0</v>
      </c>
      <c r="R29" s="110">
        <v>0</v>
      </c>
      <c r="S29" s="111">
        <v>0</v>
      </c>
      <c r="T29" s="110">
        <v>0</v>
      </c>
      <c r="U29" s="111">
        <v>0</v>
      </c>
      <c r="V29" s="110">
        <v>0</v>
      </c>
      <c r="W29" s="111">
        <v>0</v>
      </c>
      <c r="X29" s="110">
        <v>0</v>
      </c>
      <c r="Y29" s="111">
        <v>0</v>
      </c>
      <c r="Z29" s="110">
        <v>0</v>
      </c>
      <c r="AA29" s="111">
        <v>0</v>
      </c>
      <c r="AB29" s="110">
        <v>0</v>
      </c>
      <c r="AC29" s="111">
        <v>0</v>
      </c>
      <c r="AD29" s="110">
        <v>0</v>
      </c>
      <c r="AF29" s="64">
        <v>27</v>
      </c>
      <c r="AG29" s="109">
        <v>15574.965</v>
      </c>
      <c r="AH29" s="111">
        <v>763.6</v>
      </c>
      <c r="AI29" s="109">
        <v>166</v>
      </c>
      <c r="AJ29" s="59">
        <v>0.17499999999999999</v>
      </c>
      <c r="AK29" s="59">
        <v>0.33200000000000002</v>
      </c>
      <c r="AL29" s="59">
        <v>0.33200000000000002</v>
      </c>
      <c r="AM29" s="110">
        <v>65.245999999999995</v>
      </c>
      <c r="AN29" s="111">
        <v>2130.7788</v>
      </c>
      <c r="AO29" s="59">
        <v>0.10099999999999999</v>
      </c>
      <c r="AP29" s="55">
        <v>0.183</v>
      </c>
      <c r="AQ29" s="109">
        <v>28767</v>
      </c>
      <c r="AR29" s="111">
        <v>20141.55</v>
      </c>
      <c r="AS29" s="59">
        <v>0.64500000000000002</v>
      </c>
      <c r="AT29" s="55">
        <v>0.85799999999999998</v>
      </c>
      <c r="AU29" s="43"/>
      <c r="AV29" s="109">
        <v>953.04899999999998</v>
      </c>
      <c r="AW29" s="110">
        <v>0.38699982945270561</v>
      </c>
      <c r="AX29" s="109">
        <v>889.76499999999999</v>
      </c>
      <c r="AY29" s="110">
        <v>0.55368077162414431</v>
      </c>
      <c r="AZ29" s="109">
        <v>1121.4780000000001</v>
      </c>
      <c r="BA29" s="110">
        <v>0.5784392407674851</v>
      </c>
      <c r="BB29" s="43"/>
      <c r="BC29" s="112">
        <v>51358.995000000003</v>
      </c>
      <c r="BD29" s="110">
        <v>0.73770491803278682</v>
      </c>
      <c r="BE29" s="43"/>
      <c r="BF29" s="157">
        <v>6657.67</v>
      </c>
      <c r="BG29" s="43">
        <v>0</v>
      </c>
      <c r="BH29" s="113">
        <v>0</v>
      </c>
      <c r="BI29" s="114">
        <v>0.20422300613496933</v>
      </c>
      <c r="BJ29" s="115">
        <v>0</v>
      </c>
      <c r="BK29" s="113">
        <v>0</v>
      </c>
      <c r="BL29" s="113">
        <v>0</v>
      </c>
      <c r="BM29" s="113">
        <v>0</v>
      </c>
      <c r="BN29" s="113">
        <v>1148.8399999999999</v>
      </c>
      <c r="BO29" s="114">
        <v>8.523816589998516E-2</v>
      </c>
      <c r="BP29" s="115">
        <v>0</v>
      </c>
      <c r="BQ29" s="43">
        <v>7668</v>
      </c>
      <c r="BR29" s="43">
        <v>648.91853372000003</v>
      </c>
      <c r="BS29" s="43"/>
      <c r="BT29" s="116">
        <v>-700</v>
      </c>
      <c r="BU29" s="43">
        <v>0</v>
      </c>
      <c r="BV29" s="43">
        <v>4485</v>
      </c>
      <c r="BW29" s="43">
        <v>4485</v>
      </c>
      <c r="BX29" s="43">
        <v>0</v>
      </c>
      <c r="BY29" s="43">
        <v>0</v>
      </c>
      <c r="BZ29" s="43">
        <v>-5000</v>
      </c>
      <c r="CA29" s="43">
        <v>0</v>
      </c>
      <c r="CB29" s="43">
        <v>-5300</v>
      </c>
      <c r="CC29" s="43">
        <v>0</v>
      </c>
      <c r="CD29" s="43">
        <v>-4000</v>
      </c>
      <c r="CE29" s="43">
        <v>0</v>
      </c>
      <c r="CF29" s="43">
        <v>-4800</v>
      </c>
      <c r="CG29" s="43">
        <v>0</v>
      </c>
      <c r="CH29" s="43">
        <v>9896.0287262700003</v>
      </c>
      <c r="CI29" s="43">
        <v>9896.0287262700003</v>
      </c>
      <c r="CJ29" s="114">
        <v>14381.02872627</v>
      </c>
      <c r="CK29" s="43"/>
      <c r="CL29" s="116">
        <v>-700</v>
      </c>
      <c r="CM29" s="43">
        <v>700</v>
      </c>
      <c r="CN29" s="43">
        <v>4485</v>
      </c>
      <c r="CO29" s="43">
        <v>0</v>
      </c>
      <c r="CP29" s="43">
        <v>0</v>
      </c>
      <c r="CQ29" s="43">
        <v>0</v>
      </c>
      <c r="CR29" s="43">
        <v>-5000</v>
      </c>
      <c r="CS29" s="43">
        <v>5000</v>
      </c>
      <c r="CT29" s="43">
        <v>-5300</v>
      </c>
      <c r="CU29" s="43">
        <v>5300</v>
      </c>
      <c r="CV29" s="43">
        <v>-4000</v>
      </c>
      <c r="CW29" s="43">
        <v>4000</v>
      </c>
      <c r="CX29" s="43">
        <v>-4800</v>
      </c>
      <c r="CY29" s="43">
        <v>4800</v>
      </c>
      <c r="CZ29" s="43">
        <v>9896.0287262700003</v>
      </c>
      <c r="DA29" s="43">
        <v>0</v>
      </c>
      <c r="DB29" s="114">
        <v>19800</v>
      </c>
      <c r="DC29" s="43"/>
      <c r="DD29" s="117">
        <v>28988.097000000002</v>
      </c>
      <c r="DE29" s="55">
        <v>1969.221</v>
      </c>
      <c r="DF29" s="59">
        <v>1468.1492867814</v>
      </c>
      <c r="DG29" s="59">
        <v>32425.467286781404</v>
      </c>
      <c r="DH29" s="117">
        <v>7514.9930000000004</v>
      </c>
      <c r="DI29" s="117">
        <v>49514.411</v>
      </c>
      <c r="DJ29" s="55">
        <v>5648</v>
      </c>
      <c r="DK29" s="114">
        <v>55162.411</v>
      </c>
      <c r="DL29" s="43"/>
      <c r="DM29" s="117">
        <v>746.85</v>
      </c>
      <c r="DN29" s="55">
        <v>10493.065843074541</v>
      </c>
      <c r="DO29" s="55">
        <v>11239.915843074541</v>
      </c>
      <c r="DP29" s="59">
        <v>1184.791349728639</v>
      </c>
      <c r="DQ29" s="59">
        <v>2899.4623509651742</v>
      </c>
      <c r="DR29" s="59">
        <v>0</v>
      </c>
      <c r="DS29" s="55">
        <v>2899.4623509651742</v>
      </c>
      <c r="DT29" s="55">
        <v>161.08124172028741</v>
      </c>
      <c r="DU29" s="55">
        <v>161.08124172028741</v>
      </c>
      <c r="DW29" s="121">
        <v>0</v>
      </c>
      <c r="DX29" s="122">
        <v>5747.0736735</v>
      </c>
      <c r="DY29" s="128">
        <v>876.82601053999997</v>
      </c>
      <c r="DZ29" s="128">
        <v>0</v>
      </c>
      <c r="EA29" s="121">
        <v>0</v>
      </c>
      <c r="EB29" s="122">
        <v>1553.672292</v>
      </c>
      <c r="EC29" s="121">
        <v>0</v>
      </c>
      <c r="ED29" s="122">
        <v>1271.1864410000001</v>
      </c>
      <c r="EE29" s="121">
        <v>0</v>
      </c>
      <c r="EF29" s="122">
        <v>847.5</v>
      </c>
      <c r="EG29" s="121">
        <v>0</v>
      </c>
      <c r="EH29" s="122">
        <v>7397.5988710000001</v>
      </c>
      <c r="EI29" s="121">
        <v>0</v>
      </c>
      <c r="EJ29" s="122">
        <v>5747.0736735</v>
      </c>
      <c r="EK29" s="129">
        <v>1553.672292</v>
      </c>
      <c r="EL29" s="130">
        <v>847.5</v>
      </c>
      <c r="EM29" s="131">
        <v>735.83500000000004</v>
      </c>
      <c r="EN29" s="129">
        <v>0</v>
      </c>
      <c r="EO29" s="129">
        <v>10393.11132254</v>
      </c>
      <c r="EP29" s="129">
        <v>0</v>
      </c>
      <c r="ER29" s="157">
        <v>807.81600000000003</v>
      </c>
      <c r="ES29" s="37">
        <v>1591.4646720000001</v>
      </c>
      <c r="ET29" s="55">
        <f t="shared" si="1"/>
        <v>8.3404857244899808E-2</v>
      </c>
      <c r="EU29" s="157">
        <v>0</v>
      </c>
      <c r="EV29" s="37">
        <v>0</v>
      </c>
      <c r="EW29" s="55">
        <f t="shared" si="0"/>
        <v>0</v>
      </c>
      <c r="EY29" s="166">
        <v>0</v>
      </c>
      <c r="EZ29" s="37">
        <v>3156.57</v>
      </c>
      <c r="FA29" s="164">
        <f t="shared" si="2"/>
        <v>0.23203283156840868</v>
      </c>
      <c r="FB29" s="5">
        <v>4613</v>
      </c>
      <c r="FC29" s="164">
        <f t="shared" si="3"/>
        <v>1</v>
      </c>
      <c r="FE29" s="5"/>
      <c r="FF29" s="166">
        <v>0</v>
      </c>
      <c r="FG29" s="37">
        <v>0</v>
      </c>
      <c r="FH29" s="164">
        <f t="shared" si="4"/>
        <v>0</v>
      </c>
      <c r="FI29" s="5">
        <v>0</v>
      </c>
      <c r="FJ29" s="164">
        <f t="shared" si="5"/>
        <v>0</v>
      </c>
      <c r="FL29" s="169">
        <v>7873</v>
      </c>
      <c r="FM29" s="170">
        <f t="shared" si="6"/>
        <v>0.68245451314546257</v>
      </c>
      <c r="FN29" s="169">
        <v>2591</v>
      </c>
      <c r="FO29" s="170">
        <f t="shared" si="7"/>
        <v>0.82634348588741824</v>
      </c>
    </row>
    <row r="30" spans="2:171" x14ac:dyDescent="0.35">
      <c r="P30" s="64">
        <v>28</v>
      </c>
      <c r="Q30" s="109">
        <v>0</v>
      </c>
      <c r="R30" s="110">
        <v>0</v>
      </c>
      <c r="S30" s="111">
        <v>0</v>
      </c>
      <c r="T30" s="110">
        <v>0</v>
      </c>
      <c r="U30" s="111">
        <v>0</v>
      </c>
      <c r="V30" s="110">
        <v>0</v>
      </c>
      <c r="W30" s="111">
        <v>0</v>
      </c>
      <c r="X30" s="110">
        <v>0</v>
      </c>
      <c r="Y30" s="111">
        <v>0</v>
      </c>
      <c r="Z30" s="110">
        <v>0</v>
      </c>
      <c r="AA30" s="111">
        <v>0</v>
      </c>
      <c r="AB30" s="110">
        <v>0</v>
      </c>
      <c r="AC30" s="111">
        <v>0</v>
      </c>
      <c r="AD30" s="110">
        <v>0</v>
      </c>
      <c r="AF30" s="64">
        <v>28</v>
      </c>
      <c r="AG30" s="109">
        <v>14595.967199999999</v>
      </c>
      <c r="AH30" s="111">
        <v>763.6</v>
      </c>
      <c r="AI30" s="109">
        <v>166</v>
      </c>
      <c r="AJ30" s="59">
        <v>0.16399999999999998</v>
      </c>
      <c r="AK30" s="59">
        <v>0.33200000000000002</v>
      </c>
      <c r="AL30" s="59">
        <v>0.33200000000000002</v>
      </c>
      <c r="AM30" s="110">
        <v>59.432000000000002</v>
      </c>
      <c r="AN30" s="111">
        <v>2095.848</v>
      </c>
      <c r="AO30" s="59">
        <v>9.1999999999999998E-2</v>
      </c>
      <c r="AP30" s="55">
        <v>0.18</v>
      </c>
      <c r="AQ30" s="109">
        <v>29525.200000000001</v>
      </c>
      <c r="AR30" s="111">
        <v>20892.75</v>
      </c>
      <c r="AS30" s="59">
        <v>0.66200000000000003</v>
      </c>
      <c r="AT30" s="55">
        <v>0.89</v>
      </c>
      <c r="AU30" s="43"/>
      <c r="AV30" s="109">
        <v>953.04899999999998</v>
      </c>
      <c r="AW30" s="110">
        <v>0.38699982945270561</v>
      </c>
      <c r="AX30" s="109">
        <v>883.24699999999996</v>
      </c>
      <c r="AY30" s="110">
        <v>0.54962476664592408</v>
      </c>
      <c r="AZ30" s="109">
        <v>1121.4780000000001</v>
      </c>
      <c r="BA30" s="110">
        <v>0.5784392407674851</v>
      </c>
      <c r="BB30" s="43"/>
      <c r="BC30" s="112">
        <v>51358.995000000003</v>
      </c>
      <c r="BD30" s="110">
        <v>0.73770491803278682</v>
      </c>
      <c r="BE30" s="43"/>
      <c r="BF30" s="157">
        <v>6235.2839999999997</v>
      </c>
      <c r="BG30" s="43">
        <v>0</v>
      </c>
      <c r="BH30" s="113">
        <v>0</v>
      </c>
      <c r="BI30" s="114">
        <v>0.19126638036809815</v>
      </c>
      <c r="BJ30" s="115">
        <v>0</v>
      </c>
      <c r="BK30" s="113">
        <v>0</v>
      </c>
      <c r="BL30" s="113">
        <v>0</v>
      </c>
      <c r="BM30" s="113">
        <v>0</v>
      </c>
      <c r="BN30" s="113">
        <v>1068.1690000000001</v>
      </c>
      <c r="BO30" s="114">
        <v>7.9252782311915723E-2</v>
      </c>
      <c r="BP30" s="115">
        <v>0</v>
      </c>
      <c r="BQ30" s="43">
        <v>7668</v>
      </c>
      <c r="BR30" s="43">
        <v>648.91853372000003</v>
      </c>
      <c r="BS30" s="43"/>
      <c r="BT30" s="116">
        <v>-700</v>
      </c>
      <c r="BU30" s="43">
        <v>0</v>
      </c>
      <c r="BV30" s="43">
        <v>4485</v>
      </c>
      <c r="BW30" s="43">
        <v>4485</v>
      </c>
      <c r="BX30" s="43">
        <v>0</v>
      </c>
      <c r="BY30" s="43">
        <v>0</v>
      </c>
      <c r="BZ30" s="43">
        <v>-5000</v>
      </c>
      <c r="CA30" s="43">
        <v>0</v>
      </c>
      <c r="CB30" s="43">
        <v>-5300</v>
      </c>
      <c r="CC30" s="43">
        <v>0</v>
      </c>
      <c r="CD30" s="43">
        <v>-4000</v>
      </c>
      <c r="CE30" s="43">
        <v>0</v>
      </c>
      <c r="CF30" s="43">
        <v>-4800</v>
      </c>
      <c r="CG30" s="43">
        <v>0</v>
      </c>
      <c r="CH30" s="43">
        <v>9871.5660639800008</v>
      </c>
      <c r="CI30" s="43">
        <v>9871.5660639800008</v>
      </c>
      <c r="CJ30" s="114">
        <v>14356.566063980001</v>
      </c>
      <c r="CK30" s="43"/>
      <c r="CL30" s="116">
        <v>-700</v>
      </c>
      <c r="CM30" s="43">
        <v>700</v>
      </c>
      <c r="CN30" s="43">
        <v>4485</v>
      </c>
      <c r="CO30" s="43">
        <v>0</v>
      </c>
      <c r="CP30" s="43">
        <v>0</v>
      </c>
      <c r="CQ30" s="43">
        <v>0</v>
      </c>
      <c r="CR30" s="43">
        <v>-5000</v>
      </c>
      <c r="CS30" s="43">
        <v>5000</v>
      </c>
      <c r="CT30" s="43">
        <v>-5300</v>
      </c>
      <c r="CU30" s="43">
        <v>5300</v>
      </c>
      <c r="CV30" s="43">
        <v>-4000</v>
      </c>
      <c r="CW30" s="43">
        <v>4000</v>
      </c>
      <c r="CX30" s="43">
        <v>-4800</v>
      </c>
      <c r="CY30" s="43">
        <v>4800</v>
      </c>
      <c r="CZ30" s="43">
        <v>9871.5660639800008</v>
      </c>
      <c r="DA30" s="43">
        <v>0</v>
      </c>
      <c r="DB30" s="114">
        <v>19800</v>
      </c>
      <c r="DC30" s="43"/>
      <c r="DD30" s="117">
        <v>28649.393</v>
      </c>
      <c r="DE30" s="55">
        <v>1950.8879999999999</v>
      </c>
      <c r="DF30" s="59">
        <v>2313.1030811792002</v>
      </c>
      <c r="DG30" s="59">
        <v>32913.384081179196</v>
      </c>
      <c r="DH30" s="117">
        <v>7359.5990000000002</v>
      </c>
      <c r="DI30" s="117">
        <v>47611.411</v>
      </c>
      <c r="DJ30" s="55">
        <v>5415</v>
      </c>
      <c r="DK30" s="114">
        <v>53026.411</v>
      </c>
      <c r="DL30" s="43"/>
      <c r="DM30" s="117">
        <v>827.44</v>
      </c>
      <c r="DN30" s="55">
        <v>10493.065843074541</v>
      </c>
      <c r="DO30" s="55">
        <v>11320.505843074541</v>
      </c>
      <c r="DP30" s="59">
        <v>1184.791349728639</v>
      </c>
      <c r="DQ30" s="59">
        <v>2899.4623509651742</v>
      </c>
      <c r="DR30" s="59">
        <v>0</v>
      </c>
      <c r="DS30" s="55">
        <v>2899.4623509651742</v>
      </c>
      <c r="DT30" s="55">
        <v>161.08124172028741</v>
      </c>
      <c r="DU30" s="55">
        <v>161.08124172028741</v>
      </c>
      <c r="DW30" s="121">
        <v>0</v>
      </c>
      <c r="DX30" s="122">
        <v>4702.1736735000004</v>
      </c>
      <c r="DY30" s="128">
        <v>804.06776864999995</v>
      </c>
      <c r="DZ30" s="128">
        <v>0</v>
      </c>
      <c r="EA30" s="121">
        <v>0</v>
      </c>
      <c r="EB30" s="122">
        <v>1553.672292</v>
      </c>
      <c r="EC30" s="121">
        <v>0</v>
      </c>
      <c r="ED30" s="122">
        <v>400.40644099999997</v>
      </c>
      <c r="EE30" s="121">
        <v>0</v>
      </c>
      <c r="EF30" s="122">
        <v>847.5</v>
      </c>
      <c r="EG30" s="121">
        <v>0</v>
      </c>
      <c r="EH30" s="122">
        <v>7296.2371128900004</v>
      </c>
      <c r="EI30" s="121">
        <v>0</v>
      </c>
      <c r="EJ30" s="122">
        <v>4702.1736735000004</v>
      </c>
      <c r="EK30" s="129">
        <v>1553.672292</v>
      </c>
      <c r="EL30" s="130">
        <v>847.5</v>
      </c>
      <c r="EM30" s="131">
        <v>735.83500000000004</v>
      </c>
      <c r="EN30" s="129">
        <v>0</v>
      </c>
      <c r="EO30" s="129">
        <v>9348.2113225400008</v>
      </c>
      <c r="EP30" s="129">
        <v>0</v>
      </c>
      <c r="ER30" s="157">
        <v>807.81600000000003</v>
      </c>
      <c r="ES30" s="37">
        <v>1591.4646720000001</v>
      </c>
      <c r="ET30" s="55">
        <f t="shared" si="1"/>
        <v>8.3404857244899808E-2</v>
      </c>
      <c r="EU30" s="157">
        <v>0</v>
      </c>
      <c r="EV30" s="37">
        <v>0</v>
      </c>
      <c r="EW30" s="55">
        <f t="shared" si="0"/>
        <v>0</v>
      </c>
      <c r="EY30" s="166">
        <v>0</v>
      </c>
      <c r="EZ30" s="37">
        <v>3156.57</v>
      </c>
      <c r="FA30" s="164">
        <f t="shared" si="2"/>
        <v>0.23203283156840868</v>
      </c>
      <c r="FB30" s="5">
        <v>4613</v>
      </c>
      <c r="FC30" s="164">
        <f t="shared" si="3"/>
        <v>1</v>
      </c>
      <c r="FE30" s="5"/>
      <c r="FF30" s="166">
        <v>0</v>
      </c>
      <c r="FG30" s="37">
        <v>0</v>
      </c>
      <c r="FH30" s="164">
        <f t="shared" si="4"/>
        <v>0</v>
      </c>
      <c r="FI30" s="5">
        <v>0</v>
      </c>
      <c r="FJ30" s="164">
        <f t="shared" si="5"/>
        <v>0</v>
      </c>
      <c r="FL30" s="169">
        <v>7873</v>
      </c>
      <c r="FM30" s="170">
        <f t="shared" si="6"/>
        <v>0.68245451314546257</v>
      </c>
      <c r="FN30" s="169">
        <v>2591</v>
      </c>
      <c r="FO30" s="170">
        <f t="shared" si="7"/>
        <v>0.82634348588741824</v>
      </c>
    </row>
    <row r="31" spans="2:171" x14ac:dyDescent="0.35">
      <c r="B31" s="5" t="s">
        <v>39</v>
      </c>
      <c r="C31" s="5" t="s">
        <v>31</v>
      </c>
      <c r="D31" s="5" t="s">
        <v>30</v>
      </c>
      <c r="E31" s="5">
        <v>13603.98</v>
      </c>
      <c r="I31" s="5">
        <v>0.85</v>
      </c>
      <c r="P31" s="64">
        <v>29</v>
      </c>
      <c r="Q31" s="109">
        <v>0</v>
      </c>
      <c r="R31" s="110">
        <v>0</v>
      </c>
      <c r="S31" s="111">
        <v>0</v>
      </c>
      <c r="T31" s="110">
        <v>0</v>
      </c>
      <c r="U31" s="111">
        <v>0</v>
      </c>
      <c r="V31" s="110">
        <v>0</v>
      </c>
      <c r="W31" s="111">
        <v>0</v>
      </c>
      <c r="X31" s="110">
        <v>0</v>
      </c>
      <c r="Y31" s="111">
        <v>0</v>
      </c>
      <c r="Z31" s="110">
        <v>0</v>
      </c>
      <c r="AA31" s="111">
        <v>0</v>
      </c>
      <c r="AB31" s="110">
        <v>0</v>
      </c>
      <c r="AC31" s="111">
        <v>0</v>
      </c>
      <c r="AD31" s="110">
        <v>0</v>
      </c>
      <c r="AF31" s="64">
        <v>29</v>
      </c>
      <c r="AG31" s="109">
        <v>13883.968800000001</v>
      </c>
      <c r="AH31" s="111">
        <v>777.4</v>
      </c>
      <c r="AI31" s="109">
        <v>169</v>
      </c>
      <c r="AJ31" s="59">
        <v>0.156</v>
      </c>
      <c r="AK31" s="59">
        <v>0.33799999999999997</v>
      </c>
      <c r="AL31" s="59">
        <v>0.33800000000000002</v>
      </c>
      <c r="AM31" s="110">
        <v>54.264000000000003</v>
      </c>
      <c r="AN31" s="111">
        <v>2130.7788</v>
      </c>
      <c r="AO31" s="59">
        <v>8.4000000000000005E-2</v>
      </c>
      <c r="AP31" s="55">
        <v>0.183</v>
      </c>
      <c r="AQ31" s="109">
        <v>30060.400000000001</v>
      </c>
      <c r="AR31" s="111">
        <v>21057.075000000001</v>
      </c>
      <c r="AS31" s="59">
        <v>0.67400000000000004</v>
      </c>
      <c r="AT31" s="55">
        <v>0.89700000000000002</v>
      </c>
      <c r="AU31" s="43"/>
      <c r="AV31" s="109">
        <v>953.04899999999998</v>
      </c>
      <c r="AW31" s="110">
        <v>0.38699982945270561</v>
      </c>
      <c r="AX31" s="109">
        <v>873.60900000000004</v>
      </c>
      <c r="AY31" s="110">
        <v>0.54362725575606718</v>
      </c>
      <c r="AZ31" s="109">
        <v>1121.4780000000001</v>
      </c>
      <c r="BA31" s="110">
        <v>0.5784392407674851</v>
      </c>
      <c r="BB31" s="43"/>
      <c r="BC31" s="112">
        <v>51358.995000000003</v>
      </c>
      <c r="BD31" s="110">
        <v>0.73770491803278682</v>
      </c>
      <c r="BE31" s="43"/>
      <c r="BF31" s="157">
        <v>5922.4549999999999</v>
      </c>
      <c r="BG31" s="43">
        <v>0</v>
      </c>
      <c r="BH31" s="113">
        <v>0</v>
      </c>
      <c r="BI31" s="114">
        <v>0.18167039877300614</v>
      </c>
      <c r="BJ31" s="115">
        <v>0</v>
      </c>
      <c r="BK31" s="113">
        <v>0</v>
      </c>
      <c r="BL31" s="113">
        <v>0</v>
      </c>
      <c r="BM31" s="113">
        <v>0</v>
      </c>
      <c r="BN31" s="113">
        <v>1000.4829999999999</v>
      </c>
      <c r="BO31" s="114">
        <v>7.4230820596527677E-2</v>
      </c>
      <c r="BP31" s="115">
        <v>0</v>
      </c>
      <c r="BQ31" s="43">
        <v>7668</v>
      </c>
      <c r="BR31" s="43">
        <v>649.37841563999996</v>
      </c>
      <c r="BS31" s="43"/>
      <c r="BT31" s="116">
        <v>-700</v>
      </c>
      <c r="BU31" s="43">
        <v>0</v>
      </c>
      <c r="BV31" s="43">
        <v>4485</v>
      </c>
      <c r="BW31" s="43">
        <v>4485</v>
      </c>
      <c r="BX31" s="43">
        <v>0</v>
      </c>
      <c r="BY31" s="43">
        <v>0</v>
      </c>
      <c r="BZ31" s="43">
        <v>-5000</v>
      </c>
      <c r="CA31" s="43">
        <v>0</v>
      </c>
      <c r="CB31" s="43">
        <v>-5300</v>
      </c>
      <c r="CC31" s="43">
        <v>0</v>
      </c>
      <c r="CD31" s="43">
        <v>-4000</v>
      </c>
      <c r="CE31" s="43">
        <v>0</v>
      </c>
      <c r="CF31" s="43">
        <v>-4800</v>
      </c>
      <c r="CG31" s="43">
        <v>0</v>
      </c>
      <c r="CH31" s="43">
        <v>13746.92164085</v>
      </c>
      <c r="CI31" s="43">
        <v>13746.92164085</v>
      </c>
      <c r="CJ31" s="114">
        <v>18231.92164085</v>
      </c>
      <c r="CK31" s="43"/>
      <c r="CL31" s="116">
        <v>-700</v>
      </c>
      <c r="CM31" s="43">
        <v>700</v>
      </c>
      <c r="CN31" s="43">
        <v>4485</v>
      </c>
      <c r="CO31" s="43">
        <v>0</v>
      </c>
      <c r="CP31" s="43">
        <v>0</v>
      </c>
      <c r="CQ31" s="43">
        <v>0</v>
      </c>
      <c r="CR31" s="43">
        <v>-5000</v>
      </c>
      <c r="CS31" s="43">
        <v>5000</v>
      </c>
      <c r="CT31" s="43">
        <v>-5300</v>
      </c>
      <c r="CU31" s="43">
        <v>5300</v>
      </c>
      <c r="CV31" s="43">
        <v>-4000</v>
      </c>
      <c r="CW31" s="43">
        <v>4000</v>
      </c>
      <c r="CX31" s="43">
        <v>-4800</v>
      </c>
      <c r="CY31" s="43">
        <v>4800</v>
      </c>
      <c r="CZ31" s="43">
        <v>13746.92164085</v>
      </c>
      <c r="DA31" s="43">
        <v>0</v>
      </c>
      <c r="DB31" s="114">
        <v>19800</v>
      </c>
      <c r="DC31" s="43"/>
      <c r="DD31" s="117">
        <v>29466.87</v>
      </c>
      <c r="DE31" s="55">
        <v>1944.5630000000001</v>
      </c>
      <c r="DF31" s="59">
        <v>2597.9589715759998</v>
      </c>
      <c r="DG31" s="59">
        <v>34009.391971575998</v>
      </c>
      <c r="DH31" s="117">
        <v>7340.9269999999997</v>
      </c>
      <c r="DI31" s="117">
        <v>47310.411</v>
      </c>
      <c r="DJ31" s="55">
        <v>5372</v>
      </c>
      <c r="DK31" s="114">
        <v>52682.411</v>
      </c>
      <c r="DL31" s="43"/>
      <c r="DM31" s="117">
        <v>974.06600000000003</v>
      </c>
      <c r="DN31" s="55">
        <v>10508.77584392489</v>
      </c>
      <c r="DO31" s="55">
        <v>11482.841843924891</v>
      </c>
      <c r="DP31" s="59">
        <v>1184.791349728639</v>
      </c>
      <c r="DQ31" s="59">
        <v>2907.740225390417</v>
      </c>
      <c r="DR31" s="59">
        <v>0</v>
      </c>
      <c r="DS31" s="55">
        <v>2907.740225390417</v>
      </c>
      <c r="DT31" s="55">
        <v>161.54112363280089</v>
      </c>
      <c r="DU31" s="55">
        <v>161.54112363280089</v>
      </c>
      <c r="DW31" s="121">
        <v>0</v>
      </c>
      <c r="DX31" s="122">
        <v>3656.8137915900002</v>
      </c>
      <c r="DY31" s="128">
        <v>730.54319958999997</v>
      </c>
      <c r="DZ31" s="128">
        <v>0</v>
      </c>
      <c r="EA31" s="121">
        <v>0</v>
      </c>
      <c r="EB31" s="122">
        <v>1553.672292</v>
      </c>
      <c r="EC31" s="121">
        <v>0</v>
      </c>
      <c r="ED31" s="122">
        <v>0</v>
      </c>
      <c r="EE31" s="121">
        <v>0</v>
      </c>
      <c r="EF31" s="122">
        <v>847.5</v>
      </c>
      <c r="EG31" s="121">
        <v>0</v>
      </c>
      <c r="EH31" s="122">
        <v>6716.5303666</v>
      </c>
      <c r="EI31" s="121">
        <v>0</v>
      </c>
      <c r="EJ31" s="122">
        <v>3656.8137915900002</v>
      </c>
      <c r="EK31" s="129">
        <v>1553.672292</v>
      </c>
      <c r="EL31" s="130">
        <v>847.5</v>
      </c>
      <c r="EM31" s="131">
        <v>735.83500000000004</v>
      </c>
      <c r="EN31" s="129">
        <v>0</v>
      </c>
      <c r="EO31" s="129">
        <v>8294.5735661899998</v>
      </c>
      <c r="EP31" s="129">
        <v>0</v>
      </c>
      <c r="ER31" s="157">
        <v>811.98</v>
      </c>
      <c r="ES31" s="37">
        <v>1591.4646720000001</v>
      </c>
      <c r="ET31" s="55">
        <f t="shared" si="1"/>
        <v>8.3549608056933095E-2</v>
      </c>
      <c r="EU31" s="157">
        <v>0</v>
      </c>
      <c r="EV31" s="37">
        <v>0</v>
      </c>
      <c r="EW31" s="55">
        <f t="shared" si="0"/>
        <v>0</v>
      </c>
      <c r="EY31" s="166">
        <v>0</v>
      </c>
      <c r="EZ31" s="37">
        <v>3156.57</v>
      </c>
      <c r="FA31" s="164">
        <f t="shared" si="2"/>
        <v>0.23203283156840868</v>
      </c>
      <c r="FB31" s="5">
        <v>4613</v>
      </c>
      <c r="FC31" s="164">
        <f t="shared" si="3"/>
        <v>1</v>
      </c>
      <c r="FE31" s="5"/>
      <c r="FF31" s="166">
        <v>0</v>
      </c>
      <c r="FG31" s="37">
        <v>0</v>
      </c>
      <c r="FH31" s="164">
        <f t="shared" si="4"/>
        <v>0</v>
      </c>
      <c r="FI31" s="5">
        <v>0</v>
      </c>
      <c r="FJ31" s="164">
        <f t="shared" si="5"/>
        <v>0</v>
      </c>
      <c r="FL31" s="169">
        <v>7873</v>
      </c>
      <c r="FM31" s="170">
        <f t="shared" si="6"/>
        <v>0.68245451314546257</v>
      </c>
      <c r="FN31" s="169">
        <v>2591</v>
      </c>
      <c r="FO31" s="170">
        <f t="shared" si="7"/>
        <v>0.82634348588741824</v>
      </c>
    </row>
    <row r="32" spans="2:171" x14ac:dyDescent="0.35">
      <c r="B32" s="5" t="s">
        <v>40</v>
      </c>
      <c r="C32" s="5" t="s">
        <v>30</v>
      </c>
      <c r="D32" s="5" t="s">
        <v>31</v>
      </c>
      <c r="E32" s="5">
        <v>13320.75</v>
      </c>
      <c r="I32" s="5">
        <v>0.75</v>
      </c>
      <c r="P32" s="64">
        <v>30</v>
      </c>
      <c r="Q32" s="109">
        <v>0</v>
      </c>
      <c r="R32" s="110">
        <v>0</v>
      </c>
      <c r="S32" s="111">
        <v>0</v>
      </c>
      <c r="T32" s="110">
        <v>0</v>
      </c>
      <c r="U32" s="111">
        <v>0</v>
      </c>
      <c r="V32" s="110">
        <v>0</v>
      </c>
      <c r="W32" s="111">
        <v>0</v>
      </c>
      <c r="X32" s="110">
        <v>0</v>
      </c>
      <c r="Y32" s="111">
        <v>0</v>
      </c>
      <c r="Z32" s="110">
        <v>0</v>
      </c>
      <c r="AA32" s="111">
        <v>0</v>
      </c>
      <c r="AB32" s="110">
        <v>0</v>
      </c>
      <c r="AC32" s="111">
        <v>0</v>
      </c>
      <c r="AD32" s="110">
        <v>0</v>
      </c>
      <c r="AF32" s="64">
        <v>30</v>
      </c>
      <c r="AG32" s="109">
        <v>13171.9704</v>
      </c>
      <c r="AH32" s="111">
        <v>784.3</v>
      </c>
      <c r="AI32" s="109">
        <v>170.5</v>
      </c>
      <c r="AJ32" s="59">
        <v>0.14799999999999999</v>
      </c>
      <c r="AK32" s="59">
        <v>0.34099999999999997</v>
      </c>
      <c r="AL32" s="59">
        <v>0.34100000000000003</v>
      </c>
      <c r="AM32" s="110">
        <v>50.387999999999998</v>
      </c>
      <c r="AN32" s="111">
        <v>2154.0659999999998</v>
      </c>
      <c r="AO32" s="59">
        <v>7.8E-2</v>
      </c>
      <c r="AP32" s="55">
        <v>0.18499999999999997</v>
      </c>
      <c r="AQ32" s="109">
        <v>30818.6</v>
      </c>
      <c r="AR32" s="111">
        <v>21104.025000000001</v>
      </c>
      <c r="AS32" s="59">
        <v>0.69099999999999995</v>
      </c>
      <c r="AT32" s="55">
        <v>0.89900000000000002</v>
      </c>
      <c r="AU32" s="43"/>
      <c r="AV32" s="109">
        <v>953.04899999999998</v>
      </c>
      <c r="AW32" s="110">
        <v>0.38699982945270561</v>
      </c>
      <c r="AX32" s="109">
        <v>868.92899999999997</v>
      </c>
      <c r="AY32" s="110">
        <v>0.54071499688861235</v>
      </c>
      <c r="AZ32" s="109">
        <v>1121.4780000000001</v>
      </c>
      <c r="BA32" s="110">
        <v>0.5784392407674851</v>
      </c>
      <c r="BB32" s="43"/>
      <c r="BC32" s="112">
        <v>51358.995000000003</v>
      </c>
      <c r="BD32" s="110">
        <v>0.73770491803278682</v>
      </c>
      <c r="BE32" s="43"/>
      <c r="BF32" s="157">
        <v>5629.3379999999997</v>
      </c>
      <c r="BG32" s="43">
        <v>0</v>
      </c>
      <c r="BH32" s="113">
        <v>0</v>
      </c>
      <c r="BI32" s="114">
        <v>0.17267907975460123</v>
      </c>
      <c r="BJ32" s="115">
        <v>0</v>
      </c>
      <c r="BK32" s="113">
        <v>0</v>
      </c>
      <c r="BL32" s="113">
        <v>0</v>
      </c>
      <c r="BM32" s="113">
        <v>0</v>
      </c>
      <c r="BN32" s="113">
        <v>923.51099999999997</v>
      </c>
      <c r="BO32" s="114">
        <v>6.8519884255824309E-2</v>
      </c>
      <c r="BP32" s="115">
        <v>0</v>
      </c>
      <c r="BQ32" s="43">
        <v>7668</v>
      </c>
      <c r="BR32" s="43">
        <v>650.29817945000002</v>
      </c>
      <c r="BS32" s="43"/>
      <c r="BT32" s="116">
        <v>-700</v>
      </c>
      <c r="BU32" s="43">
        <v>0</v>
      </c>
      <c r="BV32" s="43">
        <v>4485</v>
      </c>
      <c r="BW32" s="43">
        <v>4485</v>
      </c>
      <c r="BX32" s="43">
        <v>0</v>
      </c>
      <c r="BY32" s="43">
        <v>0</v>
      </c>
      <c r="BZ32" s="43">
        <v>-5000</v>
      </c>
      <c r="CA32" s="43">
        <v>0</v>
      </c>
      <c r="CB32" s="43">
        <v>-5300</v>
      </c>
      <c r="CC32" s="43">
        <v>0</v>
      </c>
      <c r="CD32" s="43">
        <v>-4000</v>
      </c>
      <c r="CE32" s="43">
        <v>0</v>
      </c>
      <c r="CF32" s="43">
        <v>-4800</v>
      </c>
      <c r="CG32" s="43">
        <v>0</v>
      </c>
      <c r="CH32" s="43">
        <v>11246.939181600001</v>
      </c>
      <c r="CI32" s="43">
        <v>11246.939181600001</v>
      </c>
      <c r="CJ32" s="114">
        <v>15731.939181600001</v>
      </c>
      <c r="CK32" s="43"/>
      <c r="CL32" s="116">
        <v>-700</v>
      </c>
      <c r="CM32" s="43">
        <v>700</v>
      </c>
      <c r="CN32" s="43">
        <v>4485</v>
      </c>
      <c r="CO32" s="43">
        <v>0</v>
      </c>
      <c r="CP32" s="43">
        <v>0</v>
      </c>
      <c r="CQ32" s="43">
        <v>0</v>
      </c>
      <c r="CR32" s="43">
        <v>-5000</v>
      </c>
      <c r="CS32" s="43">
        <v>5000</v>
      </c>
      <c r="CT32" s="43">
        <v>-5300</v>
      </c>
      <c r="CU32" s="43">
        <v>5300</v>
      </c>
      <c r="CV32" s="43">
        <v>-4000</v>
      </c>
      <c r="CW32" s="43">
        <v>4000</v>
      </c>
      <c r="CX32" s="43">
        <v>-4800</v>
      </c>
      <c r="CY32" s="43">
        <v>4800</v>
      </c>
      <c r="CZ32" s="43">
        <v>11246.939181600001</v>
      </c>
      <c r="DA32" s="43">
        <v>0</v>
      </c>
      <c r="DB32" s="114">
        <v>19800</v>
      </c>
      <c r="DC32" s="43"/>
      <c r="DD32" s="117">
        <v>31665.787</v>
      </c>
      <c r="DE32" s="55">
        <v>1959.203</v>
      </c>
      <c r="DF32" s="59">
        <v>2814.0393533363999</v>
      </c>
      <c r="DG32" s="59">
        <v>36439.029353336395</v>
      </c>
      <c r="DH32" s="117">
        <v>7482.491</v>
      </c>
      <c r="DI32" s="117">
        <v>49387.411</v>
      </c>
      <c r="DJ32" s="55">
        <v>5331</v>
      </c>
      <c r="DK32" s="114">
        <v>54718.411</v>
      </c>
      <c r="DL32" s="43"/>
      <c r="DM32" s="117">
        <v>1200.165</v>
      </c>
      <c r="DN32" s="55">
        <v>10540.1958456256</v>
      </c>
      <c r="DO32" s="55">
        <v>11740.360845625601</v>
      </c>
      <c r="DP32" s="59">
        <v>1282.747826205539</v>
      </c>
      <c r="DQ32" s="59">
        <v>2924.2959742409021</v>
      </c>
      <c r="DR32" s="59">
        <v>0</v>
      </c>
      <c r="DS32" s="55">
        <v>2924.2959742409021</v>
      </c>
      <c r="DT32" s="55">
        <v>162.46088745782791</v>
      </c>
      <c r="DU32" s="55">
        <v>162.46088745782791</v>
      </c>
      <c r="DW32" s="121">
        <v>0</v>
      </c>
      <c r="DX32" s="122">
        <v>2610.9940277599999</v>
      </c>
      <c r="DY32" s="128">
        <v>478.96319958999999</v>
      </c>
      <c r="DZ32" s="128">
        <v>0</v>
      </c>
      <c r="EA32" s="121">
        <v>0</v>
      </c>
      <c r="EB32" s="122">
        <v>1553.672292</v>
      </c>
      <c r="EC32" s="121">
        <v>0</v>
      </c>
      <c r="ED32" s="122">
        <v>0</v>
      </c>
      <c r="EE32" s="121">
        <v>0</v>
      </c>
      <c r="EF32" s="122">
        <v>847.5</v>
      </c>
      <c r="EG32" s="121">
        <v>0</v>
      </c>
      <c r="EH32" s="122">
        <v>5905.7348539300001</v>
      </c>
      <c r="EI32" s="121">
        <v>0</v>
      </c>
      <c r="EJ32" s="122">
        <v>2610.9940277599999</v>
      </c>
      <c r="EK32" s="129">
        <v>1553.672292</v>
      </c>
      <c r="EL32" s="130">
        <v>847.5</v>
      </c>
      <c r="EM32" s="131">
        <v>735.83500000000004</v>
      </c>
      <c r="EN32" s="129">
        <v>0</v>
      </c>
      <c r="EO32" s="129">
        <v>7232.19805352</v>
      </c>
      <c r="EP32" s="129">
        <v>0</v>
      </c>
      <c r="ER32" s="157">
        <v>824.47199999999998</v>
      </c>
      <c r="ES32" s="37">
        <v>1591.4646720000001</v>
      </c>
      <c r="ET32" s="55">
        <f t="shared" si="1"/>
        <v>8.3983860493032941E-2</v>
      </c>
      <c r="EU32" s="157">
        <v>0</v>
      </c>
      <c r="EV32" s="37">
        <v>150.084</v>
      </c>
      <c r="EW32" s="55">
        <f t="shared" si="0"/>
        <v>8.2192951134613654E-2</v>
      </c>
      <c r="EY32" s="166">
        <v>0</v>
      </c>
      <c r="EZ32" s="37">
        <v>3156.57</v>
      </c>
      <c r="FA32" s="164">
        <f t="shared" si="2"/>
        <v>0.23203283156840868</v>
      </c>
      <c r="FB32" s="5">
        <v>4613</v>
      </c>
      <c r="FC32" s="164">
        <f t="shared" si="3"/>
        <v>1</v>
      </c>
      <c r="FE32" s="5"/>
      <c r="FF32" s="166">
        <v>0</v>
      </c>
      <c r="FG32" s="37">
        <v>0</v>
      </c>
      <c r="FH32" s="164">
        <f t="shared" si="4"/>
        <v>0</v>
      </c>
      <c r="FI32" s="5">
        <v>0</v>
      </c>
      <c r="FJ32" s="164">
        <f t="shared" si="5"/>
        <v>0</v>
      </c>
      <c r="FL32" s="169">
        <v>7873</v>
      </c>
      <c r="FM32" s="170">
        <f t="shared" si="6"/>
        <v>0.68245451314546257</v>
      </c>
      <c r="FN32" s="169">
        <v>2591</v>
      </c>
      <c r="FO32" s="170">
        <f t="shared" si="7"/>
        <v>0.82634348588741824</v>
      </c>
    </row>
    <row r="33" spans="16:171" x14ac:dyDescent="0.35">
      <c r="P33" s="64">
        <v>31</v>
      </c>
      <c r="Q33" s="109">
        <v>0</v>
      </c>
      <c r="R33" s="110">
        <v>0</v>
      </c>
      <c r="S33" s="111">
        <v>0</v>
      </c>
      <c r="T33" s="110">
        <v>0</v>
      </c>
      <c r="U33" s="111">
        <v>0</v>
      </c>
      <c r="V33" s="110">
        <v>0</v>
      </c>
      <c r="W33" s="111">
        <v>0</v>
      </c>
      <c r="X33" s="110">
        <v>0</v>
      </c>
      <c r="Y33" s="111">
        <v>0</v>
      </c>
      <c r="Z33" s="110">
        <v>0</v>
      </c>
      <c r="AA33" s="111">
        <v>0</v>
      </c>
      <c r="AB33" s="110">
        <v>0</v>
      </c>
      <c r="AC33" s="111">
        <v>0</v>
      </c>
      <c r="AD33" s="110">
        <v>0</v>
      </c>
      <c r="AF33" s="64">
        <v>31</v>
      </c>
      <c r="AG33" s="109">
        <v>11925.9732</v>
      </c>
      <c r="AH33" s="111">
        <v>802.7</v>
      </c>
      <c r="AI33" s="109">
        <v>174.5</v>
      </c>
      <c r="AJ33" s="59">
        <v>0.13400000000000001</v>
      </c>
      <c r="AK33" s="59">
        <v>0.34900000000000003</v>
      </c>
      <c r="AL33" s="59">
        <v>0.34899999999999998</v>
      </c>
      <c r="AM33" s="110">
        <v>49.095999999999997</v>
      </c>
      <c r="AN33" s="111">
        <v>2119.1352000000002</v>
      </c>
      <c r="AO33" s="59">
        <v>7.5999999999999998E-2</v>
      </c>
      <c r="AP33" s="55">
        <v>0.182</v>
      </c>
      <c r="AQ33" s="109">
        <v>31799.8</v>
      </c>
      <c r="AR33" s="111">
        <v>21268.35</v>
      </c>
      <c r="AS33" s="59">
        <v>0.71299999999999997</v>
      </c>
      <c r="AT33" s="55">
        <v>0.90599999999999992</v>
      </c>
      <c r="AU33" s="43"/>
      <c r="AV33" s="109">
        <v>962.9</v>
      </c>
      <c r="AW33" s="110">
        <v>0.39099997563610084</v>
      </c>
      <c r="AX33" s="109">
        <v>886.81299999999999</v>
      </c>
      <c r="AY33" s="110">
        <v>0.55184380833851898</v>
      </c>
      <c r="AZ33" s="109">
        <v>1121.4780000000001</v>
      </c>
      <c r="BA33" s="110">
        <v>0.5784392407674851</v>
      </c>
      <c r="BB33" s="43"/>
      <c r="BC33" s="112">
        <v>51358.995000000003</v>
      </c>
      <c r="BD33" s="110">
        <v>0.73770491803278682</v>
      </c>
      <c r="BE33" s="43"/>
      <c r="BF33" s="157">
        <v>5083.9089999999997</v>
      </c>
      <c r="BG33" s="43">
        <v>0</v>
      </c>
      <c r="BH33" s="113">
        <v>0</v>
      </c>
      <c r="BI33" s="114">
        <v>0.15594812883435583</v>
      </c>
      <c r="BJ33" s="115">
        <v>0</v>
      </c>
      <c r="BK33" s="113">
        <v>0</v>
      </c>
      <c r="BL33" s="113">
        <v>0</v>
      </c>
      <c r="BM33" s="113">
        <v>0</v>
      </c>
      <c r="BN33" s="113">
        <v>891.18600000000004</v>
      </c>
      <c r="BO33" s="114">
        <v>6.6121531384478419E-2</v>
      </c>
      <c r="BP33" s="115">
        <v>0</v>
      </c>
      <c r="BQ33" s="43">
        <v>7668</v>
      </c>
      <c r="BR33" s="43">
        <v>650.75806136999995</v>
      </c>
      <c r="BS33" s="43"/>
      <c r="BT33" s="116">
        <v>-700</v>
      </c>
      <c r="BU33" s="43">
        <v>0</v>
      </c>
      <c r="BV33" s="43">
        <v>4485</v>
      </c>
      <c r="BW33" s="43">
        <v>4485</v>
      </c>
      <c r="BX33" s="43">
        <v>0</v>
      </c>
      <c r="BY33" s="43">
        <v>0</v>
      </c>
      <c r="BZ33" s="43">
        <v>-5000</v>
      </c>
      <c r="CA33" s="43">
        <v>0</v>
      </c>
      <c r="CB33" s="43">
        <v>-5300</v>
      </c>
      <c r="CC33" s="43">
        <v>0</v>
      </c>
      <c r="CD33" s="43">
        <v>-4000</v>
      </c>
      <c r="CE33" s="43">
        <v>0</v>
      </c>
      <c r="CF33" s="43">
        <v>-4800</v>
      </c>
      <c r="CG33" s="43">
        <v>0</v>
      </c>
      <c r="CH33" s="43">
        <v>9449.6360310300006</v>
      </c>
      <c r="CI33" s="43">
        <v>9449.6360310300006</v>
      </c>
      <c r="CJ33" s="114">
        <v>13934.636031030001</v>
      </c>
      <c r="CK33" s="43"/>
      <c r="CL33" s="116">
        <v>-700</v>
      </c>
      <c r="CM33" s="43">
        <v>700</v>
      </c>
      <c r="CN33" s="43">
        <v>4485</v>
      </c>
      <c r="CO33" s="43">
        <v>0</v>
      </c>
      <c r="CP33" s="43">
        <v>0</v>
      </c>
      <c r="CQ33" s="43">
        <v>0</v>
      </c>
      <c r="CR33" s="43">
        <v>-5000</v>
      </c>
      <c r="CS33" s="43">
        <v>5000</v>
      </c>
      <c r="CT33" s="43">
        <v>-5300</v>
      </c>
      <c r="CU33" s="43">
        <v>5300</v>
      </c>
      <c r="CV33" s="43">
        <v>-4000</v>
      </c>
      <c r="CW33" s="43">
        <v>4000</v>
      </c>
      <c r="CX33" s="43">
        <v>-4800</v>
      </c>
      <c r="CY33" s="43">
        <v>4800</v>
      </c>
      <c r="CZ33" s="43">
        <v>9449.6360310300006</v>
      </c>
      <c r="DA33" s="43">
        <v>0</v>
      </c>
      <c r="DB33" s="114">
        <v>19800</v>
      </c>
      <c r="DC33" s="43"/>
      <c r="DD33" s="117">
        <v>34767.923999999999</v>
      </c>
      <c r="DE33" s="55">
        <v>2026.588</v>
      </c>
      <c r="DF33" s="59">
        <v>3569.1876170917999</v>
      </c>
      <c r="DG33" s="59">
        <v>40363.699617091799</v>
      </c>
      <c r="DH33" s="117">
        <v>7854.13</v>
      </c>
      <c r="DI33" s="117">
        <v>52837.411</v>
      </c>
      <c r="DJ33" s="55">
        <v>4997</v>
      </c>
      <c r="DK33" s="114">
        <v>57834.411</v>
      </c>
      <c r="DL33" s="43"/>
      <c r="DM33" s="117">
        <v>1269.1969999999999</v>
      </c>
      <c r="DN33" s="55">
        <v>10555.905846475949</v>
      </c>
      <c r="DO33" s="55">
        <v>11825.102846475949</v>
      </c>
      <c r="DP33" s="59">
        <v>1380.7043026824381</v>
      </c>
      <c r="DQ33" s="59">
        <v>2932.5738486661439</v>
      </c>
      <c r="DR33" s="59">
        <v>0</v>
      </c>
      <c r="DS33" s="55">
        <v>2932.5738486661439</v>
      </c>
      <c r="DT33" s="55">
        <v>162.92076937034139</v>
      </c>
      <c r="DU33" s="55">
        <v>162.92076937034139</v>
      </c>
      <c r="DW33" s="121">
        <v>0</v>
      </c>
      <c r="DX33" s="122">
        <v>2600.5208989100001</v>
      </c>
      <c r="DY33" s="128">
        <v>441.42008299999998</v>
      </c>
      <c r="DZ33" s="128">
        <v>0</v>
      </c>
      <c r="EA33" s="121">
        <v>0</v>
      </c>
      <c r="EB33" s="122">
        <v>1553.672292</v>
      </c>
      <c r="EC33" s="121">
        <v>0</v>
      </c>
      <c r="ED33" s="122">
        <v>0</v>
      </c>
      <c r="EE33" s="121">
        <v>0</v>
      </c>
      <c r="EF33" s="122">
        <v>847.5</v>
      </c>
      <c r="EG33" s="121">
        <v>0</v>
      </c>
      <c r="EH33" s="122">
        <v>5924.5269672499999</v>
      </c>
      <c r="EI33" s="121">
        <v>0</v>
      </c>
      <c r="EJ33" s="122">
        <v>2600.5208989100001</v>
      </c>
      <c r="EK33" s="129">
        <v>1553.672292</v>
      </c>
      <c r="EL33" s="130">
        <v>847.5</v>
      </c>
      <c r="EM33" s="131">
        <v>735.83500000000004</v>
      </c>
      <c r="EN33" s="129">
        <v>0</v>
      </c>
      <c r="EO33" s="129">
        <v>7213.4470502499998</v>
      </c>
      <c r="EP33" s="129">
        <v>0</v>
      </c>
      <c r="ER33" s="157">
        <v>875.13400000000001</v>
      </c>
      <c r="ES33" s="37">
        <v>1591.4646720000001</v>
      </c>
      <c r="ET33" s="55">
        <f t="shared" si="1"/>
        <v>8.5744995372771235E-2</v>
      </c>
      <c r="EU33" s="157">
        <v>0</v>
      </c>
      <c r="EV33" s="37">
        <v>151.93199999999999</v>
      </c>
      <c r="EW33" s="55">
        <f t="shared" si="0"/>
        <v>8.3205001544362625E-2</v>
      </c>
      <c r="EY33" s="166">
        <v>0</v>
      </c>
      <c r="EZ33" s="37">
        <v>3156.57</v>
      </c>
      <c r="FA33" s="164">
        <f t="shared" si="2"/>
        <v>0.23203283156840868</v>
      </c>
      <c r="FB33" s="5">
        <v>4613</v>
      </c>
      <c r="FC33" s="164">
        <f t="shared" si="3"/>
        <v>1</v>
      </c>
      <c r="FE33" s="5"/>
      <c r="FF33" s="166">
        <v>0</v>
      </c>
      <c r="FG33" s="37">
        <v>0</v>
      </c>
      <c r="FH33" s="164">
        <f t="shared" si="4"/>
        <v>0</v>
      </c>
      <c r="FI33" s="5">
        <v>0</v>
      </c>
      <c r="FJ33" s="164">
        <f t="shared" si="5"/>
        <v>0</v>
      </c>
      <c r="FL33" s="169">
        <v>7873</v>
      </c>
      <c r="FM33" s="170">
        <f t="shared" si="6"/>
        <v>0.68245451314546257</v>
      </c>
      <c r="FN33" s="169">
        <v>2591</v>
      </c>
      <c r="FO33" s="170">
        <f t="shared" si="7"/>
        <v>0.82634348588741824</v>
      </c>
    </row>
    <row r="34" spans="16:171" x14ac:dyDescent="0.35">
      <c r="P34" s="64">
        <v>32</v>
      </c>
      <c r="Q34" s="109">
        <v>0</v>
      </c>
      <c r="R34" s="110">
        <v>0</v>
      </c>
      <c r="S34" s="111">
        <v>0</v>
      </c>
      <c r="T34" s="110">
        <v>0</v>
      </c>
      <c r="U34" s="111">
        <v>0</v>
      </c>
      <c r="V34" s="110">
        <v>0</v>
      </c>
      <c r="W34" s="111">
        <v>0</v>
      </c>
      <c r="X34" s="110">
        <v>0</v>
      </c>
      <c r="Y34" s="111">
        <v>0</v>
      </c>
      <c r="Z34" s="110">
        <v>0</v>
      </c>
      <c r="AA34" s="111">
        <v>0</v>
      </c>
      <c r="AB34" s="110">
        <v>0</v>
      </c>
      <c r="AC34" s="111">
        <v>0</v>
      </c>
      <c r="AD34" s="110">
        <v>0</v>
      </c>
      <c r="AF34" s="64">
        <v>32</v>
      </c>
      <c r="AG34" s="109">
        <v>10234.977000000001</v>
      </c>
      <c r="AH34" s="111">
        <v>816.5</v>
      </c>
      <c r="AI34" s="109">
        <v>177.5</v>
      </c>
      <c r="AJ34" s="59">
        <v>0.115</v>
      </c>
      <c r="AK34" s="59">
        <v>0.35499999999999998</v>
      </c>
      <c r="AL34" s="59">
        <v>0.35499999999999998</v>
      </c>
      <c r="AM34" s="110">
        <v>51.033999999999999</v>
      </c>
      <c r="AN34" s="111">
        <v>1921.194</v>
      </c>
      <c r="AO34" s="59">
        <v>7.9000000000000001E-2</v>
      </c>
      <c r="AP34" s="55">
        <v>0.16499999999999998</v>
      </c>
      <c r="AQ34" s="109">
        <v>32736.400000000001</v>
      </c>
      <c r="AR34" s="111">
        <v>21244.875</v>
      </c>
      <c r="AS34" s="59">
        <v>0.73399999999999999</v>
      </c>
      <c r="AT34" s="55">
        <v>0.90500000000000003</v>
      </c>
      <c r="AU34" s="43"/>
      <c r="AV34" s="109">
        <v>1036.78</v>
      </c>
      <c r="AW34" s="110">
        <v>0.42100005684909814</v>
      </c>
      <c r="AX34" s="109">
        <v>959.12400000000002</v>
      </c>
      <c r="AY34" s="110">
        <v>0.59684131922837591</v>
      </c>
      <c r="AZ34" s="109">
        <v>1121.4780000000001</v>
      </c>
      <c r="BA34" s="110">
        <v>0.5784392407674851</v>
      </c>
      <c r="BB34" s="43"/>
      <c r="BC34" s="112">
        <v>51358.995000000003</v>
      </c>
      <c r="BD34" s="110">
        <v>0.73770491803278682</v>
      </c>
      <c r="BE34" s="43"/>
      <c r="BF34" s="157">
        <v>4379.75</v>
      </c>
      <c r="BG34" s="43">
        <v>0</v>
      </c>
      <c r="BH34" s="113">
        <v>0</v>
      </c>
      <c r="BI34" s="114">
        <v>0.13434815950920245</v>
      </c>
      <c r="BJ34" s="115">
        <v>0</v>
      </c>
      <c r="BK34" s="113">
        <v>0</v>
      </c>
      <c r="BL34" s="113">
        <v>0</v>
      </c>
      <c r="BM34" s="113">
        <v>0</v>
      </c>
      <c r="BN34" s="113">
        <v>916.97199999999998</v>
      </c>
      <c r="BO34" s="114">
        <v>6.803472325270811E-2</v>
      </c>
      <c r="BP34" s="115">
        <v>0</v>
      </c>
      <c r="BQ34" s="43">
        <v>7668</v>
      </c>
      <c r="BR34" s="43">
        <v>651.2179432800001</v>
      </c>
      <c r="BS34" s="43"/>
      <c r="BT34" s="116">
        <v>-700</v>
      </c>
      <c r="BU34" s="43">
        <v>0</v>
      </c>
      <c r="BV34" s="43">
        <v>4485</v>
      </c>
      <c r="BW34" s="43">
        <v>4485</v>
      </c>
      <c r="BX34" s="43">
        <v>0</v>
      </c>
      <c r="BY34" s="43">
        <v>0</v>
      </c>
      <c r="BZ34" s="43">
        <v>-5000</v>
      </c>
      <c r="CA34" s="43">
        <v>0</v>
      </c>
      <c r="CB34" s="43">
        <v>-5300</v>
      </c>
      <c r="CC34" s="43">
        <v>0</v>
      </c>
      <c r="CD34" s="43">
        <v>-4000</v>
      </c>
      <c r="CE34" s="43">
        <v>0</v>
      </c>
      <c r="CF34" s="43">
        <v>-4800</v>
      </c>
      <c r="CG34" s="43">
        <v>0</v>
      </c>
      <c r="CH34" s="43">
        <v>8886.8792674800006</v>
      </c>
      <c r="CI34" s="43">
        <v>8886.8792674800006</v>
      </c>
      <c r="CJ34" s="114">
        <v>13371.879267480001</v>
      </c>
      <c r="CK34" s="43"/>
      <c r="CL34" s="116">
        <v>-700</v>
      </c>
      <c r="CM34" s="43">
        <v>700</v>
      </c>
      <c r="CN34" s="43">
        <v>4485</v>
      </c>
      <c r="CO34" s="43">
        <v>0</v>
      </c>
      <c r="CP34" s="43">
        <v>0</v>
      </c>
      <c r="CQ34" s="43">
        <v>0</v>
      </c>
      <c r="CR34" s="43">
        <v>-5000</v>
      </c>
      <c r="CS34" s="43">
        <v>5000</v>
      </c>
      <c r="CT34" s="43">
        <v>-5300</v>
      </c>
      <c r="CU34" s="43">
        <v>5300</v>
      </c>
      <c r="CV34" s="43">
        <v>-4000</v>
      </c>
      <c r="CW34" s="43">
        <v>4000</v>
      </c>
      <c r="CX34" s="43">
        <v>-4800</v>
      </c>
      <c r="CY34" s="43">
        <v>4800</v>
      </c>
      <c r="CZ34" s="43">
        <v>8886.8792674800006</v>
      </c>
      <c r="DA34" s="43">
        <v>0</v>
      </c>
      <c r="DB34" s="114">
        <v>19800</v>
      </c>
      <c r="DC34" s="43"/>
      <c r="DD34" s="117">
        <v>37480.879999999997</v>
      </c>
      <c r="DE34" s="55">
        <v>2138.4369999999999</v>
      </c>
      <c r="DF34" s="59">
        <v>3984.4754516998</v>
      </c>
      <c r="DG34" s="59">
        <v>43603.792451699795</v>
      </c>
      <c r="DH34" s="117">
        <v>8412.1229999999996</v>
      </c>
      <c r="DI34" s="117">
        <v>54289.411</v>
      </c>
      <c r="DJ34" s="55">
        <v>5018</v>
      </c>
      <c r="DK34" s="114">
        <v>59307.411</v>
      </c>
      <c r="DL34" s="43"/>
      <c r="DM34" s="117">
        <v>1259.5360000000001</v>
      </c>
      <c r="DN34" s="55">
        <v>10571.615847326309</v>
      </c>
      <c r="DO34" s="55">
        <v>11831.15184732631</v>
      </c>
      <c r="DP34" s="59">
        <v>1473.505175134238</v>
      </c>
      <c r="DQ34" s="59">
        <v>2940.8517230913872</v>
      </c>
      <c r="DR34" s="59">
        <v>0</v>
      </c>
      <c r="DS34" s="55">
        <v>2940.8517230913872</v>
      </c>
      <c r="DT34" s="55">
        <v>163.38065128285481</v>
      </c>
      <c r="DU34" s="55">
        <v>163.38065128285481</v>
      </c>
      <c r="DW34" s="121">
        <v>0</v>
      </c>
      <c r="DX34" s="122">
        <v>3644.9610170000001</v>
      </c>
      <c r="DY34" s="128">
        <v>693.00008300000002</v>
      </c>
      <c r="DZ34" s="128">
        <v>0</v>
      </c>
      <c r="EA34" s="121">
        <v>0</v>
      </c>
      <c r="EB34" s="122">
        <v>1553.672292</v>
      </c>
      <c r="EC34" s="121">
        <v>0</v>
      </c>
      <c r="ED34" s="122">
        <v>0</v>
      </c>
      <c r="EE34" s="121">
        <v>0</v>
      </c>
      <c r="EF34" s="122">
        <v>847.5</v>
      </c>
      <c r="EG34" s="121">
        <v>0</v>
      </c>
      <c r="EH34" s="122">
        <v>6709.10921091</v>
      </c>
      <c r="EI34" s="121">
        <v>0</v>
      </c>
      <c r="EJ34" s="122">
        <v>3644.9610170000001</v>
      </c>
      <c r="EK34" s="129">
        <v>1553.672292</v>
      </c>
      <c r="EL34" s="130">
        <v>847.5</v>
      </c>
      <c r="EM34" s="131">
        <v>735.83500000000004</v>
      </c>
      <c r="EN34" s="129">
        <v>0</v>
      </c>
      <c r="EO34" s="129">
        <v>8249.6092939099999</v>
      </c>
      <c r="EP34" s="129">
        <v>0</v>
      </c>
      <c r="ER34" s="157">
        <v>959.10799999999995</v>
      </c>
      <c r="ES34" s="37">
        <v>1591.4646720000001</v>
      </c>
      <c r="ET34" s="55">
        <f t="shared" si="1"/>
        <v>8.8664136748775796E-2</v>
      </c>
      <c r="EU34" s="157">
        <v>0</v>
      </c>
      <c r="EV34" s="37">
        <v>166.518</v>
      </c>
      <c r="EW34" s="55">
        <f t="shared" si="0"/>
        <v>9.1192970849881372E-2</v>
      </c>
      <c r="EY34" s="166">
        <v>10447.41</v>
      </c>
      <c r="EZ34" s="37">
        <v>3156.57</v>
      </c>
      <c r="FA34" s="164">
        <f t="shared" si="2"/>
        <v>1</v>
      </c>
      <c r="FB34" s="5">
        <v>4613</v>
      </c>
      <c r="FC34" s="164">
        <f t="shared" si="3"/>
        <v>1</v>
      </c>
      <c r="FE34" s="5"/>
      <c r="FF34" s="166">
        <v>0</v>
      </c>
      <c r="FG34" s="37">
        <v>0</v>
      </c>
      <c r="FH34" s="164">
        <f t="shared" si="4"/>
        <v>0</v>
      </c>
      <c r="FI34" s="5">
        <v>0</v>
      </c>
      <c r="FJ34" s="164">
        <f t="shared" si="5"/>
        <v>0</v>
      </c>
      <c r="FL34" s="169">
        <v>7873</v>
      </c>
      <c r="FM34" s="170">
        <f t="shared" si="6"/>
        <v>0.68245451314546257</v>
      </c>
      <c r="FN34" s="169">
        <v>2591</v>
      </c>
      <c r="FO34" s="170">
        <f t="shared" si="7"/>
        <v>0.82634348588741824</v>
      </c>
    </row>
    <row r="35" spans="16:171" x14ac:dyDescent="0.35">
      <c r="P35" s="64">
        <v>33</v>
      </c>
      <c r="Q35" s="109">
        <v>0</v>
      </c>
      <c r="R35" s="110">
        <v>0</v>
      </c>
      <c r="S35" s="111">
        <v>0</v>
      </c>
      <c r="T35" s="110">
        <v>0</v>
      </c>
      <c r="U35" s="111">
        <v>0</v>
      </c>
      <c r="V35" s="110">
        <v>0</v>
      </c>
      <c r="W35" s="111">
        <v>0</v>
      </c>
      <c r="X35" s="110">
        <v>0</v>
      </c>
      <c r="Y35" s="111">
        <v>0</v>
      </c>
      <c r="Z35" s="110">
        <v>0</v>
      </c>
      <c r="AA35" s="111">
        <v>0</v>
      </c>
      <c r="AB35" s="110">
        <v>0</v>
      </c>
      <c r="AC35" s="111">
        <v>0</v>
      </c>
      <c r="AD35" s="110">
        <v>0</v>
      </c>
      <c r="AF35" s="64">
        <v>33</v>
      </c>
      <c r="AG35" s="109">
        <v>10056.9774</v>
      </c>
      <c r="AH35" s="111">
        <v>823.4</v>
      </c>
      <c r="AI35" s="109">
        <v>179</v>
      </c>
      <c r="AJ35" s="59">
        <v>0.11299999999999999</v>
      </c>
      <c r="AK35" s="59">
        <v>0.35799999999999998</v>
      </c>
      <c r="AL35" s="59">
        <v>0.35799999999999998</v>
      </c>
      <c r="AM35" s="110">
        <v>52.326000000000001</v>
      </c>
      <c r="AN35" s="111">
        <v>1583.5296000000001</v>
      </c>
      <c r="AO35" s="59">
        <v>8.1000000000000003E-2</v>
      </c>
      <c r="AP35" s="55">
        <v>0.13600000000000001</v>
      </c>
      <c r="AQ35" s="109">
        <v>33271.599999999999</v>
      </c>
      <c r="AR35" s="111">
        <v>21550.05</v>
      </c>
      <c r="AS35" s="59">
        <v>0.746</v>
      </c>
      <c r="AT35" s="55">
        <v>0.91799999999999993</v>
      </c>
      <c r="AU35" s="43"/>
      <c r="AV35" s="109">
        <v>1086.0329999999999</v>
      </c>
      <c r="AW35" s="110">
        <v>0.44099997563610077</v>
      </c>
      <c r="AX35" s="109">
        <v>975.02</v>
      </c>
      <c r="AY35" s="110">
        <v>0.60673304293714991</v>
      </c>
      <c r="AZ35" s="109">
        <v>1121.4780000000001</v>
      </c>
      <c r="BA35" s="110">
        <v>0.5784392407674851</v>
      </c>
      <c r="BB35" s="43"/>
      <c r="BC35" s="112">
        <v>51358.995000000003</v>
      </c>
      <c r="BD35" s="110">
        <v>0.73770491803278682</v>
      </c>
      <c r="BE35" s="43"/>
      <c r="BF35" s="157">
        <v>4461.4409999999998</v>
      </c>
      <c r="BG35" s="43">
        <v>0</v>
      </c>
      <c r="BH35" s="113">
        <v>0</v>
      </c>
      <c r="BI35" s="114">
        <v>0.13685401840490796</v>
      </c>
      <c r="BJ35" s="115">
        <v>0</v>
      </c>
      <c r="BK35" s="113">
        <v>0</v>
      </c>
      <c r="BL35" s="113">
        <v>0</v>
      </c>
      <c r="BM35" s="113">
        <v>0</v>
      </c>
      <c r="BN35" s="113">
        <v>955.51400000000001</v>
      </c>
      <c r="BO35" s="114">
        <v>7.0894346342187275E-2</v>
      </c>
      <c r="BP35" s="115">
        <v>0</v>
      </c>
      <c r="BQ35" s="43">
        <v>7668</v>
      </c>
      <c r="BR35" s="43">
        <v>651.2179432800001</v>
      </c>
      <c r="BS35" s="43"/>
      <c r="BT35" s="116">
        <v>-700</v>
      </c>
      <c r="BU35" s="43">
        <v>0</v>
      </c>
      <c r="BV35" s="43">
        <v>4485</v>
      </c>
      <c r="BW35" s="43">
        <v>4485</v>
      </c>
      <c r="BX35" s="43">
        <v>0</v>
      </c>
      <c r="BY35" s="43">
        <v>0</v>
      </c>
      <c r="BZ35" s="43">
        <v>-5000</v>
      </c>
      <c r="CA35" s="43">
        <v>0</v>
      </c>
      <c r="CB35" s="43">
        <v>-5300</v>
      </c>
      <c r="CC35" s="43">
        <v>0</v>
      </c>
      <c r="CD35" s="43">
        <v>-4000</v>
      </c>
      <c r="CE35" s="43">
        <v>0</v>
      </c>
      <c r="CF35" s="43">
        <v>-4800</v>
      </c>
      <c r="CG35" s="43">
        <v>0</v>
      </c>
      <c r="CH35" s="43">
        <v>11156.24939642</v>
      </c>
      <c r="CI35" s="43">
        <v>11156.24939642</v>
      </c>
      <c r="CJ35" s="114">
        <v>15641.24939642</v>
      </c>
      <c r="CK35" s="43"/>
      <c r="CL35" s="116">
        <v>-700</v>
      </c>
      <c r="CM35" s="43">
        <v>700</v>
      </c>
      <c r="CN35" s="43">
        <v>4485</v>
      </c>
      <c r="CO35" s="43">
        <v>0</v>
      </c>
      <c r="CP35" s="43">
        <v>0</v>
      </c>
      <c r="CQ35" s="43">
        <v>0</v>
      </c>
      <c r="CR35" s="43">
        <v>-5000</v>
      </c>
      <c r="CS35" s="43">
        <v>5000</v>
      </c>
      <c r="CT35" s="43">
        <v>-5300</v>
      </c>
      <c r="CU35" s="43">
        <v>5300</v>
      </c>
      <c r="CV35" s="43">
        <v>-4000</v>
      </c>
      <c r="CW35" s="43">
        <v>4000</v>
      </c>
      <c r="CX35" s="43">
        <v>-4800</v>
      </c>
      <c r="CY35" s="43">
        <v>4800</v>
      </c>
      <c r="CZ35" s="43">
        <v>11156.24939642</v>
      </c>
      <c r="DA35" s="43">
        <v>0</v>
      </c>
      <c r="DB35" s="114">
        <v>19800</v>
      </c>
      <c r="DC35" s="43"/>
      <c r="DD35" s="117">
        <v>39275.048000000003</v>
      </c>
      <c r="DE35" s="55">
        <v>2195.355</v>
      </c>
      <c r="DF35" s="59">
        <v>3824.4200530448002</v>
      </c>
      <c r="DG35" s="59">
        <v>45294.823053044805</v>
      </c>
      <c r="DH35" s="117">
        <v>8948.1659999999993</v>
      </c>
      <c r="DI35" s="117">
        <v>54523.411</v>
      </c>
      <c r="DJ35" s="55">
        <v>5609</v>
      </c>
      <c r="DK35" s="114">
        <v>60132.411</v>
      </c>
      <c r="DL35" s="43"/>
      <c r="DM35" s="117">
        <v>1180.6679999999999</v>
      </c>
      <c r="DN35" s="55">
        <v>10571.615847326309</v>
      </c>
      <c r="DO35" s="55">
        <v>11752.283847326309</v>
      </c>
      <c r="DP35" s="59">
        <v>1571.461651611138</v>
      </c>
      <c r="DQ35" s="59">
        <v>2940.8517230913872</v>
      </c>
      <c r="DR35" s="59">
        <v>0</v>
      </c>
      <c r="DS35" s="55">
        <v>2940.8517230913872</v>
      </c>
      <c r="DT35" s="55">
        <v>163.38065128285481</v>
      </c>
      <c r="DU35" s="55">
        <v>163.38065128285481</v>
      </c>
      <c r="DW35" s="121">
        <v>0</v>
      </c>
      <c r="DX35" s="122">
        <v>4689.8610170000002</v>
      </c>
      <c r="DY35" s="128">
        <v>944.58008299999995</v>
      </c>
      <c r="DZ35" s="128">
        <v>0</v>
      </c>
      <c r="EA35" s="121">
        <v>0</v>
      </c>
      <c r="EB35" s="122">
        <v>1553.672292</v>
      </c>
      <c r="EC35" s="121">
        <v>0</v>
      </c>
      <c r="ED35" s="122">
        <v>104.83033991000001</v>
      </c>
      <c r="EE35" s="121">
        <v>0</v>
      </c>
      <c r="EF35" s="122">
        <v>847.5</v>
      </c>
      <c r="EG35" s="121">
        <v>0</v>
      </c>
      <c r="EH35" s="122">
        <v>7397.5988710000001</v>
      </c>
      <c r="EI35" s="121">
        <v>0</v>
      </c>
      <c r="EJ35" s="122">
        <v>4689.8610170000002</v>
      </c>
      <c r="EK35" s="129">
        <v>1553.672292</v>
      </c>
      <c r="EL35" s="130">
        <v>847.5</v>
      </c>
      <c r="EM35" s="131">
        <v>735.83500000000004</v>
      </c>
      <c r="EN35" s="129">
        <v>0</v>
      </c>
      <c r="EO35" s="129">
        <v>9294.5092939099995</v>
      </c>
      <c r="EP35" s="129">
        <v>0</v>
      </c>
      <c r="ER35" s="157">
        <v>992.76700000000005</v>
      </c>
      <c r="ES35" s="37">
        <v>1591.4646720000001</v>
      </c>
      <c r="ET35" s="55">
        <f t="shared" si="1"/>
        <v>8.9834205812711496E-2</v>
      </c>
      <c r="EU35" s="157">
        <v>0</v>
      </c>
      <c r="EV35" s="37">
        <v>168.828</v>
      </c>
      <c r="EW35" s="55">
        <f t="shared" ref="EW35:EW66" si="8">(EU35+EV35)/($J$2+$J$3)</f>
        <v>9.2458033862067607E-2</v>
      </c>
      <c r="EY35" s="166">
        <v>10447.41</v>
      </c>
      <c r="EZ35" s="37">
        <v>3156.57</v>
      </c>
      <c r="FA35" s="164">
        <f t="shared" si="2"/>
        <v>1</v>
      </c>
      <c r="FB35" s="5">
        <v>4613</v>
      </c>
      <c r="FC35" s="164">
        <f t="shared" si="3"/>
        <v>1</v>
      </c>
      <c r="FE35" s="5"/>
      <c r="FF35" s="166">
        <v>0</v>
      </c>
      <c r="FG35" s="37">
        <v>0</v>
      </c>
      <c r="FH35" s="164">
        <f t="shared" si="4"/>
        <v>0</v>
      </c>
      <c r="FI35" s="5">
        <v>0</v>
      </c>
      <c r="FJ35" s="164">
        <f t="shared" si="5"/>
        <v>0</v>
      </c>
      <c r="FL35" s="169">
        <v>7873</v>
      </c>
      <c r="FM35" s="170">
        <f t="shared" si="6"/>
        <v>0.68245451314546257</v>
      </c>
      <c r="FN35" s="169">
        <v>2591</v>
      </c>
      <c r="FO35" s="170">
        <f t="shared" si="7"/>
        <v>0.82634348588741824</v>
      </c>
    </row>
    <row r="36" spans="16:171" x14ac:dyDescent="0.35">
      <c r="P36" s="64">
        <v>34</v>
      </c>
      <c r="Q36" s="109">
        <v>8881</v>
      </c>
      <c r="R36" s="110">
        <v>0.107</v>
      </c>
      <c r="S36" s="111">
        <v>317.13</v>
      </c>
      <c r="T36" s="110">
        <v>6.6000000000000003E-2</v>
      </c>
      <c r="U36" s="111">
        <v>3390</v>
      </c>
      <c r="V36" s="110">
        <v>0.113</v>
      </c>
      <c r="W36" s="111">
        <v>963.33939999999996</v>
      </c>
      <c r="X36" s="110">
        <v>6.699999999999999E-2</v>
      </c>
      <c r="Y36" s="111">
        <v>357.41629999999998</v>
      </c>
      <c r="Z36" s="110">
        <v>3.6999999999999998E-2</v>
      </c>
      <c r="AA36" s="111">
        <v>1645.44</v>
      </c>
      <c r="AB36" s="110">
        <v>3.2000000000000001E-2</v>
      </c>
      <c r="AC36" s="111">
        <v>1250.6615999999999</v>
      </c>
      <c r="AD36" s="110">
        <v>2.6999999999999996E-2</v>
      </c>
      <c r="AF36" s="64">
        <v>34</v>
      </c>
      <c r="AG36" s="109">
        <v>9166.9794000000002</v>
      </c>
      <c r="AH36" s="111">
        <v>832.6</v>
      </c>
      <c r="AI36" s="109">
        <v>181</v>
      </c>
      <c r="AJ36" s="59">
        <v>0.10299999999999999</v>
      </c>
      <c r="AK36" s="59">
        <v>0.36199999999999999</v>
      </c>
      <c r="AL36" s="59">
        <v>0.36199999999999999</v>
      </c>
      <c r="AM36" s="110">
        <v>52.326000000000001</v>
      </c>
      <c r="AN36" s="111">
        <v>1257.5088000000001</v>
      </c>
      <c r="AO36" s="59">
        <v>8.1000000000000003E-2</v>
      </c>
      <c r="AP36" s="55">
        <v>0.108</v>
      </c>
      <c r="AQ36" s="109">
        <v>31532.2</v>
      </c>
      <c r="AR36" s="111">
        <v>21643.95</v>
      </c>
      <c r="AS36" s="59">
        <v>0.70699999999999996</v>
      </c>
      <c r="AT36" s="55">
        <v>0.92200000000000004</v>
      </c>
      <c r="AU36" s="43"/>
      <c r="AV36" s="109">
        <v>1081.1079999999999</v>
      </c>
      <c r="AW36" s="110">
        <v>0.4390001055768965</v>
      </c>
      <c r="AX36" s="109">
        <v>987.63599999999997</v>
      </c>
      <c r="AY36" s="110">
        <v>0.61458369632856247</v>
      </c>
      <c r="AZ36" s="109">
        <v>1121.4780000000001</v>
      </c>
      <c r="BA36" s="110">
        <v>0.5784392407674851</v>
      </c>
      <c r="BB36" s="43"/>
      <c r="BC36" s="112">
        <v>51358.995000000003</v>
      </c>
      <c r="BD36" s="110">
        <v>0.73770491803278682</v>
      </c>
      <c r="BE36" s="43"/>
      <c r="BF36" s="157">
        <v>8092.74</v>
      </c>
      <c r="BG36" s="43">
        <v>0</v>
      </c>
      <c r="BH36" s="113">
        <v>0</v>
      </c>
      <c r="BI36" s="114">
        <v>0.24824355828220859</v>
      </c>
      <c r="BJ36" s="115">
        <v>0</v>
      </c>
      <c r="BK36" s="113">
        <v>0</v>
      </c>
      <c r="BL36" s="113">
        <v>0</v>
      </c>
      <c r="BM36" s="113">
        <v>0</v>
      </c>
      <c r="BN36" s="113">
        <v>1626.269</v>
      </c>
      <c r="BO36" s="114">
        <v>0.12066100311618935</v>
      </c>
      <c r="BP36" s="115">
        <v>0</v>
      </c>
      <c r="BQ36" s="43">
        <v>7668</v>
      </c>
      <c r="BR36" s="43">
        <v>651.2179432800001</v>
      </c>
      <c r="BS36" s="43"/>
      <c r="BT36" s="116">
        <v>-700</v>
      </c>
      <c r="BU36" s="43">
        <v>0</v>
      </c>
      <c r="BV36" s="43">
        <v>4485</v>
      </c>
      <c r="BW36" s="43">
        <v>4485</v>
      </c>
      <c r="BX36" s="43">
        <v>0</v>
      </c>
      <c r="BY36" s="43">
        <v>0</v>
      </c>
      <c r="BZ36" s="43">
        <v>-5000</v>
      </c>
      <c r="CA36" s="43">
        <v>0</v>
      </c>
      <c r="CB36" s="43">
        <v>-5300</v>
      </c>
      <c r="CC36" s="43">
        <v>0</v>
      </c>
      <c r="CD36" s="43">
        <v>-4000</v>
      </c>
      <c r="CE36" s="43">
        <v>0</v>
      </c>
      <c r="CF36" s="43">
        <v>-4800</v>
      </c>
      <c r="CG36" s="43">
        <v>0</v>
      </c>
      <c r="CH36" s="43">
        <v>11343.861214209999</v>
      </c>
      <c r="CI36" s="43">
        <v>11343.861214209999</v>
      </c>
      <c r="CJ36" s="114">
        <v>15828.861214209999</v>
      </c>
      <c r="CK36" s="43"/>
      <c r="CL36" s="116">
        <v>-700</v>
      </c>
      <c r="CM36" s="43">
        <v>700</v>
      </c>
      <c r="CN36" s="43">
        <v>4485</v>
      </c>
      <c r="CO36" s="43">
        <v>0</v>
      </c>
      <c r="CP36" s="43">
        <v>0</v>
      </c>
      <c r="CQ36" s="43">
        <v>0</v>
      </c>
      <c r="CR36" s="43">
        <v>-5000</v>
      </c>
      <c r="CS36" s="43">
        <v>5000</v>
      </c>
      <c r="CT36" s="43">
        <v>-5300</v>
      </c>
      <c r="CU36" s="43">
        <v>5300</v>
      </c>
      <c r="CV36" s="43">
        <v>-4000</v>
      </c>
      <c r="CW36" s="43">
        <v>4000</v>
      </c>
      <c r="CX36" s="43">
        <v>-4800</v>
      </c>
      <c r="CY36" s="43">
        <v>4800</v>
      </c>
      <c r="CZ36" s="43">
        <v>11343.861214209999</v>
      </c>
      <c r="DA36" s="43">
        <v>0</v>
      </c>
      <c r="DB36" s="114">
        <v>19800</v>
      </c>
      <c r="DC36" s="43"/>
      <c r="DD36" s="117">
        <v>40640.063000000002</v>
      </c>
      <c r="DE36" s="55">
        <v>2016.3440000000001</v>
      </c>
      <c r="DF36" s="59">
        <v>2379.3491193064001</v>
      </c>
      <c r="DG36" s="59">
        <v>45035.756119306403</v>
      </c>
      <c r="DH36" s="117">
        <v>9701.9639999999999</v>
      </c>
      <c r="DI36" s="117">
        <v>55098.411</v>
      </c>
      <c r="DJ36" s="55">
        <v>6355</v>
      </c>
      <c r="DK36" s="114">
        <v>61453.411</v>
      </c>
      <c r="DL36" s="43"/>
      <c r="DM36" s="117">
        <v>1110.4159999999999</v>
      </c>
      <c r="DN36" s="55">
        <v>10571.615847326309</v>
      </c>
      <c r="DO36" s="55">
        <v>11682.031847326309</v>
      </c>
      <c r="DP36" s="59">
        <v>1571.461651611138</v>
      </c>
      <c r="DQ36" s="59">
        <v>2940.8517230913872</v>
      </c>
      <c r="DR36" s="59">
        <v>0</v>
      </c>
      <c r="DS36" s="55">
        <v>2940.8517230913872</v>
      </c>
      <c r="DT36" s="55">
        <v>163.38065128285481</v>
      </c>
      <c r="DU36" s="55">
        <v>163.38065128285481</v>
      </c>
      <c r="DW36" s="121">
        <v>0</v>
      </c>
      <c r="DX36" s="122">
        <v>5734.7610169999998</v>
      </c>
      <c r="DY36" s="128">
        <v>1196.160083</v>
      </c>
      <c r="DZ36" s="128">
        <v>0</v>
      </c>
      <c r="EA36" s="121">
        <v>0</v>
      </c>
      <c r="EB36" s="122">
        <v>1553.672292</v>
      </c>
      <c r="EC36" s="121">
        <v>0</v>
      </c>
      <c r="ED36" s="122">
        <v>898.15033990999996</v>
      </c>
      <c r="EE36" s="121">
        <v>0</v>
      </c>
      <c r="EF36" s="122">
        <v>847.5</v>
      </c>
      <c r="EG36" s="121">
        <v>0</v>
      </c>
      <c r="EH36" s="122">
        <v>7397.5988710000001</v>
      </c>
      <c r="EI36" s="121">
        <v>0</v>
      </c>
      <c r="EJ36" s="122">
        <v>5734.7610169999998</v>
      </c>
      <c r="EK36" s="129">
        <v>1553.672292</v>
      </c>
      <c r="EL36" s="130">
        <v>847.5</v>
      </c>
      <c r="EM36" s="131">
        <v>735.83500000000004</v>
      </c>
      <c r="EN36" s="129">
        <v>0</v>
      </c>
      <c r="EO36" s="129">
        <v>10339.409293910001</v>
      </c>
      <c r="EP36" s="129">
        <v>0</v>
      </c>
      <c r="ER36" s="157">
        <v>996.93100000000004</v>
      </c>
      <c r="ES36" s="37">
        <v>1591.4646720000001</v>
      </c>
      <c r="ET36" s="55">
        <f t="shared" si="1"/>
        <v>8.9978956624744783E-2</v>
      </c>
      <c r="EU36" s="157">
        <v>0</v>
      </c>
      <c r="EV36" s="37">
        <v>170.28</v>
      </c>
      <c r="EW36" s="55">
        <f t="shared" si="8"/>
        <v>9.3253216326870378E-2</v>
      </c>
      <c r="EY36" s="166">
        <v>2891.94138724</v>
      </c>
      <c r="EZ36" s="37">
        <v>3156.57</v>
      </c>
      <c r="FA36" s="164">
        <f t="shared" si="2"/>
        <v>0.4446133695609667</v>
      </c>
      <c r="FB36" s="5">
        <v>4613</v>
      </c>
      <c r="FC36" s="164">
        <f t="shared" si="3"/>
        <v>1</v>
      </c>
      <c r="FE36" s="5"/>
      <c r="FF36" s="166">
        <v>0</v>
      </c>
      <c r="FG36" s="37">
        <v>0</v>
      </c>
      <c r="FH36" s="164">
        <f t="shared" si="4"/>
        <v>0</v>
      </c>
      <c r="FI36" s="5">
        <v>0</v>
      </c>
      <c r="FJ36" s="164">
        <f t="shared" si="5"/>
        <v>0</v>
      </c>
      <c r="FL36" s="169">
        <v>7873</v>
      </c>
      <c r="FM36" s="170">
        <f t="shared" si="6"/>
        <v>0.68245451314546257</v>
      </c>
      <c r="FN36" s="169">
        <v>2591</v>
      </c>
      <c r="FO36" s="170">
        <f t="shared" si="7"/>
        <v>0.82634348588741824</v>
      </c>
    </row>
    <row r="37" spans="16:171" x14ac:dyDescent="0.35">
      <c r="P37" s="64">
        <v>35</v>
      </c>
      <c r="Q37" s="109">
        <v>23323</v>
      </c>
      <c r="R37" s="110">
        <v>0.28100000000000003</v>
      </c>
      <c r="S37" s="111">
        <v>816.85</v>
      </c>
      <c r="T37" s="110">
        <v>0.17</v>
      </c>
      <c r="U37" s="111">
        <v>8220</v>
      </c>
      <c r="V37" s="110">
        <v>0.27400000000000002</v>
      </c>
      <c r="W37" s="111">
        <v>3508.2808</v>
      </c>
      <c r="X37" s="110">
        <v>0.24399999999999999</v>
      </c>
      <c r="Y37" s="111">
        <v>1362.0459000000001</v>
      </c>
      <c r="Z37" s="110">
        <v>0.14100000000000001</v>
      </c>
      <c r="AA37" s="111">
        <v>4113.6000000000004</v>
      </c>
      <c r="AB37" s="110">
        <v>0.08</v>
      </c>
      <c r="AC37" s="111">
        <v>3149.8144000000002</v>
      </c>
      <c r="AD37" s="110">
        <v>6.8000000000000005E-2</v>
      </c>
      <c r="AF37" s="64">
        <v>35</v>
      </c>
      <c r="AG37" s="109">
        <v>7742.9826000000003</v>
      </c>
      <c r="AH37" s="111">
        <v>864.8</v>
      </c>
      <c r="AI37" s="109">
        <v>188</v>
      </c>
      <c r="AJ37" s="59">
        <v>8.6999999999999994E-2</v>
      </c>
      <c r="AK37" s="59">
        <v>0.376</v>
      </c>
      <c r="AL37" s="59">
        <v>0.376</v>
      </c>
      <c r="AM37" s="110">
        <v>50.387999999999998</v>
      </c>
      <c r="AN37" s="111">
        <v>780.12120000000004</v>
      </c>
      <c r="AO37" s="59">
        <v>7.8E-2</v>
      </c>
      <c r="AP37" s="55">
        <v>6.7000000000000004E-2</v>
      </c>
      <c r="AQ37" s="109">
        <v>29614.400000000001</v>
      </c>
      <c r="AR37" s="111">
        <v>21597</v>
      </c>
      <c r="AS37" s="59">
        <v>0.66400000000000003</v>
      </c>
      <c r="AT37" s="55">
        <v>0.92</v>
      </c>
      <c r="AU37" s="43"/>
      <c r="AV37" s="109">
        <v>1051.556</v>
      </c>
      <c r="AW37" s="110">
        <v>0.42700007309169763</v>
      </c>
      <c r="AX37" s="109">
        <v>988.90899999999999</v>
      </c>
      <c r="AY37" s="110">
        <v>0.61537585563161168</v>
      </c>
      <c r="AZ37" s="109">
        <v>1121.4780000000001</v>
      </c>
      <c r="BA37" s="110">
        <v>0.5784392407674851</v>
      </c>
      <c r="BB37" s="43"/>
      <c r="BC37" s="112">
        <v>51358.995000000003</v>
      </c>
      <c r="BD37" s="110">
        <v>0.73770491803278682</v>
      </c>
      <c r="BE37" s="43"/>
      <c r="BF37" s="157">
        <v>13819.949000000001</v>
      </c>
      <c r="BG37" s="43">
        <v>0</v>
      </c>
      <c r="BH37" s="113">
        <v>0</v>
      </c>
      <c r="BI37" s="114">
        <v>0.42392481595092024</v>
      </c>
      <c r="BJ37" s="115">
        <v>0</v>
      </c>
      <c r="BK37" s="113">
        <v>0</v>
      </c>
      <c r="BL37" s="113">
        <v>0</v>
      </c>
      <c r="BM37" s="113">
        <v>0</v>
      </c>
      <c r="BN37" s="113">
        <v>3362.8589999999999</v>
      </c>
      <c r="BO37" s="114">
        <v>0.24950727110847307</v>
      </c>
      <c r="BP37" s="115">
        <v>0</v>
      </c>
      <c r="BQ37" s="43">
        <v>7668</v>
      </c>
      <c r="BR37" s="43">
        <v>651.2179432800001</v>
      </c>
      <c r="BS37" s="43"/>
      <c r="BT37" s="116">
        <v>-700</v>
      </c>
      <c r="BU37" s="43">
        <v>0</v>
      </c>
      <c r="BV37" s="43">
        <v>4485</v>
      </c>
      <c r="BW37" s="43">
        <v>4485</v>
      </c>
      <c r="BX37" s="43">
        <v>0</v>
      </c>
      <c r="BY37" s="43">
        <v>0</v>
      </c>
      <c r="BZ37" s="43">
        <v>-5000</v>
      </c>
      <c r="CA37" s="43">
        <v>0</v>
      </c>
      <c r="CB37" s="43">
        <v>-5300</v>
      </c>
      <c r="CC37" s="43">
        <v>0</v>
      </c>
      <c r="CD37" s="43">
        <v>-4000</v>
      </c>
      <c r="CE37" s="43">
        <v>0</v>
      </c>
      <c r="CF37" s="43">
        <v>-4800</v>
      </c>
      <c r="CG37" s="43">
        <v>0</v>
      </c>
      <c r="CH37" s="43">
        <v>8984.4408632199993</v>
      </c>
      <c r="CI37" s="43">
        <v>8984.4408632199993</v>
      </c>
      <c r="CJ37" s="114">
        <v>13469.440863219999</v>
      </c>
      <c r="CK37" s="43"/>
      <c r="CL37" s="116">
        <v>-700</v>
      </c>
      <c r="CM37" s="43">
        <v>700</v>
      </c>
      <c r="CN37" s="43">
        <v>4485</v>
      </c>
      <c r="CO37" s="43">
        <v>0</v>
      </c>
      <c r="CP37" s="43">
        <v>0</v>
      </c>
      <c r="CQ37" s="43">
        <v>0</v>
      </c>
      <c r="CR37" s="43">
        <v>-5000</v>
      </c>
      <c r="CS37" s="43">
        <v>5000</v>
      </c>
      <c r="CT37" s="43">
        <v>-5300</v>
      </c>
      <c r="CU37" s="43">
        <v>5300</v>
      </c>
      <c r="CV37" s="43">
        <v>-4000</v>
      </c>
      <c r="CW37" s="43">
        <v>4000</v>
      </c>
      <c r="CX37" s="43">
        <v>-4800</v>
      </c>
      <c r="CY37" s="43">
        <v>4800</v>
      </c>
      <c r="CZ37" s="43">
        <v>8984.4408632199993</v>
      </c>
      <c r="DA37" s="43">
        <v>0</v>
      </c>
      <c r="DB37" s="114">
        <v>19800</v>
      </c>
      <c r="DC37" s="43"/>
      <c r="DD37" s="117">
        <v>40832.834000000003</v>
      </c>
      <c r="DE37" s="55">
        <v>1742.7370000000001</v>
      </c>
      <c r="DF37" s="59">
        <v>1880.3081814358</v>
      </c>
      <c r="DG37" s="59">
        <v>44455.879181435805</v>
      </c>
      <c r="DH37" s="117">
        <v>11043.945</v>
      </c>
      <c r="DI37" s="117">
        <v>56010.411</v>
      </c>
      <c r="DJ37" s="55">
        <v>6306</v>
      </c>
      <c r="DK37" s="114">
        <v>62316.411</v>
      </c>
      <c r="DL37" s="43"/>
      <c r="DM37" s="117">
        <v>1039.7529999999999</v>
      </c>
      <c r="DN37" s="55">
        <v>10571.615847326309</v>
      </c>
      <c r="DO37" s="55">
        <v>11611.36884732631</v>
      </c>
      <c r="DP37" s="59">
        <v>1623.017691862138</v>
      </c>
      <c r="DQ37" s="59">
        <v>2940.8517230913872</v>
      </c>
      <c r="DR37" s="59">
        <v>420.28389891</v>
      </c>
      <c r="DS37" s="55">
        <v>3361.1356220013872</v>
      </c>
      <c r="DT37" s="55">
        <v>163.38065128285481</v>
      </c>
      <c r="DU37" s="55">
        <v>163.38065128285481</v>
      </c>
      <c r="DW37" s="121">
        <v>0</v>
      </c>
      <c r="DX37" s="122">
        <v>6779.6610170000004</v>
      </c>
      <c r="DY37" s="128">
        <v>1447.7400829999999</v>
      </c>
      <c r="DZ37" s="128">
        <v>0</v>
      </c>
      <c r="EA37" s="121">
        <v>0</v>
      </c>
      <c r="EB37" s="122">
        <v>1553.672292</v>
      </c>
      <c r="EC37" s="121">
        <v>0</v>
      </c>
      <c r="ED37" s="122">
        <v>1271.1864410000001</v>
      </c>
      <c r="EE37" s="121">
        <v>0</v>
      </c>
      <c r="EF37" s="122">
        <v>847.5</v>
      </c>
      <c r="EG37" s="121">
        <v>0</v>
      </c>
      <c r="EH37" s="122">
        <v>7397.5988710000001</v>
      </c>
      <c r="EI37" s="121">
        <v>0</v>
      </c>
      <c r="EJ37" s="122">
        <v>6779.6610170000004</v>
      </c>
      <c r="EK37" s="129">
        <v>1553.672292</v>
      </c>
      <c r="EL37" s="130">
        <v>847.5</v>
      </c>
      <c r="EM37" s="131">
        <v>735.83500000000004</v>
      </c>
      <c r="EN37" s="129">
        <v>420.28389891</v>
      </c>
      <c r="EO37" s="129">
        <v>10964.025395000001</v>
      </c>
      <c r="EP37" s="129">
        <v>0</v>
      </c>
      <c r="ER37" s="157">
        <v>0</v>
      </c>
      <c r="ES37" s="37">
        <v>0</v>
      </c>
      <c r="ET37" s="55">
        <f t="shared" si="1"/>
        <v>0</v>
      </c>
      <c r="EU37" s="157">
        <v>0</v>
      </c>
      <c r="EV37" s="37">
        <v>0</v>
      </c>
      <c r="EW37" s="55">
        <f t="shared" si="8"/>
        <v>0</v>
      </c>
      <c r="EY37" s="166">
        <v>0</v>
      </c>
      <c r="EZ37" s="37">
        <v>3156.57</v>
      </c>
      <c r="FA37" s="164">
        <f t="shared" si="2"/>
        <v>0.23203283156840868</v>
      </c>
      <c r="FB37" s="5">
        <v>4613</v>
      </c>
      <c r="FC37" s="164">
        <f t="shared" si="3"/>
        <v>1</v>
      </c>
      <c r="FE37" s="5"/>
      <c r="FF37" s="166">
        <v>0</v>
      </c>
      <c r="FG37" s="37">
        <v>10423.35</v>
      </c>
      <c r="FH37" s="164">
        <f t="shared" si="4"/>
        <v>0.78248972467766453</v>
      </c>
      <c r="FI37" s="5">
        <v>0</v>
      </c>
      <c r="FJ37" s="164">
        <f t="shared" si="5"/>
        <v>0</v>
      </c>
      <c r="FL37" s="169">
        <v>7873</v>
      </c>
      <c r="FM37" s="170">
        <f t="shared" si="6"/>
        <v>0.68245451314546257</v>
      </c>
      <c r="FN37" s="169">
        <v>2591</v>
      </c>
      <c r="FO37" s="170">
        <f t="shared" si="7"/>
        <v>0.82634348588741824</v>
      </c>
    </row>
    <row r="38" spans="16:171" x14ac:dyDescent="0.35">
      <c r="P38" s="64">
        <v>36</v>
      </c>
      <c r="Q38" s="109">
        <v>29216</v>
      </c>
      <c r="R38" s="110">
        <v>0.35199999999999998</v>
      </c>
      <c r="S38" s="111">
        <v>1359.8150000000001</v>
      </c>
      <c r="T38" s="110">
        <v>0.28300000000000003</v>
      </c>
      <c r="U38" s="111">
        <v>12180</v>
      </c>
      <c r="V38" s="110">
        <v>0.40600000000000003</v>
      </c>
      <c r="W38" s="111">
        <v>5938.1966000000002</v>
      </c>
      <c r="X38" s="110">
        <v>0.41299999999999998</v>
      </c>
      <c r="Y38" s="111">
        <v>2414.9749999999999</v>
      </c>
      <c r="Z38" s="110">
        <v>0.25</v>
      </c>
      <c r="AA38" s="111">
        <v>6427.5</v>
      </c>
      <c r="AB38" s="110">
        <v>0.125</v>
      </c>
      <c r="AC38" s="111">
        <v>4863.6840000000002</v>
      </c>
      <c r="AD38" s="110">
        <v>0.105</v>
      </c>
      <c r="AF38" s="64">
        <v>36</v>
      </c>
      <c r="AG38" s="109">
        <v>7297.9835999999996</v>
      </c>
      <c r="AH38" s="111">
        <v>883.2</v>
      </c>
      <c r="AI38" s="109">
        <v>192</v>
      </c>
      <c r="AJ38" s="59">
        <v>8.199999999999999E-2</v>
      </c>
      <c r="AK38" s="59">
        <v>0.38400000000000001</v>
      </c>
      <c r="AL38" s="59">
        <v>0.38400000000000001</v>
      </c>
      <c r="AM38" s="110">
        <v>46.512</v>
      </c>
      <c r="AN38" s="111">
        <v>477.38760000000002</v>
      </c>
      <c r="AO38" s="59">
        <v>7.1999999999999995E-2</v>
      </c>
      <c r="AP38" s="55">
        <v>4.1000000000000002E-2</v>
      </c>
      <c r="AQ38" s="109">
        <v>26715.4</v>
      </c>
      <c r="AR38" s="111">
        <v>21550.05</v>
      </c>
      <c r="AS38" s="59">
        <v>0.59900000000000009</v>
      </c>
      <c r="AT38" s="55">
        <v>0.91799999999999993</v>
      </c>
      <c r="AU38" s="43"/>
      <c r="AV38" s="109">
        <v>1046.6300000000001</v>
      </c>
      <c r="AW38" s="110">
        <v>0.42499979696750673</v>
      </c>
      <c r="AX38" s="109">
        <v>984.81100000000004</v>
      </c>
      <c r="AY38" s="110">
        <v>0.61282576228998131</v>
      </c>
      <c r="AZ38" s="109">
        <v>1121.4780000000001</v>
      </c>
      <c r="BA38" s="110">
        <v>0.5784392407674851</v>
      </c>
      <c r="BB38" s="43"/>
      <c r="BC38" s="112">
        <v>51358.995000000003</v>
      </c>
      <c r="BD38" s="110">
        <v>0.73770491803278682</v>
      </c>
      <c r="BE38" s="43"/>
      <c r="BF38" s="157">
        <v>17503.446</v>
      </c>
      <c r="BG38" s="43">
        <v>0</v>
      </c>
      <c r="BH38" s="113">
        <v>0</v>
      </c>
      <c r="BI38" s="114">
        <v>0.53691552147239263</v>
      </c>
      <c r="BJ38" s="115">
        <v>0</v>
      </c>
      <c r="BK38" s="113">
        <v>0</v>
      </c>
      <c r="BL38" s="113">
        <v>0</v>
      </c>
      <c r="BM38" s="113">
        <v>0</v>
      </c>
      <c r="BN38" s="113">
        <v>5007.1940000000004</v>
      </c>
      <c r="BO38" s="114">
        <v>0.37150868081317706</v>
      </c>
      <c r="BP38" s="115">
        <v>0</v>
      </c>
      <c r="BQ38" s="43">
        <v>7668</v>
      </c>
      <c r="BR38" s="43">
        <v>650.75806136999995</v>
      </c>
      <c r="BS38" s="43"/>
      <c r="BT38" s="116">
        <v>-700</v>
      </c>
      <c r="BU38" s="43">
        <v>0</v>
      </c>
      <c r="BV38" s="43">
        <v>4485</v>
      </c>
      <c r="BW38" s="43">
        <v>4485</v>
      </c>
      <c r="BX38" s="43">
        <v>0</v>
      </c>
      <c r="BY38" s="43">
        <v>0</v>
      </c>
      <c r="BZ38" s="43">
        <v>-5000</v>
      </c>
      <c r="CA38" s="43">
        <v>0</v>
      </c>
      <c r="CB38" s="43">
        <v>-5300</v>
      </c>
      <c r="CC38" s="43">
        <v>0</v>
      </c>
      <c r="CD38" s="43">
        <v>-4000</v>
      </c>
      <c r="CE38" s="43">
        <v>0</v>
      </c>
      <c r="CF38" s="43">
        <v>-4800</v>
      </c>
      <c r="CG38" s="43">
        <v>0</v>
      </c>
      <c r="CH38" s="43">
        <v>9837.3151799700008</v>
      </c>
      <c r="CI38" s="43">
        <v>9837.3151799700008</v>
      </c>
      <c r="CJ38" s="114">
        <v>14322.315179970001</v>
      </c>
      <c r="CK38" s="43"/>
      <c r="CL38" s="116">
        <v>-700</v>
      </c>
      <c r="CM38" s="43">
        <v>700</v>
      </c>
      <c r="CN38" s="43">
        <v>4485</v>
      </c>
      <c r="CO38" s="43">
        <v>0</v>
      </c>
      <c r="CP38" s="43">
        <v>0</v>
      </c>
      <c r="CQ38" s="43">
        <v>0</v>
      </c>
      <c r="CR38" s="43">
        <v>-5000</v>
      </c>
      <c r="CS38" s="43">
        <v>5000</v>
      </c>
      <c r="CT38" s="43">
        <v>-5300</v>
      </c>
      <c r="CU38" s="43">
        <v>5300</v>
      </c>
      <c r="CV38" s="43">
        <v>-4000</v>
      </c>
      <c r="CW38" s="43">
        <v>4000</v>
      </c>
      <c r="CX38" s="43">
        <v>-4800</v>
      </c>
      <c r="CY38" s="43">
        <v>4800</v>
      </c>
      <c r="CZ38" s="43">
        <v>9837.3151799700008</v>
      </c>
      <c r="DA38" s="43">
        <v>0</v>
      </c>
      <c r="DB38" s="114">
        <v>19800</v>
      </c>
      <c r="DC38" s="43"/>
      <c r="DD38" s="117">
        <v>41064.275000000001</v>
      </c>
      <c r="DE38" s="55">
        <v>1773.171</v>
      </c>
      <c r="DF38" s="59">
        <v>2343.1471163831998</v>
      </c>
      <c r="DG38" s="59">
        <v>45180.593116383207</v>
      </c>
      <c r="DH38" s="117">
        <v>12487.821</v>
      </c>
      <c r="DI38" s="117">
        <v>58423.411</v>
      </c>
      <c r="DJ38" s="55">
        <v>6288</v>
      </c>
      <c r="DK38" s="114">
        <v>64711.411</v>
      </c>
      <c r="DL38" s="43"/>
      <c r="DM38" s="117">
        <v>984.71400000000006</v>
      </c>
      <c r="DN38" s="55">
        <v>10555.905846475949</v>
      </c>
      <c r="DO38" s="55">
        <v>11540.619846475949</v>
      </c>
      <c r="DP38" s="59">
        <v>1623.017691862138</v>
      </c>
      <c r="DQ38" s="59">
        <v>2932.5738486661439</v>
      </c>
      <c r="DR38" s="59">
        <v>428.56177332999999</v>
      </c>
      <c r="DS38" s="55">
        <v>3361.135621996144</v>
      </c>
      <c r="DT38" s="55">
        <v>162.92076937034139</v>
      </c>
      <c r="DU38" s="55">
        <v>162.92076937034139</v>
      </c>
      <c r="DW38" s="121">
        <v>0</v>
      </c>
      <c r="DX38" s="122">
        <v>6779.6610170000004</v>
      </c>
      <c r="DY38" s="128">
        <v>1447.7400829999999</v>
      </c>
      <c r="DZ38" s="128">
        <v>0</v>
      </c>
      <c r="EA38" s="121">
        <v>0</v>
      </c>
      <c r="EB38" s="122">
        <v>1553.672292</v>
      </c>
      <c r="EC38" s="121">
        <v>0</v>
      </c>
      <c r="ED38" s="122">
        <v>1271.1864410000001</v>
      </c>
      <c r="EE38" s="121">
        <v>0</v>
      </c>
      <c r="EF38" s="122">
        <v>847.5</v>
      </c>
      <c r="EG38" s="121">
        <v>0</v>
      </c>
      <c r="EH38" s="122">
        <v>7397.5988710000001</v>
      </c>
      <c r="EI38" s="121">
        <v>0</v>
      </c>
      <c r="EJ38" s="122">
        <v>6779.6610170000004</v>
      </c>
      <c r="EK38" s="129">
        <v>1553.672292</v>
      </c>
      <c r="EL38" s="130">
        <v>847.5</v>
      </c>
      <c r="EM38" s="131">
        <v>735.83500000000004</v>
      </c>
      <c r="EN38" s="129">
        <v>428.56177332999999</v>
      </c>
      <c r="EO38" s="129">
        <v>10964.025395000001</v>
      </c>
      <c r="EP38" s="129">
        <v>0</v>
      </c>
      <c r="ER38" s="157">
        <v>0</v>
      </c>
      <c r="ES38" s="37">
        <v>0</v>
      </c>
      <c r="ET38" s="55">
        <f t="shared" si="1"/>
        <v>0</v>
      </c>
      <c r="EU38" s="157">
        <v>0</v>
      </c>
      <c r="EV38" s="37">
        <v>0</v>
      </c>
      <c r="EW38" s="55">
        <f t="shared" si="8"/>
        <v>0</v>
      </c>
      <c r="EY38" s="166">
        <v>0</v>
      </c>
      <c r="EZ38" s="37">
        <v>3156.57</v>
      </c>
      <c r="FA38" s="164">
        <f t="shared" si="2"/>
        <v>0.23203283156840868</v>
      </c>
      <c r="FB38" s="5">
        <v>4613</v>
      </c>
      <c r="FC38" s="164">
        <f t="shared" si="3"/>
        <v>1</v>
      </c>
      <c r="FE38" s="5"/>
      <c r="FF38" s="166">
        <v>0</v>
      </c>
      <c r="FG38" s="37">
        <v>10423.35</v>
      </c>
      <c r="FH38" s="164">
        <f t="shared" si="4"/>
        <v>0.78248972467766453</v>
      </c>
      <c r="FI38" s="5">
        <v>0</v>
      </c>
      <c r="FJ38" s="164">
        <f t="shared" si="5"/>
        <v>0</v>
      </c>
      <c r="FL38" s="169">
        <v>7873</v>
      </c>
      <c r="FM38" s="170">
        <f t="shared" si="6"/>
        <v>0.68245451314546257</v>
      </c>
      <c r="FN38" s="169">
        <v>2591</v>
      </c>
      <c r="FO38" s="170">
        <f t="shared" si="7"/>
        <v>0.82634348588741824</v>
      </c>
    </row>
    <row r="39" spans="16:171" x14ac:dyDescent="0.35">
      <c r="P39" s="64">
        <v>37</v>
      </c>
      <c r="Q39" s="109">
        <v>31789</v>
      </c>
      <c r="R39" s="110">
        <v>0.38300000000000001</v>
      </c>
      <c r="S39" s="111">
        <v>1773.0450000000001</v>
      </c>
      <c r="T39" s="110">
        <v>0.36899999999999999</v>
      </c>
      <c r="U39" s="111">
        <v>14700</v>
      </c>
      <c r="V39" s="110">
        <v>0.49</v>
      </c>
      <c r="W39" s="111">
        <v>7577.3113999999996</v>
      </c>
      <c r="X39" s="110">
        <v>0.52699999999999991</v>
      </c>
      <c r="Y39" s="111">
        <v>3197.4268999999999</v>
      </c>
      <c r="Z39" s="110">
        <v>0.33100000000000002</v>
      </c>
      <c r="AA39" s="111">
        <v>8124.36</v>
      </c>
      <c r="AB39" s="110">
        <v>0.158</v>
      </c>
      <c r="AC39" s="111">
        <v>6160.6664000000001</v>
      </c>
      <c r="AD39" s="110">
        <v>0.13299999999999998</v>
      </c>
      <c r="AF39" s="64">
        <v>37</v>
      </c>
      <c r="AG39" s="109">
        <v>7742.9826000000003</v>
      </c>
      <c r="AH39" s="111">
        <v>901.6</v>
      </c>
      <c r="AI39" s="109">
        <v>196</v>
      </c>
      <c r="AJ39" s="59">
        <v>8.6999999999999994E-2</v>
      </c>
      <c r="AK39" s="59">
        <v>0.39200000000000002</v>
      </c>
      <c r="AL39" s="59">
        <v>0.39200000000000002</v>
      </c>
      <c r="AM39" s="110">
        <v>40.052</v>
      </c>
      <c r="AN39" s="111">
        <v>384.23880000000003</v>
      </c>
      <c r="AO39" s="59">
        <v>6.2E-2</v>
      </c>
      <c r="AP39" s="55">
        <v>3.3000000000000002E-2</v>
      </c>
      <c r="AQ39" s="109">
        <v>26670.799999999999</v>
      </c>
      <c r="AR39" s="111">
        <v>21550.05</v>
      </c>
      <c r="AS39" s="59">
        <v>0.59799999999999998</v>
      </c>
      <c r="AT39" s="55">
        <v>0.91799999999999993</v>
      </c>
      <c r="AU39" s="43"/>
      <c r="AV39" s="109">
        <v>1022.004</v>
      </c>
      <c r="AW39" s="110">
        <v>0.4150000406064987</v>
      </c>
      <c r="AX39" s="109">
        <v>987.846</v>
      </c>
      <c r="AY39" s="110">
        <v>0.61471437461107659</v>
      </c>
      <c r="AZ39" s="109">
        <v>1121.4780000000001</v>
      </c>
      <c r="BA39" s="110">
        <v>0.5784392407674851</v>
      </c>
      <c r="BB39" s="43"/>
      <c r="BC39" s="112">
        <v>51358.995000000003</v>
      </c>
      <c r="BD39" s="110">
        <v>0.73770491803278682</v>
      </c>
      <c r="BE39" s="43"/>
      <c r="BF39" s="157">
        <v>19904.739000000001</v>
      </c>
      <c r="BG39" s="43">
        <v>0</v>
      </c>
      <c r="BH39" s="113">
        <v>0</v>
      </c>
      <c r="BI39" s="114">
        <v>0.61057481595092034</v>
      </c>
      <c r="BJ39" s="115">
        <v>0</v>
      </c>
      <c r="BK39" s="113">
        <v>0</v>
      </c>
      <c r="BL39" s="113">
        <v>0</v>
      </c>
      <c r="BM39" s="113">
        <v>0</v>
      </c>
      <c r="BN39" s="113">
        <v>6083.3549999999996</v>
      </c>
      <c r="BO39" s="114">
        <v>0.4513544294405698</v>
      </c>
      <c r="BP39" s="115">
        <v>0</v>
      </c>
      <c r="BQ39" s="43">
        <v>7668</v>
      </c>
      <c r="BR39" s="43">
        <v>0</v>
      </c>
      <c r="BS39" s="43"/>
      <c r="BT39" s="116">
        <v>-700</v>
      </c>
      <c r="BU39" s="43">
        <v>0</v>
      </c>
      <c r="BV39" s="43">
        <v>4485</v>
      </c>
      <c r="BW39" s="43">
        <v>4485</v>
      </c>
      <c r="BX39" s="43">
        <v>0</v>
      </c>
      <c r="BY39" s="43">
        <v>0</v>
      </c>
      <c r="BZ39" s="43">
        <v>-5000</v>
      </c>
      <c r="CA39" s="43">
        <v>0</v>
      </c>
      <c r="CB39" s="43">
        <v>-5300</v>
      </c>
      <c r="CC39" s="43">
        <v>0</v>
      </c>
      <c r="CD39" s="43">
        <v>-4000</v>
      </c>
      <c r="CE39" s="43">
        <v>0</v>
      </c>
      <c r="CF39" s="43">
        <v>-4800</v>
      </c>
      <c r="CG39" s="43">
        <v>0</v>
      </c>
      <c r="CH39" s="43">
        <v>10267.1362993</v>
      </c>
      <c r="CI39" s="43">
        <v>10267.1362993</v>
      </c>
      <c r="CJ39" s="114">
        <v>14752.1362993</v>
      </c>
      <c r="CK39" s="43"/>
      <c r="CL39" s="116">
        <v>-700</v>
      </c>
      <c r="CM39" s="43">
        <v>700</v>
      </c>
      <c r="CN39" s="43">
        <v>4485</v>
      </c>
      <c r="CO39" s="43">
        <v>0</v>
      </c>
      <c r="CP39" s="43">
        <v>0</v>
      </c>
      <c r="CQ39" s="43">
        <v>0</v>
      </c>
      <c r="CR39" s="43">
        <v>-5000</v>
      </c>
      <c r="CS39" s="43">
        <v>5000</v>
      </c>
      <c r="CT39" s="43">
        <v>-5300</v>
      </c>
      <c r="CU39" s="43">
        <v>5300</v>
      </c>
      <c r="CV39" s="43">
        <v>-4000</v>
      </c>
      <c r="CW39" s="43">
        <v>4000</v>
      </c>
      <c r="CX39" s="43">
        <v>-4800</v>
      </c>
      <c r="CY39" s="43">
        <v>4800</v>
      </c>
      <c r="CZ39" s="43">
        <v>10267.1362993</v>
      </c>
      <c r="DA39" s="43">
        <v>0</v>
      </c>
      <c r="DB39" s="114">
        <v>19800</v>
      </c>
      <c r="DC39" s="43"/>
      <c r="DD39" s="117">
        <v>41324.968000000001</v>
      </c>
      <c r="DE39" s="55">
        <v>1729.674</v>
      </c>
      <c r="DF39" s="59">
        <v>2542.0386568734998</v>
      </c>
      <c r="DG39" s="59">
        <v>45596.680656873497</v>
      </c>
      <c r="DH39" s="117">
        <v>13561.127</v>
      </c>
      <c r="DI39" s="117">
        <v>59705.411</v>
      </c>
      <c r="DJ39" s="55">
        <v>6020</v>
      </c>
      <c r="DK39" s="114">
        <v>65725.410999999993</v>
      </c>
      <c r="DL39" s="43"/>
      <c r="DM39" s="117">
        <v>950.90099999999995</v>
      </c>
      <c r="DN39" s="55">
        <v>10540.1958456256</v>
      </c>
      <c r="DO39" s="55">
        <v>11491.0968456256</v>
      </c>
      <c r="DP39" s="59">
        <v>1571.461651611138</v>
      </c>
      <c r="DQ39" s="59">
        <v>2924.2959742409021</v>
      </c>
      <c r="DR39" s="59">
        <v>436.83964775999999</v>
      </c>
      <c r="DS39" s="55">
        <v>3361.135622000902</v>
      </c>
      <c r="DT39" s="55">
        <v>162.46088745782791</v>
      </c>
      <c r="DU39" s="55">
        <v>162.46088745782791</v>
      </c>
      <c r="DW39" s="121">
        <v>0</v>
      </c>
      <c r="DX39" s="122">
        <v>6779.6610170000004</v>
      </c>
      <c r="DY39" s="128">
        <v>1447.7400829999999</v>
      </c>
      <c r="DZ39" s="128">
        <v>0</v>
      </c>
      <c r="EA39" s="121">
        <v>0</v>
      </c>
      <c r="EB39" s="122">
        <v>702.95252817000005</v>
      </c>
      <c r="EC39" s="121">
        <v>0</v>
      </c>
      <c r="ED39" s="122">
        <v>1271.1864410000001</v>
      </c>
      <c r="EE39" s="121">
        <v>0</v>
      </c>
      <c r="EF39" s="122">
        <v>847.5</v>
      </c>
      <c r="EG39" s="121">
        <v>0</v>
      </c>
      <c r="EH39" s="122">
        <v>7397.5988710000001</v>
      </c>
      <c r="EI39" s="121">
        <v>0</v>
      </c>
      <c r="EJ39" s="122">
        <v>6779.6610170000004</v>
      </c>
      <c r="EK39" s="129">
        <v>702.95252817000005</v>
      </c>
      <c r="EL39" s="130">
        <v>847.5</v>
      </c>
      <c r="EM39" s="131">
        <v>735.83500000000004</v>
      </c>
      <c r="EN39" s="129">
        <v>436.83964775999999</v>
      </c>
      <c r="EO39" s="129">
        <v>10964.025395000001</v>
      </c>
      <c r="EP39" s="129">
        <v>0</v>
      </c>
      <c r="ER39" s="157">
        <v>0</v>
      </c>
      <c r="ES39" s="37">
        <v>0</v>
      </c>
      <c r="ET39" s="55">
        <f t="shared" si="1"/>
        <v>0</v>
      </c>
      <c r="EU39" s="157">
        <v>0</v>
      </c>
      <c r="EV39" s="37">
        <v>0</v>
      </c>
      <c r="EW39" s="55">
        <f t="shared" si="8"/>
        <v>0</v>
      </c>
      <c r="EY39" s="166">
        <v>0</v>
      </c>
      <c r="EZ39" s="37">
        <v>3156.57</v>
      </c>
      <c r="FA39" s="164">
        <f t="shared" si="2"/>
        <v>0.23203283156840868</v>
      </c>
      <c r="FB39" s="5">
        <v>4613</v>
      </c>
      <c r="FC39" s="164">
        <f t="shared" si="3"/>
        <v>1</v>
      </c>
      <c r="FE39" s="5"/>
      <c r="FF39" s="166">
        <v>0</v>
      </c>
      <c r="FG39" s="37">
        <v>10423.35</v>
      </c>
      <c r="FH39" s="164">
        <f t="shared" si="4"/>
        <v>0.78248972467766453</v>
      </c>
      <c r="FI39" s="5">
        <v>0</v>
      </c>
      <c r="FJ39" s="164">
        <f t="shared" si="5"/>
        <v>0</v>
      </c>
      <c r="FL39" s="169">
        <v>7873</v>
      </c>
      <c r="FM39" s="170">
        <f t="shared" si="6"/>
        <v>0.68245451314546257</v>
      </c>
      <c r="FN39" s="169">
        <v>2591</v>
      </c>
      <c r="FO39" s="170">
        <f t="shared" si="7"/>
        <v>0.82634348588741824</v>
      </c>
    </row>
    <row r="40" spans="16:171" x14ac:dyDescent="0.35">
      <c r="P40" s="64">
        <v>38</v>
      </c>
      <c r="Q40" s="109">
        <v>32702</v>
      </c>
      <c r="R40" s="110">
        <v>0.39400000000000002</v>
      </c>
      <c r="S40" s="111">
        <v>1922</v>
      </c>
      <c r="T40" s="110">
        <v>0.4</v>
      </c>
      <c r="U40" s="111">
        <v>15330</v>
      </c>
      <c r="V40" s="110">
        <v>0.51100000000000001</v>
      </c>
      <c r="W40" s="111">
        <v>8224.3304000000007</v>
      </c>
      <c r="X40" s="110">
        <v>0.57200000000000006</v>
      </c>
      <c r="Y40" s="111">
        <v>3516.2035999999998</v>
      </c>
      <c r="Z40" s="110">
        <v>0.36399999999999999</v>
      </c>
      <c r="AA40" s="111">
        <v>8741.4</v>
      </c>
      <c r="AB40" s="110">
        <v>0.16999999999999998</v>
      </c>
      <c r="AC40" s="111">
        <v>6577.5536000000002</v>
      </c>
      <c r="AD40" s="110">
        <v>0.14199999999999999</v>
      </c>
      <c r="AF40" s="64">
        <v>38</v>
      </c>
      <c r="AG40" s="109">
        <v>7920.9822000000004</v>
      </c>
      <c r="AH40" s="111">
        <v>917.7</v>
      </c>
      <c r="AI40" s="109">
        <v>199.5</v>
      </c>
      <c r="AJ40" s="59">
        <v>8.8999999999999996E-2</v>
      </c>
      <c r="AK40" s="59">
        <v>0.39900000000000002</v>
      </c>
      <c r="AL40" s="59">
        <v>0.39900000000000002</v>
      </c>
      <c r="AM40" s="110">
        <v>34.884</v>
      </c>
      <c r="AN40" s="111">
        <v>291.08999999999997</v>
      </c>
      <c r="AO40" s="59">
        <v>5.3999999999999999E-2</v>
      </c>
      <c r="AP40" s="55">
        <v>2.4999999999999998E-2</v>
      </c>
      <c r="AQ40" s="109">
        <v>27964.2</v>
      </c>
      <c r="AR40" s="111">
        <v>21573.525000000001</v>
      </c>
      <c r="AS40" s="59">
        <v>0.627</v>
      </c>
      <c r="AT40" s="55">
        <v>0.91900000000000004</v>
      </c>
      <c r="AU40" s="43"/>
      <c r="AV40" s="109">
        <v>1029.3920000000001</v>
      </c>
      <c r="AW40" s="110">
        <v>0.41800004872779845</v>
      </c>
      <c r="AX40" s="109">
        <v>987.125</v>
      </c>
      <c r="AY40" s="110">
        <v>0.61426571250777851</v>
      </c>
      <c r="AZ40" s="109">
        <v>1121.4780000000001</v>
      </c>
      <c r="BA40" s="110">
        <v>0.5784392407674851</v>
      </c>
      <c r="BB40" s="43"/>
      <c r="BC40" s="112">
        <v>51358.995000000003</v>
      </c>
      <c r="BD40" s="110">
        <v>0.73770491803278682</v>
      </c>
      <c r="BE40" s="43"/>
      <c r="BF40" s="157">
        <v>20607.505000000001</v>
      </c>
      <c r="BG40" s="43">
        <v>0</v>
      </c>
      <c r="BH40" s="113">
        <v>0</v>
      </c>
      <c r="BI40" s="114">
        <v>0.63213205521472393</v>
      </c>
      <c r="BJ40" s="115">
        <v>0</v>
      </c>
      <c r="BK40" s="113">
        <v>0</v>
      </c>
      <c r="BL40" s="113">
        <v>0</v>
      </c>
      <c r="BM40" s="113">
        <v>0</v>
      </c>
      <c r="BN40" s="113">
        <v>6456.473</v>
      </c>
      <c r="BO40" s="114">
        <v>0.47903791363703813</v>
      </c>
      <c r="BP40" s="115">
        <v>0</v>
      </c>
      <c r="BQ40" s="43">
        <v>7668</v>
      </c>
      <c r="BR40" s="43">
        <v>0</v>
      </c>
      <c r="BS40" s="43"/>
      <c r="BT40" s="116">
        <v>-700</v>
      </c>
      <c r="BU40" s="43">
        <v>0</v>
      </c>
      <c r="BV40" s="43">
        <v>4485</v>
      </c>
      <c r="BW40" s="43">
        <v>4485</v>
      </c>
      <c r="BX40" s="43">
        <v>0</v>
      </c>
      <c r="BY40" s="43">
        <v>0</v>
      </c>
      <c r="BZ40" s="43">
        <v>-5000</v>
      </c>
      <c r="CA40" s="43">
        <v>0</v>
      </c>
      <c r="CB40" s="43">
        <v>-5300</v>
      </c>
      <c r="CC40" s="43">
        <v>0</v>
      </c>
      <c r="CD40" s="43">
        <v>-4000</v>
      </c>
      <c r="CE40" s="43">
        <v>0</v>
      </c>
      <c r="CF40" s="43">
        <v>-4800</v>
      </c>
      <c r="CG40" s="43">
        <v>0</v>
      </c>
      <c r="CH40" s="43">
        <v>12505.57106643</v>
      </c>
      <c r="CI40" s="43">
        <v>12505.57106643</v>
      </c>
      <c r="CJ40" s="114">
        <v>16990.571066429999</v>
      </c>
      <c r="CK40" s="43"/>
      <c r="CL40" s="116">
        <v>-700</v>
      </c>
      <c r="CM40" s="43">
        <v>700</v>
      </c>
      <c r="CN40" s="43">
        <v>4485</v>
      </c>
      <c r="CO40" s="43">
        <v>0</v>
      </c>
      <c r="CP40" s="43">
        <v>0</v>
      </c>
      <c r="CQ40" s="43">
        <v>0</v>
      </c>
      <c r="CR40" s="43">
        <v>-5000</v>
      </c>
      <c r="CS40" s="43">
        <v>5000</v>
      </c>
      <c r="CT40" s="43">
        <v>-5300</v>
      </c>
      <c r="CU40" s="43">
        <v>5300</v>
      </c>
      <c r="CV40" s="43">
        <v>-4000</v>
      </c>
      <c r="CW40" s="43">
        <v>4000</v>
      </c>
      <c r="CX40" s="43">
        <v>-4800</v>
      </c>
      <c r="CY40" s="43">
        <v>4800</v>
      </c>
      <c r="CZ40" s="43">
        <v>12505.57106643</v>
      </c>
      <c r="DA40" s="43">
        <v>0</v>
      </c>
      <c r="DB40" s="114">
        <v>19800</v>
      </c>
      <c r="DC40" s="43"/>
      <c r="DD40" s="117">
        <v>41191.855000000003</v>
      </c>
      <c r="DE40" s="55">
        <v>1727.9839999999999</v>
      </c>
      <c r="DF40" s="59">
        <v>2244.6574105519999</v>
      </c>
      <c r="DG40" s="59">
        <v>45164.496410551998</v>
      </c>
      <c r="DH40" s="117">
        <v>13657.120999999999</v>
      </c>
      <c r="DI40" s="117">
        <v>58034.411</v>
      </c>
      <c r="DJ40" s="55">
        <v>5894</v>
      </c>
      <c r="DK40" s="114">
        <v>63928.411</v>
      </c>
      <c r="DL40" s="43"/>
      <c r="DM40" s="117">
        <v>935.89200000000005</v>
      </c>
      <c r="DN40" s="55">
        <v>10540.1958456256</v>
      </c>
      <c r="DO40" s="55">
        <v>11476.0878456256</v>
      </c>
      <c r="DP40" s="59">
        <v>1597.239671736638</v>
      </c>
      <c r="DQ40" s="59">
        <v>2924.2959742409021</v>
      </c>
      <c r="DR40" s="59">
        <v>436.83964775999999</v>
      </c>
      <c r="DS40" s="55">
        <v>3361.135622000902</v>
      </c>
      <c r="DT40" s="55">
        <v>162.46088745782791</v>
      </c>
      <c r="DU40" s="55">
        <v>162.46088745782791</v>
      </c>
      <c r="DW40" s="121">
        <v>0</v>
      </c>
      <c r="DX40" s="122">
        <v>6779.6610170000004</v>
      </c>
      <c r="DY40" s="128">
        <v>1447.7400829999999</v>
      </c>
      <c r="DZ40" s="128">
        <v>0</v>
      </c>
      <c r="EA40" s="121">
        <v>0</v>
      </c>
      <c r="EB40" s="122">
        <v>1492.3400330899999</v>
      </c>
      <c r="EC40" s="121">
        <v>0</v>
      </c>
      <c r="ED40" s="122">
        <v>1271.1864410000001</v>
      </c>
      <c r="EE40" s="121">
        <v>0</v>
      </c>
      <c r="EF40" s="122">
        <v>847.5</v>
      </c>
      <c r="EG40" s="121">
        <v>0</v>
      </c>
      <c r="EH40" s="122">
        <v>7397.5988710000001</v>
      </c>
      <c r="EI40" s="121">
        <v>0</v>
      </c>
      <c r="EJ40" s="122">
        <v>6779.6610170000004</v>
      </c>
      <c r="EK40" s="129">
        <v>1492.3400330899999</v>
      </c>
      <c r="EL40" s="130">
        <v>847.5</v>
      </c>
      <c r="EM40" s="131">
        <v>735.83500000000004</v>
      </c>
      <c r="EN40" s="129">
        <v>436.83964775999999</v>
      </c>
      <c r="EO40" s="129">
        <v>10964.025395000001</v>
      </c>
      <c r="EP40" s="129">
        <v>0</v>
      </c>
      <c r="ER40" s="157">
        <v>0</v>
      </c>
      <c r="ES40" s="37">
        <v>0</v>
      </c>
      <c r="ET40" s="55">
        <f t="shared" si="1"/>
        <v>0</v>
      </c>
      <c r="EU40" s="157">
        <v>0</v>
      </c>
      <c r="EV40" s="37">
        <v>0</v>
      </c>
      <c r="EW40" s="55">
        <f t="shared" si="8"/>
        <v>0</v>
      </c>
      <c r="EY40" s="166">
        <v>0</v>
      </c>
      <c r="EZ40" s="37">
        <v>0</v>
      </c>
      <c r="FA40" s="164">
        <f t="shared" si="2"/>
        <v>0</v>
      </c>
      <c r="FB40" s="5">
        <v>4613</v>
      </c>
      <c r="FC40" s="164">
        <f t="shared" si="3"/>
        <v>1</v>
      </c>
      <c r="FE40" s="5"/>
      <c r="FF40" s="166">
        <v>0</v>
      </c>
      <c r="FG40" s="37">
        <v>10423.35</v>
      </c>
      <c r="FH40" s="164">
        <f t="shared" si="4"/>
        <v>0.78248972467766453</v>
      </c>
      <c r="FI40" s="5">
        <v>0</v>
      </c>
      <c r="FJ40" s="164">
        <f t="shared" si="5"/>
        <v>0</v>
      </c>
      <c r="FL40" s="169">
        <v>7873</v>
      </c>
      <c r="FM40" s="170">
        <f t="shared" si="6"/>
        <v>0.68245451314546257</v>
      </c>
      <c r="FN40" s="169">
        <v>2591</v>
      </c>
      <c r="FO40" s="170">
        <f t="shared" si="7"/>
        <v>0.82634348588741824</v>
      </c>
    </row>
    <row r="41" spans="16:171" x14ac:dyDescent="0.35">
      <c r="P41" s="64">
        <v>39</v>
      </c>
      <c r="Q41" s="109">
        <v>33034</v>
      </c>
      <c r="R41" s="110">
        <v>0.39800000000000002</v>
      </c>
      <c r="S41" s="111">
        <v>1744.2149999999999</v>
      </c>
      <c r="T41" s="110">
        <v>0.36299999999999999</v>
      </c>
      <c r="U41" s="111">
        <v>14100</v>
      </c>
      <c r="V41" s="110">
        <v>0.47</v>
      </c>
      <c r="W41" s="111">
        <v>7821.7407999999996</v>
      </c>
      <c r="X41" s="110">
        <v>0.54399999999999993</v>
      </c>
      <c r="Y41" s="111">
        <v>3313.3456999999999</v>
      </c>
      <c r="Z41" s="110">
        <v>0.34299999999999997</v>
      </c>
      <c r="AA41" s="111">
        <v>7970.1</v>
      </c>
      <c r="AB41" s="110">
        <v>0.155</v>
      </c>
      <c r="AC41" s="111">
        <v>5882.7416000000003</v>
      </c>
      <c r="AD41" s="110">
        <v>0.127</v>
      </c>
      <c r="AF41" s="64">
        <v>39</v>
      </c>
      <c r="AG41" s="109">
        <v>7475.9831999999997</v>
      </c>
      <c r="AH41" s="111">
        <v>913.1</v>
      </c>
      <c r="AI41" s="109">
        <v>198.5</v>
      </c>
      <c r="AJ41" s="59">
        <v>8.3999999999999991E-2</v>
      </c>
      <c r="AK41" s="59">
        <v>0.39700000000000002</v>
      </c>
      <c r="AL41" s="59">
        <v>0.39700000000000002</v>
      </c>
      <c r="AM41" s="110">
        <v>32.299999999999997</v>
      </c>
      <c r="AN41" s="111">
        <v>244.51560000000001</v>
      </c>
      <c r="AO41" s="59">
        <v>4.9999999999999996E-2</v>
      </c>
      <c r="AP41" s="55">
        <v>2.1000000000000001E-2</v>
      </c>
      <c r="AQ41" s="109">
        <v>30417.200000000001</v>
      </c>
      <c r="AR41" s="111">
        <v>21690.9</v>
      </c>
      <c r="AS41" s="59">
        <v>0.68200000000000005</v>
      </c>
      <c r="AT41" s="55">
        <v>0.92400000000000004</v>
      </c>
      <c r="AU41" s="43"/>
      <c r="AV41" s="109">
        <v>1058.944</v>
      </c>
      <c r="AW41" s="110">
        <v>0.43000008121299732</v>
      </c>
      <c r="AX41" s="109">
        <v>974.24900000000002</v>
      </c>
      <c r="AY41" s="110">
        <v>0.60625326695706283</v>
      </c>
      <c r="AZ41" s="109">
        <v>1121.4780000000001</v>
      </c>
      <c r="BA41" s="110">
        <v>0.5784392407674851</v>
      </c>
      <c r="BB41" s="43"/>
      <c r="BC41" s="112">
        <v>51358.995000000003</v>
      </c>
      <c r="BD41" s="110">
        <v>0.73770491803278682</v>
      </c>
      <c r="BE41" s="43"/>
      <c r="BF41" s="157">
        <v>19682.165000000001</v>
      </c>
      <c r="BG41" s="43">
        <v>0</v>
      </c>
      <c r="BH41" s="113">
        <v>0</v>
      </c>
      <c r="BI41" s="114">
        <v>0.60374739263803678</v>
      </c>
      <c r="BJ41" s="115">
        <v>0</v>
      </c>
      <c r="BK41" s="113">
        <v>0</v>
      </c>
      <c r="BL41" s="113">
        <v>0</v>
      </c>
      <c r="BM41" s="113">
        <v>0</v>
      </c>
      <c r="BN41" s="113">
        <v>6120.7479999999996</v>
      </c>
      <c r="BO41" s="114">
        <v>0.45412880249295146</v>
      </c>
      <c r="BP41" s="115">
        <v>0</v>
      </c>
      <c r="BQ41" s="43">
        <v>7668</v>
      </c>
      <c r="BR41" s="43">
        <v>0</v>
      </c>
      <c r="BS41" s="43"/>
      <c r="BT41" s="116">
        <v>-700</v>
      </c>
      <c r="BU41" s="43">
        <v>0</v>
      </c>
      <c r="BV41" s="43">
        <v>4485</v>
      </c>
      <c r="BW41" s="43">
        <v>4485</v>
      </c>
      <c r="BX41" s="43">
        <v>0</v>
      </c>
      <c r="BY41" s="43">
        <v>0</v>
      </c>
      <c r="BZ41" s="43">
        <v>-5000</v>
      </c>
      <c r="CA41" s="43">
        <v>0</v>
      </c>
      <c r="CB41" s="43">
        <v>-5300</v>
      </c>
      <c r="CC41" s="43">
        <v>0</v>
      </c>
      <c r="CD41" s="43">
        <v>-4000</v>
      </c>
      <c r="CE41" s="43">
        <v>0</v>
      </c>
      <c r="CF41" s="43">
        <v>-4800</v>
      </c>
      <c r="CG41" s="43">
        <v>0</v>
      </c>
      <c r="CH41" s="43">
        <v>12019.00884916</v>
      </c>
      <c r="CI41" s="43">
        <v>12019.00884916</v>
      </c>
      <c r="CJ41" s="114">
        <v>16504.00884916</v>
      </c>
      <c r="CK41" s="43"/>
      <c r="CL41" s="116">
        <v>-700</v>
      </c>
      <c r="CM41" s="43">
        <v>700</v>
      </c>
      <c r="CN41" s="43">
        <v>4485</v>
      </c>
      <c r="CO41" s="43">
        <v>0</v>
      </c>
      <c r="CP41" s="43">
        <v>0</v>
      </c>
      <c r="CQ41" s="43">
        <v>0</v>
      </c>
      <c r="CR41" s="43">
        <v>-5000</v>
      </c>
      <c r="CS41" s="43">
        <v>5000</v>
      </c>
      <c r="CT41" s="43">
        <v>-5300</v>
      </c>
      <c r="CU41" s="43">
        <v>5300</v>
      </c>
      <c r="CV41" s="43">
        <v>-4000</v>
      </c>
      <c r="CW41" s="43">
        <v>4000</v>
      </c>
      <c r="CX41" s="43">
        <v>-4800</v>
      </c>
      <c r="CY41" s="43">
        <v>4800</v>
      </c>
      <c r="CZ41" s="43">
        <v>12019.00884916</v>
      </c>
      <c r="DA41" s="43">
        <v>0</v>
      </c>
      <c r="DB41" s="114">
        <v>19800</v>
      </c>
      <c r="DC41" s="43"/>
      <c r="DD41" s="117">
        <v>40512.430999999997</v>
      </c>
      <c r="DE41" s="55">
        <v>1661.674</v>
      </c>
      <c r="DF41" s="59">
        <v>1668.4779494623999</v>
      </c>
      <c r="DG41" s="59">
        <v>43842.582949462398</v>
      </c>
      <c r="DH41" s="117">
        <v>13323.157999999999</v>
      </c>
      <c r="DI41" s="117">
        <v>57979.411</v>
      </c>
      <c r="DJ41" s="55">
        <v>5695</v>
      </c>
      <c r="DK41" s="114">
        <v>63674.411</v>
      </c>
      <c r="DL41" s="43"/>
      <c r="DM41" s="117">
        <v>931.04700000000003</v>
      </c>
      <c r="DN41" s="55">
        <v>10555.905846475949</v>
      </c>
      <c r="DO41" s="55">
        <v>11486.95284647595</v>
      </c>
      <c r="DP41" s="59">
        <v>1571.461651611138</v>
      </c>
      <c r="DQ41" s="59">
        <v>2932.5738486661439</v>
      </c>
      <c r="DR41" s="59">
        <v>428.56177332999999</v>
      </c>
      <c r="DS41" s="55">
        <v>3361.135621996144</v>
      </c>
      <c r="DT41" s="55">
        <v>162.92076937034139</v>
      </c>
      <c r="DU41" s="55">
        <v>162.92076937034139</v>
      </c>
      <c r="DW41" s="121">
        <v>0</v>
      </c>
      <c r="DX41" s="122">
        <v>6779.6610170000004</v>
      </c>
      <c r="DY41" s="128">
        <v>1447.7400829999999</v>
      </c>
      <c r="DZ41" s="128">
        <v>0</v>
      </c>
      <c r="EA41" s="121">
        <v>0</v>
      </c>
      <c r="EB41" s="122">
        <v>1553.672292</v>
      </c>
      <c r="EC41" s="121">
        <v>0</v>
      </c>
      <c r="ED41" s="122">
        <v>1271.1864410000001</v>
      </c>
      <c r="EE41" s="121">
        <v>0</v>
      </c>
      <c r="EF41" s="122">
        <v>847.5</v>
      </c>
      <c r="EG41" s="121">
        <v>0</v>
      </c>
      <c r="EH41" s="122">
        <v>7397.5988710000001</v>
      </c>
      <c r="EI41" s="121">
        <v>0</v>
      </c>
      <c r="EJ41" s="122">
        <v>6779.6610170000004</v>
      </c>
      <c r="EK41" s="129">
        <v>1553.672292</v>
      </c>
      <c r="EL41" s="130">
        <v>847.5</v>
      </c>
      <c r="EM41" s="131">
        <v>735.83500000000004</v>
      </c>
      <c r="EN41" s="129">
        <v>428.56177332999999</v>
      </c>
      <c r="EO41" s="129">
        <v>10964.025395000001</v>
      </c>
      <c r="EP41" s="129">
        <v>0</v>
      </c>
      <c r="ER41" s="157">
        <v>0</v>
      </c>
      <c r="ES41" s="37">
        <v>0</v>
      </c>
      <c r="ET41" s="55">
        <f t="shared" si="1"/>
        <v>0</v>
      </c>
      <c r="EU41" s="157">
        <v>0</v>
      </c>
      <c r="EV41" s="37">
        <v>0</v>
      </c>
      <c r="EW41" s="55">
        <f t="shared" si="8"/>
        <v>0</v>
      </c>
      <c r="EY41" s="166">
        <v>0</v>
      </c>
      <c r="EZ41" s="37">
        <v>3156.57</v>
      </c>
      <c r="FA41" s="164">
        <f t="shared" si="2"/>
        <v>0.23203283156840868</v>
      </c>
      <c r="FB41" s="5">
        <v>4613</v>
      </c>
      <c r="FC41" s="164">
        <f t="shared" si="3"/>
        <v>1</v>
      </c>
      <c r="FE41" s="5"/>
      <c r="FF41" s="166">
        <v>0</v>
      </c>
      <c r="FG41" s="37">
        <v>10423.35</v>
      </c>
      <c r="FH41" s="164">
        <f t="shared" si="4"/>
        <v>0.78248972467766453</v>
      </c>
      <c r="FI41" s="5">
        <v>0</v>
      </c>
      <c r="FJ41" s="164">
        <f t="shared" si="5"/>
        <v>0</v>
      </c>
      <c r="FL41" s="169">
        <v>7873</v>
      </c>
      <c r="FM41" s="170">
        <f t="shared" si="6"/>
        <v>0.68245451314546257</v>
      </c>
      <c r="FN41" s="169">
        <v>2591</v>
      </c>
      <c r="FO41" s="170">
        <f t="shared" si="7"/>
        <v>0.82634348588741824</v>
      </c>
    </row>
    <row r="42" spans="16:171" x14ac:dyDescent="0.35">
      <c r="P42" s="64">
        <v>40</v>
      </c>
      <c r="Q42" s="109">
        <v>31125</v>
      </c>
      <c r="R42" s="110">
        <v>0.375</v>
      </c>
      <c r="S42" s="111">
        <v>1273.325</v>
      </c>
      <c r="T42" s="110">
        <v>0.26500000000000001</v>
      </c>
      <c r="U42" s="111">
        <v>10860</v>
      </c>
      <c r="V42" s="110">
        <v>0.36199999999999999</v>
      </c>
      <c r="W42" s="111">
        <v>6427.0554000000002</v>
      </c>
      <c r="X42" s="110">
        <v>0.44700000000000001</v>
      </c>
      <c r="Y42" s="111">
        <v>2608.1729999999998</v>
      </c>
      <c r="Z42" s="110">
        <v>0.26999999999999996</v>
      </c>
      <c r="AA42" s="111">
        <v>5296.26</v>
      </c>
      <c r="AB42" s="110">
        <v>0.10300000000000001</v>
      </c>
      <c r="AC42" s="111">
        <v>3798.3056000000001</v>
      </c>
      <c r="AD42" s="110">
        <v>8.2000000000000003E-2</v>
      </c>
      <c r="AF42" s="64">
        <v>40</v>
      </c>
      <c r="AG42" s="109">
        <v>7030.9841999999999</v>
      </c>
      <c r="AH42" s="111">
        <v>899.3</v>
      </c>
      <c r="AI42" s="109">
        <v>195.5</v>
      </c>
      <c r="AJ42" s="59">
        <v>7.9000000000000001E-2</v>
      </c>
      <c r="AK42" s="59">
        <v>0.39099999999999996</v>
      </c>
      <c r="AL42" s="59">
        <v>0.39100000000000001</v>
      </c>
      <c r="AM42" s="110">
        <v>32.945999999999998</v>
      </c>
      <c r="AN42" s="111">
        <v>267.80279999999999</v>
      </c>
      <c r="AO42" s="59">
        <v>5.0999999999999997E-2</v>
      </c>
      <c r="AP42" s="55">
        <v>2.3E-2</v>
      </c>
      <c r="AQ42" s="109">
        <v>33896</v>
      </c>
      <c r="AR42" s="111">
        <v>21690.9</v>
      </c>
      <c r="AS42" s="59">
        <v>0.76</v>
      </c>
      <c r="AT42" s="55">
        <v>0.92400000000000004</v>
      </c>
      <c r="AU42" s="43"/>
      <c r="AV42" s="109">
        <v>1049.0930000000001</v>
      </c>
      <c r="AW42" s="110">
        <v>0.42599993502960221</v>
      </c>
      <c r="AX42" s="109">
        <v>966.42200000000003</v>
      </c>
      <c r="AY42" s="110">
        <v>0.60138270068450528</v>
      </c>
      <c r="AZ42" s="109">
        <v>1121.4780000000001</v>
      </c>
      <c r="BA42" s="110">
        <v>0.5784392407674851</v>
      </c>
      <c r="BB42" s="43"/>
      <c r="BC42" s="112">
        <v>51358.995000000003</v>
      </c>
      <c r="BD42" s="110">
        <v>0.73770491803278682</v>
      </c>
      <c r="BE42" s="43"/>
      <c r="BF42" s="157">
        <v>16983.482</v>
      </c>
      <c r="BG42" s="43">
        <v>0</v>
      </c>
      <c r="BH42" s="113">
        <v>0</v>
      </c>
      <c r="BI42" s="114">
        <v>0.52096570552147237</v>
      </c>
      <c r="BJ42" s="115">
        <v>0</v>
      </c>
      <c r="BK42" s="113">
        <v>0</v>
      </c>
      <c r="BL42" s="113">
        <v>0</v>
      </c>
      <c r="BM42" s="113">
        <v>0</v>
      </c>
      <c r="BN42" s="113">
        <v>5074.6880000000001</v>
      </c>
      <c r="BO42" s="114">
        <v>0.3765163970915566</v>
      </c>
      <c r="BP42" s="115">
        <v>0</v>
      </c>
      <c r="BQ42" s="43">
        <v>7668</v>
      </c>
      <c r="BR42" s="43">
        <v>0</v>
      </c>
      <c r="BS42" s="43"/>
      <c r="BT42" s="116">
        <v>-700</v>
      </c>
      <c r="BU42" s="43">
        <v>0</v>
      </c>
      <c r="BV42" s="43">
        <v>4485</v>
      </c>
      <c r="BW42" s="43">
        <v>4485</v>
      </c>
      <c r="BX42" s="43">
        <v>0</v>
      </c>
      <c r="BY42" s="43">
        <v>0</v>
      </c>
      <c r="BZ42" s="43">
        <v>-5000</v>
      </c>
      <c r="CA42" s="43">
        <v>0</v>
      </c>
      <c r="CB42" s="43">
        <v>-4449.9860174400001</v>
      </c>
      <c r="CC42" s="43">
        <v>0</v>
      </c>
      <c r="CD42" s="43">
        <v>-4000</v>
      </c>
      <c r="CE42" s="43">
        <v>0</v>
      </c>
      <c r="CF42" s="43">
        <v>-4800</v>
      </c>
      <c r="CG42" s="43">
        <v>0</v>
      </c>
      <c r="CH42" s="43">
        <v>12049.859515669999</v>
      </c>
      <c r="CI42" s="43">
        <v>12049.859515669999</v>
      </c>
      <c r="CJ42" s="114">
        <v>16534.859515669999</v>
      </c>
      <c r="CK42" s="43"/>
      <c r="CL42" s="116">
        <v>-700</v>
      </c>
      <c r="CM42" s="43">
        <v>700</v>
      </c>
      <c r="CN42" s="43">
        <v>4485</v>
      </c>
      <c r="CO42" s="43">
        <v>0</v>
      </c>
      <c r="CP42" s="43">
        <v>0</v>
      </c>
      <c r="CQ42" s="43">
        <v>0</v>
      </c>
      <c r="CR42" s="43">
        <v>-5000</v>
      </c>
      <c r="CS42" s="43">
        <v>5000</v>
      </c>
      <c r="CT42" s="43">
        <v>-4449.9860174400001</v>
      </c>
      <c r="CU42" s="43">
        <v>4449.9860174400001</v>
      </c>
      <c r="CV42" s="43">
        <v>-4000</v>
      </c>
      <c r="CW42" s="43">
        <v>4000</v>
      </c>
      <c r="CX42" s="43">
        <v>-4800</v>
      </c>
      <c r="CY42" s="43">
        <v>4800</v>
      </c>
      <c r="CZ42" s="43">
        <v>12049.859515669999</v>
      </c>
      <c r="DA42" s="43">
        <v>0</v>
      </c>
      <c r="DB42" s="114">
        <v>18949.986017440002</v>
      </c>
      <c r="DC42" s="43"/>
      <c r="DD42" s="117">
        <v>40419.427000000003</v>
      </c>
      <c r="DE42" s="55">
        <v>1780.068</v>
      </c>
      <c r="DF42" s="59">
        <v>1405.1539164794001</v>
      </c>
      <c r="DG42" s="59">
        <v>43604.648916479404</v>
      </c>
      <c r="DH42" s="117">
        <v>12518.2</v>
      </c>
      <c r="DI42" s="117">
        <v>59093.411</v>
      </c>
      <c r="DJ42" s="55">
        <v>5894</v>
      </c>
      <c r="DK42" s="114">
        <v>64987.411</v>
      </c>
      <c r="DL42" s="43"/>
      <c r="DM42" s="117">
        <v>935.28200000000004</v>
      </c>
      <c r="DN42" s="55">
        <v>10571.615847326309</v>
      </c>
      <c r="DO42" s="55">
        <v>11506.897847326309</v>
      </c>
      <c r="DP42" s="59">
        <v>1571.461651611138</v>
      </c>
      <c r="DQ42" s="59">
        <v>2940.8517230913872</v>
      </c>
      <c r="DR42" s="59">
        <v>0</v>
      </c>
      <c r="DS42" s="55">
        <v>2940.8517230913872</v>
      </c>
      <c r="DT42" s="55">
        <v>163.38065128285481</v>
      </c>
      <c r="DU42" s="55">
        <v>163.38065128285481</v>
      </c>
      <c r="DW42" s="121">
        <v>0</v>
      </c>
      <c r="DX42" s="122">
        <v>5990.2735120899997</v>
      </c>
      <c r="DY42" s="128">
        <v>1196.160083</v>
      </c>
      <c r="DZ42" s="128">
        <v>0</v>
      </c>
      <c r="EA42" s="121">
        <v>0</v>
      </c>
      <c r="EB42" s="122">
        <v>1553.672292</v>
      </c>
      <c r="EC42" s="121">
        <v>0</v>
      </c>
      <c r="ED42" s="122">
        <v>1153.6628350000001</v>
      </c>
      <c r="EE42" s="121">
        <v>0</v>
      </c>
      <c r="EF42" s="122">
        <v>847.5</v>
      </c>
      <c r="EG42" s="121">
        <v>0</v>
      </c>
      <c r="EH42" s="122">
        <v>7397.5988710000001</v>
      </c>
      <c r="EI42" s="121">
        <v>0</v>
      </c>
      <c r="EJ42" s="122">
        <v>5990.2735120899997</v>
      </c>
      <c r="EK42" s="129">
        <v>1553.672292</v>
      </c>
      <c r="EL42" s="130">
        <v>847.5</v>
      </c>
      <c r="EM42" s="131">
        <v>735.83500000000004</v>
      </c>
      <c r="EN42" s="129">
        <v>0</v>
      </c>
      <c r="EO42" s="129">
        <v>10594.921789</v>
      </c>
      <c r="EP42" s="129">
        <v>0</v>
      </c>
      <c r="ER42" s="157">
        <v>0</v>
      </c>
      <c r="ES42" s="37">
        <v>0</v>
      </c>
      <c r="ET42" s="55">
        <f t="shared" si="1"/>
        <v>0</v>
      </c>
      <c r="EU42" s="157">
        <v>0</v>
      </c>
      <c r="EV42" s="37">
        <v>0</v>
      </c>
      <c r="EW42" s="55">
        <f t="shared" si="8"/>
        <v>0</v>
      </c>
      <c r="EY42" s="166">
        <v>0</v>
      </c>
      <c r="EZ42" s="37">
        <v>0</v>
      </c>
      <c r="FA42" s="164">
        <f t="shared" si="2"/>
        <v>0</v>
      </c>
      <c r="FB42" s="5">
        <v>4613</v>
      </c>
      <c r="FC42" s="164">
        <f t="shared" si="3"/>
        <v>1</v>
      </c>
      <c r="FE42" s="5"/>
      <c r="FF42" s="166">
        <v>0</v>
      </c>
      <c r="FG42" s="37">
        <v>10423.35</v>
      </c>
      <c r="FH42" s="164">
        <f t="shared" si="4"/>
        <v>0.78248972467766453</v>
      </c>
      <c r="FI42" s="5">
        <v>0</v>
      </c>
      <c r="FJ42" s="164">
        <f t="shared" si="5"/>
        <v>0</v>
      </c>
      <c r="FL42" s="169">
        <v>7873</v>
      </c>
      <c r="FM42" s="170">
        <f t="shared" si="6"/>
        <v>0.68245451314546257</v>
      </c>
      <c r="FN42" s="169">
        <v>2591</v>
      </c>
      <c r="FO42" s="170">
        <f t="shared" si="7"/>
        <v>0.82634348588741824</v>
      </c>
    </row>
    <row r="43" spans="16:171" x14ac:dyDescent="0.35">
      <c r="P43" s="64">
        <v>41</v>
      </c>
      <c r="Q43" s="109">
        <v>21912</v>
      </c>
      <c r="R43" s="110">
        <v>0.26400000000000001</v>
      </c>
      <c r="S43" s="111">
        <v>639.06500000000005</v>
      </c>
      <c r="T43" s="110">
        <v>0.13300000000000001</v>
      </c>
      <c r="U43" s="111">
        <v>6390</v>
      </c>
      <c r="V43" s="110">
        <v>0.21299999999999999</v>
      </c>
      <c r="W43" s="111">
        <v>4327.8382000000001</v>
      </c>
      <c r="X43" s="110">
        <v>0.30099999999999999</v>
      </c>
      <c r="Y43" s="111">
        <v>1603.5434</v>
      </c>
      <c r="Z43" s="110">
        <v>0.16600000000000001</v>
      </c>
      <c r="AA43" s="111">
        <v>2211.06</v>
      </c>
      <c r="AB43" s="110">
        <v>4.2999999999999997E-2</v>
      </c>
      <c r="AC43" s="111">
        <v>1482.2655999999999</v>
      </c>
      <c r="AD43" s="110">
        <v>3.1999999999999994E-2</v>
      </c>
      <c r="AF43" s="64">
        <v>41</v>
      </c>
      <c r="AG43" s="109">
        <v>6496.9853999999996</v>
      </c>
      <c r="AH43" s="111">
        <v>864.8</v>
      </c>
      <c r="AI43" s="109">
        <v>188</v>
      </c>
      <c r="AJ43" s="59">
        <v>7.2999999999999995E-2</v>
      </c>
      <c r="AK43" s="59">
        <v>0.376</v>
      </c>
      <c r="AL43" s="59">
        <v>0.376</v>
      </c>
      <c r="AM43" s="110">
        <v>39.405999999999999</v>
      </c>
      <c r="AN43" s="111">
        <v>384.23880000000003</v>
      </c>
      <c r="AO43" s="59">
        <v>6.0999999999999999E-2</v>
      </c>
      <c r="AP43" s="55">
        <v>3.3000000000000002E-2</v>
      </c>
      <c r="AQ43" s="109">
        <v>37151.800000000003</v>
      </c>
      <c r="AR43" s="111">
        <v>21714.375</v>
      </c>
      <c r="AS43" s="59">
        <v>0.83300000000000007</v>
      </c>
      <c r="AT43" s="55">
        <v>0.92500000000000004</v>
      </c>
      <c r="AU43" s="43"/>
      <c r="AV43" s="109">
        <v>1046.6300000000001</v>
      </c>
      <c r="AW43" s="110">
        <v>0.42499979696750673</v>
      </c>
      <c r="AX43" s="109">
        <v>965.43600000000004</v>
      </c>
      <c r="AY43" s="110">
        <v>0.60076913503422524</v>
      </c>
      <c r="AZ43" s="109">
        <v>1121.4780000000001</v>
      </c>
      <c r="BA43" s="110">
        <v>0.5784392407674851</v>
      </c>
      <c r="BB43" s="43"/>
      <c r="BC43" s="112">
        <v>51358.995000000003</v>
      </c>
      <c r="BD43" s="110">
        <v>0.73770491803278682</v>
      </c>
      <c r="BE43" s="43"/>
      <c r="BF43" s="157">
        <v>11819.388999999999</v>
      </c>
      <c r="BG43" s="43">
        <v>0</v>
      </c>
      <c r="BH43" s="113">
        <v>0</v>
      </c>
      <c r="BI43" s="114">
        <v>0.36255794478527603</v>
      </c>
      <c r="BJ43" s="115">
        <v>0</v>
      </c>
      <c r="BK43" s="113">
        <v>0</v>
      </c>
      <c r="BL43" s="113">
        <v>0</v>
      </c>
      <c r="BM43" s="113">
        <v>0</v>
      </c>
      <c r="BN43" s="113">
        <v>3671.6370000000002</v>
      </c>
      <c r="BO43" s="114">
        <v>0.2724170500074195</v>
      </c>
      <c r="BP43" s="115">
        <v>0</v>
      </c>
      <c r="BQ43" s="43">
        <v>7668</v>
      </c>
      <c r="BR43" s="43">
        <v>651.2179432800001</v>
      </c>
      <c r="BS43" s="43"/>
      <c r="BT43" s="116">
        <v>-700</v>
      </c>
      <c r="BU43" s="43">
        <v>0</v>
      </c>
      <c r="BV43" s="43">
        <v>4485</v>
      </c>
      <c r="BW43" s="43">
        <v>4485</v>
      </c>
      <c r="BX43" s="43">
        <v>0</v>
      </c>
      <c r="BY43" s="43">
        <v>0</v>
      </c>
      <c r="BZ43" s="43">
        <v>-5000</v>
      </c>
      <c r="CA43" s="43">
        <v>0</v>
      </c>
      <c r="CB43" s="43">
        <v>-4887.5468975900003</v>
      </c>
      <c r="CC43" s="43">
        <v>0</v>
      </c>
      <c r="CD43" s="43">
        <v>-4000</v>
      </c>
      <c r="CE43" s="43">
        <v>0</v>
      </c>
      <c r="CF43" s="43">
        <v>-4800</v>
      </c>
      <c r="CG43" s="43">
        <v>0</v>
      </c>
      <c r="CH43" s="43">
        <v>11975.54459292</v>
      </c>
      <c r="CI43" s="43">
        <v>11975.54459292</v>
      </c>
      <c r="CJ43" s="114">
        <v>16460.54459292</v>
      </c>
      <c r="CK43" s="43"/>
      <c r="CL43" s="116">
        <v>-700</v>
      </c>
      <c r="CM43" s="43">
        <v>700</v>
      </c>
      <c r="CN43" s="43">
        <v>4485</v>
      </c>
      <c r="CO43" s="43">
        <v>0</v>
      </c>
      <c r="CP43" s="43">
        <v>0</v>
      </c>
      <c r="CQ43" s="43">
        <v>0</v>
      </c>
      <c r="CR43" s="43">
        <v>-5000</v>
      </c>
      <c r="CS43" s="43">
        <v>5000</v>
      </c>
      <c r="CT43" s="43">
        <v>-4887.5468975900003</v>
      </c>
      <c r="CU43" s="43">
        <v>4887.5468975900003</v>
      </c>
      <c r="CV43" s="43">
        <v>-4000</v>
      </c>
      <c r="CW43" s="43">
        <v>4000</v>
      </c>
      <c r="CX43" s="43">
        <v>-4800</v>
      </c>
      <c r="CY43" s="43">
        <v>4800</v>
      </c>
      <c r="CZ43" s="43">
        <v>11975.54459292</v>
      </c>
      <c r="DA43" s="43">
        <v>0</v>
      </c>
      <c r="DB43" s="114">
        <v>19387.54689759</v>
      </c>
      <c r="DC43" s="43"/>
      <c r="DD43" s="117">
        <v>40787.146000000001</v>
      </c>
      <c r="DE43" s="55">
        <v>2121.239</v>
      </c>
      <c r="DF43" s="59">
        <v>1406.3396975158</v>
      </c>
      <c r="DG43" s="59">
        <v>44314.724697515805</v>
      </c>
      <c r="DH43" s="117">
        <v>11559.325999999999</v>
      </c>
      <c r="DI43" s="117">
        <v>62514.411</v>
      </c>
      <c r="DJ43" s="55">
        <v>5368</v>
      </c>
      <c r="DK43" s="114">
        <v>67882.410999999993</v>
      </c>
      <c r="DL43" s="43"/>
      <c r="DM43" s="117">
        <v>930.81399999999996</v>
      </c>
      <c r="DN43" s="55">
        <v>10571.615847326309</v>
      </c>
      <c r="DO43" s="55">
        <v>11502.42984732631</v>
      </c>
      <c r="DP43" s="59">
        <v>1571.461651611138</v>
      </c>
      <c r="DQ43" s="59">
        <v>2940.8517230913872</v>
      </c>
      <c r="DR43" s="59">
        <v>0</v>
      </c>
      <c r="DS43" s="55">
        <v>2940.8517230913872</v>
      </c>
      <c r="DT43" s="55">
        <v>163.38065128285481</v>
      </c>
      <c r="DU43" s="55">
        <v>163.38065128285481</v>
      </c>
      <c r="DW43" s="121">
        <v>0</v>
      </c>
      <c r="DX43" s="122">
        <v>4945.3735120900001</v>
      </c>
      <c r="DY43" s="128">
        <v>944.58008299999995</v>
      </c>
      <c r="DZ43" s="128">
        <v>0</v>
      </c>
      <c r="EA43" s="121">
        <v>0</v>
      </c>
      <c r="EB43" s="122">
        <v>1553.672292</v>
      </c>
      <c r="EC43" s="121">
        <v>0</v>
      </c>
      <c r="ED43" s="122">
        <v>360.34283499999998</v>
      </c>
      <c r="EE43" s="121">
        <v>0</v>
      </c>
      <c r="EF43" s="122">
        <v>847.5</v>
      </c>
      <c r="EG43" s="121">
        <v>0</v>
      </c>
      <c r="EH43" s="122">
        <v>7397.5988710000001</v>
      </c>
      <c r="EI43" s="121">
        <v>0</v>
      </c>
      <c r="EJ43" s="122">
        <v>4945.3735120900001</v>
      </c>
      <c r="EK43" s="129">
        <v>1553.672292</v>
      </c>
      <c r="EL43" s="130">
        <v>847.5</v>
      </c>
      <c r="EM43" s="131">
        <v>735.83500000000004</v>
      </c>
      <c r="EN43" s="129">
        <v>0</v>
      </c>
      <c r="EO43" s="129">
        <v>9550.0217890000004</v>
      </c>
      <c r="EP43" s="129">
        <v>0</v>
      </c>
      <c r="ER43" s="157">
        <v>1034.7539999999999</v>
      </c>
      <c r="ES43" s="37">
        <v>1591.4646720000001</v>
      </c>
      <c r="ET43" s="55">
        <f t="shared" si="1"/>
        <v>9.1293776500713783E-2</v>
      </c>
      <c r="EU43" s="157">
        <v>0</v>
      </c>
      <c r="EV43" s="37">
        <v>0</v>
      </c>
      <c r="EW43" s="55">
        <f t="shared" si="8"/>
        <v>0</v>
      </c>
      <c r="EY43" s="166">
        <v>0</v>
      </c>
      <c r="EZ43" s="37">
        <v>3156.57</v>
      </c>
      <c r="FA43" s="164">
        <f t="shared" si="2"/>
        <v>0.23203283156840868</v>
      </c>
      <c r="FB43" s="5">
        <v>4613</v>
      </c>
      <c r="FC43" s="164">
        <f t="shared" si="3"/>
        <v>1</v>
      </c>
      <c r="FE43" s="5"/>
      <c r="FF43" s="166">
        <v>0</v>
      </c>
      <c r="FG43" s="37">
        <v>6754.1041912999999</v>
      </c>
      <c r="FH43" s="164">
        <f t="shared" si="4"/>
        <v>0.50703632988382785</v>
      </c>
      <c r="FI43" s="5">
        <v>0</v>
      </c>
      <c r="FJ43" s="164">
        <f t="shared" si="5"/>
        <v>0</v>
      </c>
      <c r="FL43" s="169">
        <v>7873</v>
      </c>
      <c r="FM43" s="170">
        <f t="shared" si="6"/>
        <v>0.68245451314546257</v>
      </c>
      <c r="FN43" s="169">
        <v>2591</v>
      </c>
      <c r="FO43" s="170">
        <f t="shared" si="7"/>
        <v>0.82634348588741824</v>
      </c>
    </row>
    <row r="44" spans="16:171" x14ac:dyDescent="0.35">
      <c r="P44" s="64">
        <v>42</v>
      </c>
      <c r="Q44" s="109">
        <v>4814</v>
      </c>
      <c r="R44" s="110">
        <v>5.8000000000000003E-2</v>
      </c>
      <c r="S44" s="111">
        <v>62.465000000000003</v>
      </c>
      <c r="T44" s="110">
        <v>1.3000000000000001E-2</v>
      </c>
      <c r="U44" s="111">
        <v>1620</v>
      </c>
      <c r="V44" s="110">
        <v>5.3999999999999999E-2</v>
      </c>
      <c r="W44" s="111">
        <v>1811.6532</v>
      </c>
      <c r="X44" s="110">
        <v>0.126</v>
      </c>
      <c r="Y44" s="111">
        <v>579.59400000000005</v>
      </c>
      <c r="Z44" s="110">
        <v>6.0000000000000005E-2</v>
      </c>
      <c r="AA44" s="111">
        <v>0</v>
      </c>
      <c r="AB44" s="110">
        <v>0</v>
      </c>
      <c r="AC44" s="111">
        <v>0</v>
      </c>
      <c r="AD44" s="110">
        <v>0</v>
      </c>
      <c r="AF44" s="64">
        <v>42</v>
      </c>
      <c r="AG44" s="109">
        <v>6496.9853999999996</v>
      </c>
      <c r="AH44" s="111">
        <v>832.6</v>
      </c>
      <c r="AI44" s="109">
        <v>181</v>
      </c>
      <c r="AJ44" s="59">
        <v>7.2999999999999995E-2</v>
      </c>
      <c r="AK44" s="59">
        <v>0.36199999999999999</v>
      </c>
      <c r="AL44" s="59">
        <v>0.36199999999999999</v>
      </c>
      <c r="AM44" s="110">
        <v>52.326000000000001</v>
      </c>
      <c r="AN44" s="111">
        <v>686.97239999999999</v>
      </c>
      <c r="AO44" s="59">
        <v>8.1000000000000003E-2</v>
      </c>
      <c r="AP44" s="55">
        <v>5.8999999999999997E-2</v>
      </c>
      <c r="AQ44" s="109">
        <v>37999.199999999997</v>
      </c>
      <c r="AR44" s="111">
        <v>21761.325000000001</v>
      </c>
      <c r="AS44" s="59">
        <v>0.85199999999999998</v>
      </c>
      <c r="AT44" s="55">
        <v>0.92700000000000005</v>
      </c>
      <c r="AU44" s="43"/>
      <c r="AV44" s="109">
        <v>1058.944</v>
      </c>
      <c r="AW44" s="110">
        <v>0.43000008121299732</v>
      </c>
      <c r="AX44" s="109">
        <v>969.31399999999996</v>
      </c>
      <c r="AY44" s="110">
        <v>0.60318232731798382</v>
      </c>
      <c r="AZ44" s="109">
        <v>1121.4780000000001</v>
      </c>
      <c r="BA44" s="110">
        <v>0.5784392407674851</v>
      </c>
      <c r="BB44" s="43"/>
      <c r="BC44" s="112">
        <v>51358.995000000003</v>
      </c>
      <c r="BD44" s="110">
        <v>0.73770491803278682</v>
      </c>
      <c r="BE44" s="43"/>
      <c r="BF44" s="157">
        <v>4914.8729999999996</v>
      </c>
      <c r="BG44" s="43">
        <v>0</v>
      </c>
      <c r="BH44" s="113">
        <v>0</v>
      </c>
      <c r="BI44" s="114">
        <v>0.15076297546012268</v>
      </c>
      <c r="BJ44" s="115">
        <v>0</v>
      </c>
      <c r="BK44" s="113">
        <v>0</v>
      </c>
      <c r="BL44" s="113">
        <v>0</v>
      </c>
      <c r="BM44" s="113">
        <v>0</v>
      </c>
      <c r="BN44" s="113">
        <v>2193.4050000000002</v>
      </c>
      <c r="BO44" s="114">
        <v>0.16273964979967356</v>
      </c>
      <c r="BP44" s="115">
        <v>0</v>
      </c>
      <c r="BQ44" s="43">
        <v>7668</v>
      </c>
      <c r="BR44" s="43">
        <v>651.2179432800001</v>
      </c>
      <c r="BS44" s="43"/>
      <c r="BT44" s="116">
        <v>-700</v>
      </c>
      <c r="BU44" s="43">
        <v>0</v>
      </c>
      <c r="BV44" s="43">
        <v>4485</v>
      </c>
      <c r="BW44" s="43">
        <v>4485</v>
      </c>
      <c r="BX44" s="43">
        <v>0</v>
      </c>
      <c r="BY44" s="43">
        <v>0</v>
      </c>
      <c r="BZ44" s="43">
        <v>-5000</v>
      </c>
      <c r="CA44" s="43">
        <v>0</v>
      </c>
      <c r="CB44" s="43">
        <v>-5300</v>
      </c>
      <c r="CC44" s="43">
        <v>0</v>
      </c>
      <c r="CD44" s="43">
        <v>-4000</v>
      </c>
      <c r="CE44" s="43">
        <v>0</v>
      </c>
      <c r="CF44" s="43">
        <v>0</v>
      </c>
      <c r="CG44" s="43">
        <v>0</v>
      </c>
      <c r="CH44" s="43">
        <v>8835.4331314200008</v>
      </c>
      <c r="CI44" s="43">
        <v>8835.4331314200008</v>
      </c>
      <c r="CJ44" s="114">
        <v>13320.433131420001</v>
      </c>
      <c r="CK44" s="43"/>
      <c r="CL44" s="116">
        <v>-700</v>
      </c>
      <c r="CM44" s="43">
        <v>700</v>
      </c>
      <c r="CN44" s="43">
        <v>4485</v>
      </c>
      <c r="CO44" s="43">
        <v>0</v>
      </c>
      <c r="CP44" s="43">
        <v>0</v>
      </c>
      <c r="CQ44" s="43">
        <v>0</v>
      </c>
      <c r="CR44" s="43">
        <v>-5000</v>
      </c>
      <c r="CS44" s="43">
        <v>5000</v>
      </c>
      <c r="CT44" s="43">
        <v>-5300</v>
      </c>
      <c r="CU44" s="43">
        <v>5300</v>
      </c>
      <c r="CV44" s="43">
        <v>-4000</v>
      </c>
      <c r="CW44" s="43">
        <v>4000</v>
      </c>
      <c r="CX44" s="43">
        <v>0</v>
      </c>
      <c r="CY44" s="43">
        <v>0</v>
      </c>
      <c r="CZ44" s="43">
        <v>8835.4331314200008</v>
      </c>
      <c r="DA44" s="43">
        <v>0</v>
      </c>
      <c r="DB44" s="114">
        <v>15000</v>
      </c>
      <c r="DC44" s="43"/>
      <c r="DD44" s="117">
        <v>42784.913999999997</v>
      </c>
      <c r="DE44" s="55">
        <v>2315.27</v>
      </c>
      <c r="DF44" s="59">
        <v>1485.8459041797</v>
      </c>
      <c r="DG44" s="59">
        <v>46586.029904179697</v>
      </c>
      <c r="DH44" s="117">
        <v>10723.933999999999</v>
      </c>
      <c r="DI44" s="117">
        <v>67092.410999999993</v>
      </c>
      <c r="DJ44" s="55">
        <v>5445</v>
      </c>
      <c r="DK44" s="114">
        <v>72537.410999999993</v>
      </c>
      <c r="DL44" s="43"/>
      <c r="DM44" s="117">
        <v>924.00800000000004</v>
      </c>
      <c r="DN44" s="55">
        <v>10571.615847326309</v>
      </c>
      <c r="DO44" s="55">
        <v>11495.623847326309</v>
      </c>
      <c r="DP44" s="59">
        <v>1571.461651611138</v>
      </c>
      <c r="DQ44" s="59">
        <v>2940.8517230913872</v>
      </c>
      <c r="DR44" s="59">
        <v>0</v>
      </c>
      <c r="DS44" s="55">
        <v>2940.8517230913872</v>
      </c>
      <c r="DT44" s="55">
        <v>163.38065128285481</v>
      </c>
      <c r="DU44" s="55">
        <v>163.38065128285481</v>
      </c>
      <c r="DW44" s="121">
        <v>0</v>
      </c>
      <c r="DX44" s="122">
        <v>3900.47351209</v>
      </c>
      <c r="DY44" s="128">
        <v>806.43605032000005</v>
      </c>
      <c r="DZ44" s="128">
        <v>0</v>
      </c>
      <c r="EA44" s="121">
        <v>0</v>
      </c>
      <c r="EB44" s="122">
        <v>1553.672292</v>
      </c>
      <c r="EC44" s="121">
        <v>0</v>
      </c>
      <c r="ED44" s="122">
        <v>0</v>
      </c>
      <c r="EE44" s="121">
        <v>0</v>
      </c>
      <c r="EF44" s="122">
        <v>847.5</v>
      </c>
      <c r="EG44" s="121">
        <v>0</v>
      </c>
      <c r="EH44" s="122">
        <v>6851.1857386800002</v>
      </c>
      <c r="EI44" s="121">
        <v>0</v>
      </c>
      <c r="EJ44" s="122">
        <v>3900.47351209</v>
      </c>
      <c r="EK44" s="129">
        <v>1553.672292</v>
      </c>
      <c r="EL44" s="130">
        <v>847.5</v>
      </c>
      <c r="EM44" s="131">
        <v>735.83500000000004</v>
      </c>
      <c r="EN44" s="129">
        <v>0</v>
      </c>
      <c r="EO44" s="129">
        <v>8505.1217890000007</v>
      </c>
      <c r="EP44" s="129">
        <v>0</v>
      </c>
      <c r="ER44" s="157">
        <v>1055.921</v>
      </c>
      <c r="ES44" s="37">
        <v>1591.4646720000001</v>
      </c>
      <c r="ET44" s="55">
        <f t="shared" si="1"/>
        <v>9.202959312854965E-2</v>
      </c>
      <c r="EU44" s="157">
        <v>0</v>
      </c>
      <c r="EV44" s="37">
        <v>174.43799999999999</v>
      </c>
      <c r="EW44" s="55">
        <f t="shared" si="8"/>
        <v>9.553032974880557E-2</v>
      </c>
      <c r="EY44" s="166">
        <v>10447.41</v>
      </c>
      <c r="EZ44" s="37">
        <v>3156.57</v>
      </c>
      <c r="FA44" s="164">
        <f t="shared" si="2"/>
        <v>1</v>
      </c>
      <c r="FB44" s="5">
        <v>4613</v>
      </c>
      <c r="FC44" s="164">
        <f t="shared" si="3"/>
        <v>1</v>
      </c>
      <c r="FE44" s="5"/>
      <c r="FF44" s="166">
        <v>0</v>
      </c>
      <c r="FG44" s="37">
        <v>0</v>
      </c>
      <c r="FH44" s="164">
        <f t="shared" si="4"/>
        <v>0</v>
      </c>
      <c r="FI44" s="5">
        <v>0</v>
      </c>
      <c r="FJ44" s="164">
        <f t="shared" si="5"/>
        <v>0</v>
      </c>
      <c r="FL44" s="169">
        <v>7873</v>
      </c>
      <c r="FM44" s="170">
        <f t="shared" si="6"/>
        <v>0.68245451314546257</v>
      </c>
      <c r="FN44" s="169">
        <v>2591</v>
      </c>
      <c r="FO44" s="170">
        <f t="shared" si="7"/>
        <v>0.82634348588741824</v>
      </c>
    </row>
    <row r="45" spans="16:171" x14ac:dyDescent="0.35">
      <c r="P45" s="64">
        <v>43</v>
      </c>
      <c r="Q45" s="109">
        <v>0</v>
      </c>
      <c r="R45" s="110">
        <v>0</v>
      </c>
      <c r="S45" s="111">
        <v>0</v>
      </c>
      <c r="T45" s="110">
        <v>0</v>
      </c>
      <c r="U45" s="111">
        <v>0</v>
      </c>
      <c r="V45" s="110">
        <v>0</v>
      </c>
      <c r="W45" s="111">
        <v>0</v>
      </c>
      <c r="X45" s="110">
        <v>0</v>
      </c>
      <c r="Y45" s="111">
        <v>0</v>
      </c>
      <c r="Z45" s="110">
        <v>0</v>
      </c>
      <c r="AA45" s="111">
        <v>0</v>
      </c>
      <c r="AB45" s="110">
        <v>0</v>
      </c>
      <c r="AC45" s="111">
        <v>0</v>
      </c>
      <c r="AD45" s="110">
        <v>0</v>
      </c>
      <c r="AF45" s="64">
        <v>43</v>
      </c>
      <c r="AG45" s="109">
        <v>10323.9768</v>
      </c>
      <c r="AH45" s="111">
        <v>784.3</v>
      </c>
      <c r="AI45" s="109">
        <v>170.5</v>
      </c>
      <c r="AJ45" s="59">
        <v>0.11600000000000001</v>
      </c>
      <c r="AK45" s="59">
        <v>0.34099999999999997</v>
      </c>
      <c r="AL45" s="59">
        <v>0.34100000000000003</v>
      </c>
      <c r="AM45" s="110">
        <v>68.475999999999999</v>
      </c>
      <c r="AN45" s="111">
        <v>1851.3324</v>
      </c>
      <c r="AO45" s="59">
        <v>0.106</v>
      </c>
      <c r="AP45" s="55">
        <v>0.159</v>
      </c>
      <c r="AQ45" s="109">
        <v>38133</v>
      </c>
      <c r="AR45" s="111">
        <v>21784.799999999999</v>
      </c>
      <c r="AS45" s="59">
        <v>0.85499999999999998</v>
      </c>
      <c r="AT45" s="55">
        <v>0.92799999999999994</v>
      </c>
      <c r="AU45" s="43"/>
      <c r="AV45" s="109">
        <v>1073.72</v>
      </c>
      <c r="AW45" s="110">
        <v>0.43600009745559681</v>
      </c>
      <c r="AX45" s="109">
        <v>973.96</v>
      </c>
      <c r="AY45" s="110">
        <v>0.60607342874922221</v>
      </c>
      <c r="AZ45" s="109">
        <v>1121.4780000000001</v>
      </c>
      <c r="BA45" s="110">
        <v>0.5784392407674851</v>
      </c>
      <c r="BB45" s="43"/>
      <c r="BC45" s="112">
        <v>51358.995000000003</v>
      </c>
      <c r="BD45" s="110">
        <v>0.73770491803278682</v>
      </c>
      <c r="BE45" s="43"/>
      <c r="BF45" s="157">
        <v>4393.4989999999998</v>
      </c>
      <c r="BG45" s="43">
        <v>0</v>
      </c>
      <c r="BH45" s="113">
        <v>0</v>
      </c>
      <c r="BI45" s="114">
        <v>0.13476990797546012</v>
      </c>
      <c r="BJ45" s="115">
        <v>0</v>
      </c>
      <c r="BK45" s="113">
        <v>0</v>
      </c>
      <c r="BL45" s="113">
        <v>0</v>
      </c>
      <c r="BM45" s="113">
        <v>0</v>
      </c>
      <c r="BN45" s="113">
        <v>1356.009</v>
      </c>
      <c r="BO45" s="114">
        <v>0.10060906662709601</v>
      </c>
      <c r="BP45" s="115">
        <v>0</v>
      </c>
      <c r="BQ45" s="43">
        <v>7668</v>
      </c>
      <c r="BR45" s="43">
        <v>650.75806136999995</v>
      </c>
      <c r="BS45" s="43"/>
      <c r="BT45" s="116">
        <v>-700</v>
      </c>
      <c r="BU45" s="43">
        <v>0</v>
      </c>
      <c r="BV45" s="43">
        <v>4485</v>
      </c>
      <c r="BW45" s="43">
        <v>4485</v>
      </c>
      <c r="BX45" s="43">
        <v>0</v>
      </c>
      <c r="BY45" s="43">
        <v>0</v>
      </c>
      <c r="BZ45" s="43">
        <v>-5000</v>
      </c>
      <c r="CA45" s="43">
        <v>0</v>
      </c>
      <c r="CB45" s="43">
        <v>-5300</v>
      </c>
      <c r="CC45" s="43">
        <v>0</v>
      </c>
      <c r="CD45" s="43">
        <v>-4000</v>
      </c>
      <c r="CE45" s="43">
        <v>0</v>
      </c>
      <c r="CF45" s="43">
        <v>4012.47714365</v>
      </c>
      <c r="CG45" s="43">
        <v>4012.47714365</v>
      </c>
      <c r="CH45" s="43">
        <v>9159.1316540600001</v>
      </c>
      <c r="CI45" s="43">
        <v>9159.1316540600001</v>
      </c>
      <c r="CJ45" s="114">
        <v>17656.60879771</v>
      </c>
      <c r="CK45" s="43"/>
      <c r="CL45" s="116">
        <v>-700</v>
      </c>
      <c r="CM45" s="43">
        <v>700</v>
      </c>
      <c r="CN45" s="43">
        <v>4485</v>
      </c>
      <c r="CO45" s="43">
        <v>0</v>
      </c>
      <c r="CP45" s="43">
        <v>0</v>
      </c>
      <c r="CQ45" s="43">
        <v>0</v>
      </c>
      <c r="CR45" s="43">
        <v>-5000</v>
      </c>
      <c r="CS45" s="43">
        <v>5000</v>
      </c>
      <c r="CT45" s="43">
        <v>-5300</v>
      </c>
      <c r="CU45" s="43">
        <v>5300</v>
      </c>
      <c r="CV45" s="43">
        <v>-4000</v>
      </c>
      <c r="CW45" s="43">
        <v>4000</v>
      </c>
      <c r="CX45" s="43">
        <v>4012.47714365</v>
      </c>
      <c r="CY45" s="43">
        <v>0</v>
      </c>
      <c r="CZ45" s="43">
        <v>9159.1316540600001</v>
      </c>
      <c r="DA45" s="43">
        <v>0</v>
      </c>
      <c r="DB45" s="114">
        <v>15000</v>
      </c>
      <c r="DC45" s="43"/>
      <c r="DD45" s="117">
        <v>44132.02</v>
      </c>
      <c r="DE45" s="55">
        <v>2318.067</v>
      </c>
      <c r="DF45" s="59">
        <v>1614.7282584872</v>
      </c>
      <c r="DG45" s="59">
        <v>48064.8152584872</v>
      </c>
      <c r="DH45" s="117">
        <v>10372.995999999999</v>
      </c>
      <c r="DI45" s="117">
        <v>69318.410999999993</v>
      </c>
      <c r="DJ45" s="55">
        <v>4974</v>
      </c>
      <c r="DK45" s="114">
        <v>74292.410999999993</v>
      </c>
      <c r="DL45" s="43"/>
      <c r="DM45" s="117">
        <v>916.00900000000001</v>
      </c>
      <c r="DN45" s="55">
        <v>10555.905846475949</v>
      </c>
      <c r="DO45" s="55">
        <v>11471.914846475949</v>
      </c>
      <c r="DP45" s="59">
        <v>1571.461651611138</v>
      </c>
      <c r="DQ45" s="59">
        <v>2932.5738486661439</v>
      </c>
      <c r="DR45" s="59">
        <v>0</v>
      </c>
      <c r="DS45" s="55">
        <v>2932.5738486661439</v>
      </c>
      <c r="DT45" s="55">
        <v>162.92076937034139</v>
      </c>
      <c r="DU45" s="55">
        <v>162.92076937034139</v>
      </c>
      <c r="DW45" s="121">
        <v>0</v>
      </c>
      <c r="DX45" s="122">
        <v>2856.033394</v>
      </c>
      <c r="DY45" s="128">
        <v>657.97380666000004</v>
      </c>
      <c r="DZ45" s="128">
        <v>0</v>
      </c>
      <c r="EA45" s="121">
        <v>0</v>
      </c>
      <c r="EB45" s="122">
        <v>1553.672292</v>
      </c>
      <c r="EC45" s="121">
        <v>0</v>
      </c>
      <c r="ED45" s="122">
        <v>0</v>
      </c>
      <c r="EE45" s="121">
        <v>0</v>
      </c>
      <c r="EF45" s="122">
        <v>847.5</v>
      </c>
      <c r="EG45" s="121">
        <v>0</v>
      </c>
      <c r="EH45" s="122">
        <v>5963.4857386800004</v>
      </c>
      <c r="EI45" s="121">
        <v>0</v>
      </c>
      <c r="EJ45" s="122">
        <v>2856.033394</v>
      </c>
      <c r="EK45" s="129">
        <v>1553.672292</v>
      </c>
      <c r="EL45" s="130">
        <v>847.5</v>
      </c>
      <c r="EM45" s="131">
        <v>735.83500000000004</v>
      </c>
      <c r="EN45" s="129">
        <v>0</v>
      </c>
      <c r="EO45" s="129">
        <v>7468.9595453400007</v>
      </c>
      <c r="EP45" s="129">
        <v>0</v>
      </c>
      <c r="ER45" s="157">
        <v>1072.924</v>
      </c>
      <c r="ES45" s="37">
        <v>1591.4646720000001</v>
      </c>
      <c r="ET45" s="55">
        <f t="shared" si="1"/>
        <v>9.2620658944352216E-2</v>
      </c>
      <c r="EU45" s="157">
        <v>0</v>
      </c>
      <c r="EV45" s="37">
        <v>174.96600000000001</v>
      </c>
      <c r="EW45" s="55">
        <f t="shared" si="8"/>
        <v>9.581948700873387E-2</v>
      </c>
      <c r="EY45" s="166">
        <v>10447.41</v>
      </c>
      <c r="EZ45" s="37">
        <v>3156.57</v>
      </c>
      <c r="FA45" s="164">
        <f t="shared" si="2"/>
        <v>1</v>
      </c>
      <c r="FB45" s="5">
        <v>4613</v>
      </c>
      <c r="FC45" s="164">
        <f t="shared" si="3"/>
        <v>1</v>
      </c>
      <c r="FE45" s="5"/>
      <c r="FF45" s="166">
        <v>0</v>
      </c>
      <c r="FG45" s="37">
        <v>0</v>
      </c>
      <c r="FH45" s="164">
        <f t="shared" si="4"/>
        <v>0</v>
      </c>
      <c r="FI45" s="5">
        <v>0</v>
      </c>
      <c r="FJ45" s="164">
        <f t="shared" si="5"/>
        <v>0</v>
      </c>
      <c r="FL45" s="169">
        <v>7873</v>
      </c>
      <c r="FM45" s="170">
        <f t="shared" si="6"/>
        <v>0.68245451314546257</v>
      </c>
      <c r="FN45" s="169">
        <v>2591</v>
      </c>
      <c r="FO45" s="170">
        <f t="shared" si="7"/>
        <v>0.82634348588741824</v>
      </c>
    </row>
    <row r="46" spans="16:171" x14ac:dyDescent="0.35">
      <c r="P46" s="64">
        <v>44</v>
      </c>
      <c r="Q46" s="109">
        <v>0</v>
      </c>
      <c r="R46" s="110">
        <v>0</v>
      </c>
      <c r="S46" s="111">
        <v>0</v>
      </c>
      <c r="T46" s="110">
        <v>0</v>
      </c>
      <c r="U46" s="111">
        <v>0</v>
      </c>
      <c r="V46" s="110">
        <v>0</v>
      </c>
      <c r="W46" s="111">
        <v>0</v>
      </c>
      <c r="X46" s="110">
        <v>0</v>
      </c>
      <c r="Y46" s="111">
        <v>0</v>
      </c>
      <c r="Z46" s="110">
        <v>0</v>
      </c>
      <c r="AA46" s="111">
        <v>0</v>
      </c>
      <c r="AB46" s="110">
        <v>0</v>
      </c>
      <c r="AC46" s="111">
        <v>0</v>
      </c>
      <c r="AD46" s="110">
        <v>0</v>
      </c>
      <c r="AF46" s="64">
        <v>44</v>
      </c>
      <c r="AG46" s="109">
        <v>12281.972400000001</v>
      </c>
      <c r="AH46" s="111">
        <v>710.7</v>
      </c>
      <c r="AI46" s="109">
        <v>154.5</v>
      </c>
      <c r="AJ46" s="59">
        <v>0.13800000000000001</v>
      </c>
      <c r="AK46" s="59">
        <v>0.309</v>
      </c>
      <c r="AL46" s="59">
        <v>0.309</v>
      </c>
      <c r="AM46" s="110">
        <v>80.103999999999999</v>
      </c>
      <c r="AN46" s="111">
        <v>2584.8791999999999</v>
      </c>
      <c r="AO46" s="59">
        <v>0.124</v>
      </c>
      <c r="AP46" s="55">
        <v>0.22199999999999998</v>
      </c>
      <c r="AQ46" s="109">
        <v>38311.4</v>
      </c>
      <c r="AR46" s="111">
        <v>21878.7</v>
      </c>
      <c r="AS46" s="59">
        <v>0.85899999999999999</v>
      </c>
      <c r="AT46" s="55">
        <v>0.93200000000000005</v>
      </c>
      <c r="AU46" s="43"/>
      <c r="AV46" s="109">
        <v>1090.9580000000001</v>
      </c>
      <c r="AW46" s="110">
        <v>0.44299984569530515</v>
      </c>
      <c r="AX46" s="109">
        <v>982.16099999999994</v>
      </c>
      <c r="AY46" s="110">
        <v>0.61117672682016178</v>
      </c>
      <c r="AZ46" s="109">
        <v>1121.4780000000001</v>
      </c>
      <c r="BA46" s="110">
        <v>0.5784392407674851</v>
      </c>
      <c r="BB46" s="43"/>
      <c r="BC46" s="112">
        <v>51358.995000000003</v>
      </c>
      <c r="BD46" s="110">
        <v>0.73770491803278682</v>
      </c>
      <c r="BE46" s="43"/>
      <c r="BF46" s="157">
        <v>5254.4669999999996</v>
      </c>
      <c r="BG46" s="43">
        <v>0</v>
      </c>
      <c r="BH46" s="113">
        <v>0</v>
      </c>
      <c r="BI46" s="114">
        <v>0.16117996932515335</v>
      </c>
      <c r="BJ46" s="115">
        <v>0</v>
      </c>
      <c r="BK46" s="113">
        <v>0</v>
      </c>
      <c r="BL46" s="113">
        <v>0</v>
      </c>
      <c r="BM46" s="113">
        <v>0</v>
      </c>
      <c r="BN46" s="113">
        <v>1553.8810000000001</v>
      </c>
      <c r="BO46" s="114">
        <v>0.11529017658406292</v>
      </c>
      <c r="BP46" s="115">
        <v>0</v>
      </c>
      <c r="BQ46" s="43">
        <v>7668</v>
      </c>
      <c r="BR46" s="43">
        <v>650.29817945000002</v>
      </c>
      <c r="BS46" s="43"/>
      <c r="BT46" s="116">
        <v>-700</v>
      </c>
      <c r="BU46" s="43">
        <v>0</v>
      </c>
      <c r="BV46" s="43">
        <v>4485</v>
      </c>
      <c r="BW46" s="43">
        <v>4485</v>
      </c>
      <c r="BX46" s="43">
        <v>0</v>
      </c>
      <c r="BY46" s="43">
        <v>0</v>
      </c>
      <c r="BZ46" s="43">
        <v>-5000</v>
      </c>
      <c r="CA46" s="43">
        <v>0</v>
      </c>
      <c r="CB46" s="43">
        <v>-5300</v>
      </c>
      <c r="CC46" s="43">
        <v>0</v>
      </c>
      <c r="CD46" s="43">
        <v>-4000</v>
      </c>
      <c r="CE46" s="43">
        <v>0</v>
      </c>
      <c r="CF46" s="43">
        <v>4800</v>
      </c>
      <c r="CG46" s="43">
        <v>4800</v>
      </c>
      <c r="CH46" s="43">
        <v>9240.3965691899994</v>
      </c>
      <c r="CI46" s="43">
        <v>9240.3965691899994</v>
      </c>
      <c r="CJ46" s="114">
        <v>18525.396569190001</v>
      </c>
      <c r="CK46" s="43"/>
      <c r="CL46" s="116">
        <v>-700</v>
      </c>
      <c r="CM46" s="43">
        <v>700</v>
      </c>
      <c r="CN46" s="43">
        <v>4485</v>
      </c>
      <c r="CO46" s="43">
        <v>0</v>
      </c>
      <c r="CP46" s="43">
        <v>0</v>
      </c>
      <c r="CQ46" s="43">
        <v>0</v>
      </c>
      <c r="CR46" s="43">
        <v>-5000</v>
      </c>
      <c r="CS46" s="43">
        <v>5000</v>
      </c>
      <c r="CT46" s="43">
        <v>-5300</v>
      </c>
      <c r="CU46" s="43">
        <v>5300</v>
      </c>
      <c r="CV46" s="43">
        <v>-4000</v>
      </c>
      <c r="CW46" s="43">
        <v>4000</v>
      </c>
      <c r="CX46" s="43">
        <v>4800</v>
      </c>
      <c r="CY46" s="43">
        <v>0</v>
      </c>
      <c r="CZ46" s="43">
        <v>9240.3965691899994</v>
      </c>
      <c r="DA46" s="43">
        <v>0</v>
      </c>
      <c r="DB46" s="114">
        <v>15000</v>
      </c>
      <c r="DC46" s="43"/>
      <c r="DD46" s="117">
        <v>43800.239000000001</v>
      </c>
      <c r="DE46" s="55">
        <v>2319.5320000000002</v>
      </c>
      <c r="DF46" s="59">
        <v>1770.278058696</v>
      </c>
      <c r="DG46" s="59">
        <v>47890.049058696</v>
      </c>
      <c r="DH46" s="117">
        <v>10446.505999999999</v>
      </c>
      <c r="DI46" s="117">
        <v>67996.410999999993</v>
      </c>
      <c r="DJ46" s="55">
        <v>4496</v>
      </c>
      <c r="DK46" s="114">
        <v>72492.410999999993</v>
      </c>
      <c r="DL46" s="43"/>
      <c r="DM46" s="117">
        <v>895.70799999999997</v>
      </c>
      <c r="DN46" s="55">
        <v>10540.1958456256</v>
      </c>
      <c r="DO46" s="55">
        <v>11435.9038456256</v>
      </c>
      <c r="DP46" s="59">
        <v>1416.7935308581391</v>
      </c>
      <c r="DQ46" s="59">
        <v>2924.2959742409021</v>
      </c>
      <c r="DR46" s="59">
        <v>0</v>
      </c>
      <c r="DS46" s="55">
        <v>2924.2959742409021</v>
      </c>
      <c r="DT46" s="55">
        <v>162.46088745782791</v>
      </c>
      <c r="DU46" s="55">
        <v>162.46088745782791</v>
      </c>
      <c r="DW46" s="121">
        <v>0</v>
      </c>
      <c r="DX46" s="122">
        <v>1811.5932759100001</v>
      </c>
      <c r="DY46" s="128">
        <v>406.39380666</v>
      </c>
      <c r="DZ46" s="128">
        <v>0</v>
      </c>
      <c r="EA46" s="121">
        <v>0</v>
      </c>
      <c r="EB46" s="122">
        <v>1553.672292</v>
      </c>
      <c r="EC46" s="121">
        <v>0</v>
      </c>
      <c r="ED46" s="122">
        <v>0</v>
      </c>
      <c r="EE46" s="121">
        <v>0</v>
      </c>
      <c r="EF46" s="122">
        <v>847.5</v>
      </c>
      <c r="EG46" s="121">
        <v>0</v>
      </c>
      <c r="EH46" s="122">
        <v>5178.9034950100004</v>
      </c>
      <c r="EI46" s="121">
        <v>0</v>
      </c>
      <c r="EJ46" s="122">
        <v>1811.5932759100001</v>
      </c>
      <c r="EK46" s="129">
        <v>1553.672292</v>
      </c>
      <c r="EL46" s="130">
        <v>847.5</v>
      </c>
      <c r="EM46" s="131">
        <v>735.83500000000004</v>
      </c>
      <c r="EN46" s="129">
        <v>0</v>
      </c>
      <c r="EO46" s="129">
        <v>6432.7973016699998</v>
      </c>
      <c r="EP46" s="129">
        <v>0</v>
      </c>
      <c r="ER46" s="157">
        <v>1089.58</v>
      </c>
      <c r="ES46" s="37">
        <v>1591.4646720000001</v>
      </c>
      <c r="ET46" s="55">
        <f t="shared" si="1"/>
        <v>9.319966219248535E-2</v>
      </c>
      <c r="EU46" s="157">
        <v>0</v>
      </c>
      <c r="EV46" s="37">
        <v>175.428</v>
      </c>
      <c r="EW46" s="55">
        <f t="shared" si="8"/>
        <v>9.6072499611171105E-2</v>
      </c>
      <c r="EY46" s="166">
        <v>10447.41</v>
      </c>
      <c r="EZ46" s="37">
        <v>3156.57</v>
      </c>
      <c r="FA46" s="164">
        <f t="shared" si="2"/>
        <v>1</v>
      </c>
      <c r="FB46" s="5">
        <v>4613</v>
      </c>
      <c r="FC46" s="164">
        <f t="shared" si="3"/>
        <v>1</v>
      </c>
      <c r="FE46" s="5"/>
      <c r="FF46" s="166">
        <v>0</v>
      </c>
      <c r="FG46" s="37">
        <v>0</v>
      </c>
      <c r="FH46" s="164">
        <f t="shared" si="4"/>
        <v>0</v>
      </c>
      <c r="FI46" s="5">
        <v>0</v>
      </c>
      <c r="FJ46" s="164">
        <f t="shared" si="5"/>
        <v>0</v>
      </c>
      <c r="FL46" s="169">
        <v>7873</v>
      </c>
      <c r="FM46" s="170">
        <f t="shared" si="6"/>
        <v>0.68245451314546257</v>
      </c>
      <c r="FN46" s="169">
        <v>2591</v>
      </c>
      <c r="FO46" s="170">
        <f t="shared" si="7"/>
        <v>0.82634348588741824</v>
      </c>
    </row>
    <row r="47" spans="16:171" x14ac:dyDescent="0.35">
      <c r="P47" s="64">
        <v>45</v>
      </c>
      <c r="Q47" s="109">
        <v>0</v>
      </c>
      <c r="R47" s="110">
        <v>0</v>
      </c>
      <c r="S47" s="111">
        <v>0</v>
      </c>
      <c r="T47" s="110">
        <v>0</v>
      </c>
      <c r="U47" s="111">
        <v>0</v>
      </c>
      <c r="V47" s="110">
        <v>0</v>
      </c>
      <c r="W47" s="111">
        <v>0</v>
      </c>
      <c r="X47" s="110">
        <v>0</v>
      </c>
      <c r="Y47" s="111">
        <v>0</v>
      </c>
      <c r="Z47" s="110">
        <v>0</v>
      </c>
      <c r="AA47" s="111">
        <v>0</v>
      </c>
      <c r="AB47" s="110">
        <v>0</v>
      </c>
      <c r="AC47" s="111">
        <v>0</v>
      </c>
      <c r="AD47" s="110">
        <v>0</v>
      </c>
      <c r="AF47" s="64">
        <v>45</v>
      </c>
      <c r="AG47" s="109">
        <v>11658.9738</v>
      </c>
      <c r="AH47" s="111">
        <v>637.1</v>
      </c>
      <c r="AI47" s="109">
        <v>138.5</v>
      </c>
      <c r="AJ47" s="59">
        <v>0.13100000000000001</v>
      </c>
      <c r="AK47" s="59">
        <v>0.27700000000000002</v>
      </c>
      <c r="AL47" s="59">
        <v>0.27700000000000002</v>
      </c>
      <c r="AM47" s="110">
        <v>84.626000000000005</v>
      </c>
      <c r="AN47" s="111">
        <v>2596.5228000000002</v>
      </c>
      <c r="AO47" s="59">
        <v>0.13100000000000001</v>
      </c>
      <c r="AP47" s="55">
        <v>0.223</v>
      </c>
      <c r="AQ47" s="109">
        <v>38445.199999999997</v>
      </c>
      <c r="AR47" s="111">
        <v>21949.125</v>
      </c>
      <c r="AS47" s="59">
        <v>0.86199999999999999</v>
      </c>
      <c r="AT47" s="55">
        <v>0.93500000000000005</v>
      </c>
      <c r="AU47" s="43"/>
      <c r="AV47" s="109">
        <v>1113.1220000000001</v>
      </c>
      <c r="AW47" s="110">
        <v>0.45199987005920433</v>
      </c>
      <c r="AX47" s="109">
        <v>986.38400000000001</v>
      </c>
      <c r="AY47" s="110">
        <v>0.61380460485376476</v>
      </c>
      <c r="AZ47" s="109">
        <v>1121.4780000000001</v>
      </c>
      <c r="BA47" s="110">
        <v>0.5784392407674851</v>
      </c>
      <c r="BB47" s="43"/>
      <c r="BC47" s="112">
        <v>51358.995000000003</v>
      </c>
      <c r="BD47" s="110">
        <v>0.73770491803278682</v>
      </c>
      <c r="BE47" s="43"/>
      <c r="BF47" s="157">
        <v>4963.4319999999998</v>
      </c>
      <c r="BG47" s="43">
        <v>0</v>
      </c>
      <c r="BH47" s="113">
        <v>0</v>
      </c>
      <c r="BI47" s="114">
        <v>0.15225251533742332</v>
      </c>
      <c r="BJ47" s="115">
        <v>0</v>
      </c>
      <c r="BK47" s="113">
        <v>0</v>
      </c>
      <c r="BL47" s="113">
        <v>0</v>
      </c>
      <c r="BM47" s="113">
        <v>0</v>
      </c>
      <c r="BN47" s="113">
        <v>1627.6849999999999</v>
      </c>
      <c r="BO47" s="114">
        <v>0.12076606321412672</v>
      </c>
      <c r="BP47" s="115">
        <v>0</v>
      </c>
      <c r="BQ47" s="43">
        <v>7668</v>
      </c>
      <c r="BR47" s="43">
        <v>649.83829754999999</v>
      </c>
      <c r="BS47" s="43"/>
      <c r="BT47" s="116">
        <v>-700</v>
      </c>
      <c r="BU47" s="43">
        <v>0</v>
      </c>
      <c r="BV47" s="43">
        <v>4485</v>
      </c>
      <c r="BW47" s="43">
        <v>4485</v>
      </c>
      <c r="BX47" s="43">
        <v>0</v>
      </c>
      <c r="BY47" s="43">
        <v>0</v>
      </c>
      <c r="BZ47" s="43">
        <v>-5000</v>
      </c>
      <c r="CA47" s="43">
        <v>0</v>
      </c>
      <c r="CB47" s="43">
        <v>-5300</v>
      </c>
      <c r="CC47" s="43">
        <v>0</v>
      </c>
      <c r="CD47" s="43">
        <v>-4000</v>
      </c>
      <c r="CE47" s="43">
        <v>0</v>
      </c>
      <c r="CF47" s="43">
        <v>4800</v>
      </c>
      <c r="CG47" s="43">
        <v>4800</v>
      </c>
      <c r="CH47" s="43">
        <v>12748.31583474</v>
      </c>
      <c r="CI47" s="43">
        <v>12748.31583474</v>
      </c>
      <c r="CJ47" s="114">
        <v>22033.315834740002</v>
      </c>
      <c r="CK47" s="43"/>
      <c r="CL47" s="116">
        <v>-700</v>
      </c>
      <c r="CM47" s="43">
        <v>700</v>
      </c>
      <c r="CN47" s="43">
        <v>4485</v>
      </c>
      <c r="CO47" s="43">
        <v>0</v>
      </c>
      <c r="CP47" s="43">
        <v>0</v>
      </c>
      <c r="CQ47" s="43">
        <v>0</v>
      </c>
      <c r="CR47" s="43">
        <v>-5000</v>
      </c>
      <c r="CS47" s="43">
        <v>5000</v>
      </c>
      <c r="CT47" s="43">
        <v>-5300</v>
      </c>
      <c r="CU47" s="43">
        <v>5300</v>
      </c>
      <c r="CV47" s="43">
        <v>-4000</v>
      </c>
      <c r="CW47" s="43">
        <v>4000</v>
      </c>
      <c r="CX47" s="43">
        <v>4800</v>
      </c>
      <c r="CY47" s="43">
        <v>0</v>
      </c>
      <c r="CZ47" s="43">
        <v>12748.31583474</v>
      </c>
      <c r="DA47" s="43">
        <v>0</v>
      </c>
      <c r="DB47" s="114">
        <v>15000</v>
      </c>
      <c r="DC47" s="43"/>
      <c r="DD47" s="117">
        <v>42189.523999999998</v>
      </c>
      <c r="DE47" s="55">
        <v>2320.047</v>
      </c>
      <c r="DF47" s="59">
        <v>1772.2870553065</v>
      </c>
      <c r="DG47" s="59">
        <v>46281.858055306497</v>
      </c>
      <c r="DH47" s="117">
        <v>10079.548000000001</v>
      </c>
      <c r="DI47" s="117">
        <v>64037.411</v>
      </c>
      <c r="DJ47" s="55">
        <v>4470</v>
      </c>
      <c r="DK47" s="114">
        <v>68507.410999999993</v>
      </c>
      <c r="DL47" s="43"/>
      <c r="DM47" s="117">
        <v>849.76900000000001</v>
      </c>
      <c r="DN47" s="55">
        <v>10524.485844775239</v>
      </c>
      <c r="DO47" s="55">
        <v>11374.25484477524</v>
      </c>
      <c r="DP47" s="59">
        <v>1313.6814503561391</v>
      </c>
      <c r="DQ47" s="59">
        <v>2916.0180998156602</v>
      </c>
      <c r="DR47" s="59">
        <v>0</v>
      </c>
      <c r="DS47" s="55">
        <v>2916.0180998156602</v>
      </c>
      <c r="DT47" s="55">
        <v>162.0010055453144</v>
      </c>
      <c r="DU47" s="55">
        <v>162.0010055453144</v>
      </c>
      <c r="DW47" s="121">
        <v>0</v>
      </c>
      <c r="DX47" s="122">
        <v>767.15315782000005</v>
      </c>
      <c r="DY47" s="128">
        <v>154.81380666000001</v>
      </c>
      <c r="DZ47" s="128">
        <v>0</v>
      </c>
      <c r="EA47" s="121">
        <v>0</v>
      </c>
      <c r="EB47" s="122">
        <v>1553.672292</v>
      </c>
      <c r="EC47" s="121">
        <v>0</v>
      </c>
      <c r="ED47" s="122">
        <v>0</v>
      </c>
      <c r="EE47" s="121">
        <v>0</v>
      </c>
      <c r="EF47" s="122">
        <v>847.5</v>
      </c>
      <c r="EG47" s="121">
        <v>0</v>
      </c>
      <c r="EH47" s="122">
        <v>4394.3212513500002</v>
      </c>
      <c r="EI47" s="121">
        <v>0</v>
      </c>
      <c r="EJ47" s="122">
        <v>767.15315782000005</v>
      </c>
      <c r="EK47" s="129">
        <v>1553.672292</v>
      </c>
      <c r="EL47" s="130">
        <v>847.5</v>
      </c>
      <c r="EM47" s="131">
        <v>735.83500000000004</v>
      </c>
      <c r="EN47" s="129">
        <v>0</v>
      </c>
      <c r="EO47" s="129">
        <v>5396.6350580100006</v>
      </c>
      <c r="EP47" s="129">
        <v>0</v>
      </c>
      <c r="ER47" s="157">
        <v>1072.924</v>
      </c>
      <c r="ES47" s="37">
        <v>1591.4646720000001</v>
      </c>
      <c r="ET47" s="55">
        <f t="shared" si="1"/>
        <v>9.2620658944352216E-2</v>
      </c>
      <c r="EU47" s="157">
        <v>0</v>
      </c>
      <c r="EV47" s="37">
        <v>175.428</v>
      </c>
      <c r="EW47" s="55">
        <f t="shared" si="8"/>
        <v>9.6072499611171105E-2</v>
      </c>
      <c r="EY47" s="166">
        <v>9091.2973211400003</v>
      </c>
      <c r="EZ47" s="37">
        <v>3156.57</v>
      </c>
      <c r="FA47" s="164">
        <f t="shared" si="2"/>
        <v>0.90031500495737282</v>
      </c>
      <c r="FB47" s="5">
        <v>4613</v>
      </c>
      <c r="FC47" s="164">
        <f t="shared" si="3"/>
        <v>1</v>
      </c>
      <c r="FE47" s="5"/>
      <c r="FF47" s="166">
        <v>0</v>
      </c>
      <c r="FG47" s="37">
        <v>0</v>
      </c>
      <c r="FH47" s="164">
        <f t="shared" si="4"/>
        <v>0</v>
      </c>
      <c r="FI47" s="5">
        <v>0</v>
      </c>
      <c r="FJ47" s="164">
        <f t="shared" si="5"/>
        <v>0</v>
      </c>
      <c r="FL47" s="169">
        <v>7873</v>
      </c>
      <c r="FM47" s="170">
        <f t="shared" si="6"/>
        <v>0.68245451314546257</v>
      </c>
      <c r="FN47" s="169">
        <v>2591</v>
      </c>
      <c r="FO47" s="170">
        <f t="shared" si="7"/>
        <v>0.82634348588741824</v>
      </c>
    </row>
    <row r="48" spans="16:171" x14ac:dyDescent="0.35">
      <c r="P48" s="64">
        <v>46</v>
      </c>
      <c r="Q48" s="109">
        <v>0</v>
      </c>
      <c r="R48" s="110">
        <v>0</v>
      </c>
      <c r="S48" s="111">
        <v>0</v>
      </c>
      <c r="T48" s="110">
        <v>0</v>
      </c>
      <c r="U48" s="111">
        <v>0</v>
      </c>
      <c r="V48" s="110">
        <v>0</v>
      </c>
      <c r="W48" s="111">
        <v>0</v>
      </c>
      <c r="X48" s="110">
        <v>0</v>
      </c>
      <c r="Y48" s="111">
        <v>0</v>
      </c>
      <c r="Z48" s="110">
        <v>0</v>
      </c>
      <c r="AA48" s="111">
        <v>0</v>
      </c>
      <c r="AB48" s="110">
        <v>0</v>
      </c>
      <c r="AC48" s="111">
        <v>0</v>
      </c>
      <c r="AD48" s="110">
        <v>0</v>
      </c>
      <c r="AF48" s="64">
        <v>46</v>
      </c>
      <c r="AG48" s="109">
        <v>10145.977199999999</v>
      </c>
      <c r="AH48" s="111">
        <v>535.9</v>
      </c>
      <c r="AI48" s="109">
        <v>116.5</v>
      </c>
      <c r="AJ48" s="59">
        <v>0.11399999999999999</v>
      </c>
      <c r="AK48" s="59">
        <v>0.23299999999999998</v>
      </c>
      <c r="AL48" s="59">
        <v>0.23300000000000001</v>
      </c>
      <c r="AM48" s="110">
        <v>83.98</v>
      </c>
      <c r="AN48" s="111">
        <v>2410.2251999999999</v>
      </c>
      <c r="AO48" s="59">
        <v>0.13</v>
      </c>
      <c r="AP48" s="55">
        <v>0.20699999999999999</v>
      </c>
      <c r="AQ48" s="109">
        <v>38579</v>
      </c>
      <c r="AR48" s="111">
        <v>21949.125</v>
      </c>
      <c r="AS48" s="59">
        <v>0.86499999999999999</v>
      </c>
      <c r="AT48" s="55">
        <v>0.93500000000000005</v>
      </c>
      <c r="AU48" s="43"/>
      <c r="AV48" s="109">
        <v>1108.1969999999999</v>
      </c>
      <c r="AW48" s="110">
        <v>0.44999999999999996</v>
      </c>
      <c r="AX48" s="109">
        <v>981.60900000000004</v>
      </c>
      <c r="AY48" s="110">
        <v>0.61083322962041076</v>
      </c>
      <c r="AZ48" s="109">
        <v>1121.4780000000001</v>
      </c>
      <c r="BA48" s="110">
        <v>0.5784392407674851</v>
      </c>
      <c r="BB48" s="43"/>
      <c r="BC48" s="112">
        <v>51358.995000000003</v>
      </c>
      <c r="BD48" s="110">
        <v>0.73770491803278682</v>
      </c>
      <c r="BE48" s="43"/>
      <c r="BF48" s="157">
        <v>4333.1279999999997</v>
      </c>
      <c r="BG48" s="43">
        <v>0</v>
      </c>
      <c r="BH48" s="113">
        <v>0</v>
      </c>
      <c r="BI48" s="114">
        <v>0.13291803680981595</v>
      </c>
      <c r="BJ48" s="115">
        <v>0</v>
      </c>
      <c r="BK48" s="113">
        <v>0</v>
      </c>
      <c r="BL48" s="113">
        <v>0</v>
      </c>
      <c r="BM48" s="113">
        <v>0</v>
      </c>
      <c r="BN48" s="113">
        <v>1641.162</v>
      </c>
      <c r="BO48" s="114">
        <v>0.1217659890191423</v>
      </c>
      <c r="BP48" s="115">
        <v>0</v>
      </c>
      <c r="BQ48" s="43">
        <v>7668</v>
      </c>
      <c r="BR48" s="43">
        <v>649.37841563999996</v>
      </c>
      <c r="BS48" s="43"/>
      <c r="BT48" s="116">
        <v>-700</v>
      </c>
      <c r="BU48" s="43">
        <v>0</v>
      </c>
      <c r="BV48" s="43">
        <v>4485</v>
      </c>
      <c r="BW48" s="43">
        <v>4485</v>
      </c>
      <c r="BX48" s="43">
        <v>0</v>
      </c>
      <c r="BY48" s="43">
        <v>0</v>
      </c>
      <c r="BZ48" s="43">
        <v>-5000</v>
      </c>
      <c r="CA48" s="43">
        <v>0</v>
      </c>
      <c r="CB48" s="43">
        <v>-5300</v>
      </c>
      <c r="CC48" s="43">
        <v>0</v>
      </c>
      <c r="CD48" s="43">
        <v>-4000</v>
      </c>
      <c r="CE48" s="43">
        <v>0</v>
      </c>
      <c r="CF48" s="43">
        <v>4800</v>
      </c>
      <c r="CG48" s="43">
        <v>4800</v>
      </c>
      <c r="CH48" s="43">
        <v>15369.85930043</v>
      </c>
      <c r="CI48" s="43">
        <v>15369.85930043</v>
      </c>
      <c r="CJ48" s="114">
        <v>24654.859300429998</v>
      </c>
      <c r="CK48" s="43"/>
      <c r="CL48" s="116">
        <v>-700</v>
      </c>
      <c r="CM48" s="43">
        <v>700</v>
      </c>
      <c r="CN48" s="43">
        <v>4485</v>
      </c>
      <c r="CO48" s="43">
        <v>0</v>
      </c>
      <c r="CP48" s="43">
        <v>0</v>
      </c>
      <c r="CQ48" s="43">
        <v>0</v>
      </c>
      <c r="CR48" s="43">
        <v>-5000</v>
      </c>
      <c r="CS48" s="43">
        <v>5000</v>
      </c>
      <c r="CT48" s="43">
        <v>-5300</v>
      </c>
      <c r="CU48" s="43">
        <v>5300</v>
      </c>
      <c r="CV48" s="43">
        <v>-4000</v>
      </c>
      <c r="CW48" s="43">
        <v>4000</v>
      </c>
      <c r="CX48" s="43">
        <v>4800</v>
      </c>
      <c r="CY48" s="43">
        <v>0</v>
      </c>
      <c r="CZ48" s="43">
        <v>15369.85930043</v>
      </c>
      <c r="DA48" s="43">
        <v>0</v>
      </c>
      <c r="DB48" s="114">
        <v>15000</v>
      </c>
      <c r="DC48" s="43"/>
      <c r="DD48" s="117">
        <v>39596.436999999998</v>
      </c>
      <c r="DE48" s="55">
        <v>2320.5259999999998</v>
      </c>
      <c r="DF48" s="59">
        <v>1720.8544668348</v>
      </c>
      <c r="DG48" s="59">
        <v>43637.817466834793</v>
      </c>
      <c r="DH48" s="117">
        <v>9557.1360000000004</v>
      </c>
      <c r="DI48" s="117">
        <v>61400.411</v>
      </c>
      <c r="DJ48" s="55">
        <v>4143</v>
      </c>
      <c r="DK48" s="114">
        <v>65543.410999999993</v>
      </c>
      <c r="DL48" s="43"/>
      <c r="DM48" s="117">
        <v>737.27800000000002</v>
      </c>
      <c r="DN48" s="55">
        <v>10508.77584392489</v>
      </c>
      <c r="DO48" s="55">
        <v>11246.05384392489</v>
      </c>
      <c r="DP48" s="59">
        <v>1236.347389979639</v>
      </c>
      <c r="DQ48" s="59">
        <v>2907.740225390417</v>
      </c>
      <c r="DR48" s="59">
        <v>0</v>
      </c>
      <c r="DS48" s="55">
        <v>2907.740225390417</v>
      </c>
      <c r="DT48" s="55">
        <v>161.54112363280089</v>
      </c>
      <c r="DU48" s="55">
        <v>161.54112363280089</v>
      </c>
      <c r="DW48" s="121">
        <v>0</v>
      </c>
      <c r="DX48" s="122">
        <v>422.70993096000001</v>
      </c>
      <c r="DY48" s="128">
        <v>406.39380666</v>
      </c>
      <c r="DZ48" s="128">
        <v>0</v>
      </c>
      <c r="EA48" s="121">
        <v>0</v>
      </c>
      <c r="EB48" s="122">
        <v>1553.672292</v>
      </c>
      <c r="EC48" s="121">
        <v>0</v>
      </c>
      <c r="ED48" s="122">
        <v>0</v>
      </c>
      <c r="EE48" s="121">
        <v>0</v>
      </c>
      <c r="EF48" s="122">
        <v>847.5</v>
      </c>
      <c r="EG48" s="121">
        <v>0</v>
      </c>
      <c r="EH48" s="122">
        <v>3806.5758989199999</v>
      </c>
      <c r="EI48" s="121">
        <v>0</v>
      </c>
      <c r="EJ48" s="122">
        <v>422.70993096000001</v>
      </c>
      <c r="EK48" s="129">
        <v>1553.672292</v>
      </c>
      <c r="EL48" s="130">
        <v>847.5</v>
      </c>
      <c r="EM48" s="131">
        <v>735.83500000000004</v>
      </c>
      <c r="EN48" s="129">
        <v>0</v>
      </c>
      <c r="EO48" s="129">
        <v>5060.4697055799998</v>
      </c>
      <c r="EP48" s="129">
        <v>0</v>
      </c>
      <c r="ER48" s="157">
        <v>1060.085</v>
      </c>
      <c r="ES48" s="37">
        <v>1591.4646720000001</v>
      </c>
      <c r="ET48" s="55">
        <f t="shared" si="1"/>
        <v>9.2174343940582923E-2</v>
      </c>
      <c r="EU48" s="157">
        <v>0</v>
      </c>
      <c r="EV48" s="37">
        <v>174.43799999999999</v>
      </c>
      <c r="EW48" s="55">
        <f t="shared" si="8"/>
        <v>9.553032974880557E-2</v>
      </c>
      <c r="EY48" s="166">
        <v>0</v>
      </c>
      <c r="EZ48" s="37">
        <v>3156.57</v>
      </c>
      <c r="FA48" s="164">
        <f t="shared" si="2"/>
        <v>0.23203283156840868</v>
      </c>
      <c r="FB48" s="5">
        <v>4613</v>
      </c>
      <c r="FC48" s="164">
        <f t="shared" si="3"/>
        <v>1</v>
      </c>
      <c r="FE48" s="5"/>
      <c r="FF48" s="166">
        <v>0</v>
      </c>
      <c r="FG48" s="37">
        <v>0</v>
      </c>
      <c r="FH48" s="164">
        <f t="shared" si="4"/>
        <v>0</v>
      </c>
      <c r="FI48" s="5">
        <v>0</v>
      </c>
      <c r="FJ48" s="164">
        <f t="shared" si="5"/>
        <v>0</v>
      </c>
      <c r="FL48" s="169">
        <v>7873</v>
      </c>
      <c r="FM48" s="170">
        <f t="shared" si="6"/>
        <v>0.68245451314546257</v>
      </c>
      <c r="FN48" s="169">
        <v>2591</v>
      </c>
      <c r="FO48" s="170">
        <f t="shared" si="7"/>
        <v>0.82634348588741824</v>
      </c>
    </row>
    <row r="49" spans="16:171" x14ac:dyDescent="0.35">
      <c r="P49" s="64">
        <v>47</v>
      </c>
      <c r="Q49" s="109">
        <v>0</v>
      </c>
      <c r="R49" s="110">
        <v>0</v>
      </c>
      <c r="S49" s="111">
        <v>0</v>
      </c>
      <c r="T49" s="110">
        <v>0</v>
      </c>
      <c r="U49" s="111">
        <v>0</v>
      </c>
      <c r="V49" s="110">
        <v>0</v>
      </c>
      <c r="W49" s="111">
        <v>0</v>
      </c>
      <c r="X49" s="110">
        <v>0</v>
      </c>
      <c r="Y49" s="111">
        <v>0</v>
      </c>
      <c r="Z49" s="110">
        <v>0</v>
      </c>
      <c r="AA49" s="111">
        <v>0</v>
      </c>
      <c r="AB49" s="110">
        <v>0</v>
      </c>
      <c r="AC49" s="111">
        <v>0</v>
      </c>
      <c r="AD49" s="110">
        <v>0</v>
      </c>
      <c r="AF49" s="64">
        <v>47</v>
      </c>
      <c r="AG49" s="109">
        <v>9522.9786000000004</v>
      </c>
      <c r="AH49" s="111">
        <v>487.6</v>
      </c>
      <c r="AI49" s="109">
        <v>106</v>
      </c>
      <c r="AJ49" s="59">
        <v>0.107</v>
      </c>
      <c r="AK49" s="59">
        <v>0.21200000000000002</v>
      </c>
      <c r="AL49" s="59">
        <v>0.21199999999999999</v>
      </c>
      <c r="AM49" s="110">
        <v>82.042000000000002</v>
      </c>
      <c r="AN49" s="111">
        <v>2363.6507999999999</v>
      </c>
      <c r="AO49" s="59">
        <v>0.127</v>
      </c>
      <c r="AP49" s="55">
        <v>0.20299999999999999</v>
      </c>
      <c r="AQ49" s="109">
        <v>38534.400000000001</v>
      </c>
      <c r="AR49" s="111">
        <v>21902.174999999999</v>
      </c>
      <c r="AS49" s="59">
        <v>0.86399999999999999</v>
      </c>
      <c r="AT49" s="55">
        <v>0.93299999999999994</v>
      </c>
      <c r="AU49" s="43"/>
      <c r="AV49" s="109">
        <v>1098.346</v>
      </c>
      <c r="AW49" s="110">
        <v>0.44599985381660484</v>
      </c>
      <c r="AX49" s="109">
        <v>982.87699999999995</v>
      </c>
      <c r="AY49" s="110">
        <v>0.61162227753578091</v>
      </c>
      <c r="AZ49" s="109">
        <v>1121.4780000000001</v>
      </c>
      <c r="BA49" s="110">
        <v>0.5784392407674851</v>
      </c>
      <c r="BB49" s="43"/>
      <c r="BC49" s="112">
        <v>51358.995000000003</v>
      </c>
      <c r="BD49" s="110">
        <v>0.73770491803278682</v>
      </c>
      <c r="BE49" s="43"/>
      <c r="BF49" s="157">
        <v>4080.9690000000001</v>
      </c>
      <c r="BG49" s="43">
        <v>0</v>
      </c>
      <c r="BH49" s="113">
        <v>0</v>
      </c>
      <c r="BI49" s="114">
        <v>0.1251830981595092</v>
      </c>
      <c r="BJ49" s="115">
        <v>0</v>
      </c>
      <c r="BK49" s="113">
        <v>0</v>
      </c>
      <c r="BL49" s="113">
        <v>0</v>
      </c>
      <c r="BM49" s="113">
        <v>0</v>
      </c>
      <c r="BN49" s="113">
        <v>1657.6010000000001</v>
      </c>
      <c r="BO49" s="114">
        <v>0.12298568036800712</v>
      </c>
      <c r="BP49" s="115">
        <v>0</v>
      </c>
      <c r="BQ49" s="43">
        <v>7668</v>
      </c>
      <c r="BR49" s="43">
        <v>648.91853372000003</v>
      </c>
      <c r="BS49" s="43"/>
      <c r="BT49" s="116">
        <v>-700</v>
      </c>
      <c r="BU49" s="43">
        <v>0</v>
      </c>
      <c r="BV49" s="43">
        <v>4485</v>
      </c>
      <c r="BW49" s="43">
        <v>4485</v>
      </c>
      <c r="BX49" s="43">
        <v>0</v>
      </c>
      <c r="BY49" s="43">
        <v>0</v>
      </c>
      <c r="BZ49" s="43">
        <v>-5000</v>
      </c>
      <c r="CA49" s="43">
        <v>0</v>
      </c>
      <c r="CB49" s="43">
        <v>-5300</v>
      </c>
      <c r="CC49" s="43">
        <v>0</v>
      </c>
      <c r="CD49" s="43">
        <v>-4000</v>
      </c>
      <c r="CE49" s="43">
        <v>0</v>
      </c>
      <c r="CF49" s="43">
        <v>4800</v>
      </c>
      <c r="CG49" s="43">
        <v>4800</v>
      </c>
      <c r="CH49" s="43">
        <v>15231.701702279999</v>
      </c>
      <c r="CI49" s="43">
        <v>15231.701702279999</v>
      </c>
      <c r="CJ49" s="114">
        <v>24516.701702279999</v>
      </c>
      <c r="CK49" s="43"/>
      <c r="CL49" s="116">
        <v>-700</v>
      </c>
      <c r="CM49" s="43">
        <v>700</v>
      </c>
      <c r="CN49" s="43">
        <v>4485</v>
      </c>
      <c r="CO49" s="43">
        <v>0</v>
      </c>
      <c r="CP49" s="43">
        <v>0</v>
      </c>
      <c r="CQ49" s="43">
        <v>0</v>
      </c>
      <c r="CR49" s="43">
        <v>-5000</v>
      </c>
      <c r="CS49" s="43">
        <v>5000</v>
      </c>
      <c r="CT49" s="43">
        <v>-5300</v>
      </c>
      <c r="CU49" s="43">
        <v>5300</v>
      </c>
      <c r="CV49" s="43">
        <v>-4000</v>
      </c>
      <c r="CW49" s="43">
        <v>4000</v>
      </c>
      <c r="CX49" s="43">
        <v>4800</v>
      </c>
      <c r="CY49" s="43">
        <v>0</v>
      </c>
      <c r="CZ49" s="43">
        <v>15231.701702279999</v>
      </c>
      <c r="DA49" s="43">
        <v>0</v>
      </c>
      <c r="DB49" s="114">
        <v>15000</v>
      </c>
      <c r="DC49" s="43"/>
      <c r="DD49" s="117">
        <v>36990.762999999999</v>
      </c>
      <c r="DE49" s="55">
        <v>2314.7359999999999</v>
      </c>
      <c r="DF49" s="59">
        <v>1745.2587820502999</v>
      </c>
      <c r="DG49" s="59">
        <v>41050.757782050299</v>
      </c>
      <c r="DH49" s="117">
        <v>9466.4089999999997</v>
      </c>
      <c r="DI49" s="117">
        <v>61168.411</v>
      </c>
      <c r="DJ49" s="55">
        <v>4252</v>
      </c>
      <c r="DK49" s="114">
        <v>65420.411</v>
      </c>
      <c r="DL49" s="43"/>
      <c r="DM49" s="117">
        <v>656.23400000000004</v>
      </c>
      <c r="DN49" s="55">
        <v>10493.065843074541</v>
      </c>
      <c r="DO49" s="55">
        <v>11149.299843074541</v>
      </c>
      <c r="DP49" s="59">
        <v>1184.791349728639</v>
      </c>
      <c r="DQ49" s="59">
        <v>2899.4623509651742</v>
      </c>
      <c r="DR49" s="59">
        <v>0</v>
      </c>
      <c r="DS49" s="55">
        <v>2899.4623509651742</v>
      </c>
      <c r="DT49" s="55">
        <v>161.08124172028741</v>
      </c>
      <c r="DU49" s="55">
        <v>161.08124172028741</v>
      </c>
      <c r="DW49" s="121">
        <v>0</v>
      </c>
      <c r="DX49" s="122">
        <v>323.07465397999999</v>
      </c>
      <c r="DY49" s="128">
        <v>657.97380666000004</v>
      </c>
      <c r="DZ49" s="128">
        <v>0</v>
      </c>
      <c r="EA49" s="121">
        <v>0</v>
      </c>
      <c r="EB49" s="122">
        <v>1553.672292</v>
      </c>
      <c r="EC49" s="121">
        <v>0</v>
      </c>
      <c r="ED49" s="122">
        <v>0</v>
      </c>
      <c r="EE49" s="121">
        <v>0</v>
      </c>
      <c r="EF49" s="122">
        <v>847.5</v>
      </c>
      <c r="EG49" s="121">
        <v>0</v>
      </c>
      <c r="EH49" s="122">
        <v>3463.6384963599999</v>
      </c>
      <c r="EI49" s="121">
        <v>0</v>
      </c>
      <c r="EJ49" s="122">
        <v>323.07465397999999</v>
      </c>
      <c r="EK49" s="129">
        <v>1553.672292</v>
      </c>
      <c r="EL49" s="130">
        <v>847.5</v>
      </c>
      <c r="EM49" s="131">
        <v>735.83500000000004</v>
      </c>
      <c r="EN49" s="129">
        <v>0</v>
      </c>
      <c r="EO49" s="129">
        <v>4969.1123030199997</v>
      </c>
      <c r="EP49" s="129">
        <v>0</v>
      </c>
      <c r="ER49" s="157">
        <v>1026.4259999999999</v>
      </c>
      <c r="ES49" s="37">
        <v>1591.4646720000001</v>
      </c>
      <c r="ET49" s="55">
        <f t="shared" si="1"/>
        <v>9.1004274876647209E-2</v>
      </c>
      <c r="EU49" s="157">
        <v>0</v>
      </c>
      <c r="EV49" s="37">
        <v>174.43799999999999</v>
      </c>
      <c r="EW49" s="55">
        <f t="shared" si="8"/>
        <v>9.553032974880557E-2</v>
      </c>
      <c r="EY49" s="166">
        <v>5227.2105365099997</v>
      </c>
      <c r="EZ49" s="37">
        <v>3156.57</v>
      </c>
      <c r="FA49" s="164">
        <f t="shared" si="2"/>
        <v>0.61627410041105612</v>
      </c>
      <c r="FB49" s="5">
        <v>4613</v>
      </c>
      <c r="FC49" s="164">
        <f t="shared" si="3"/>
        <v>1</v>
      </c>
      <c r="FE49" s="5"/>
      <c r="FF49" s="166">
        <v>0</v>
      </c>
      <c r="FG49" s="37">
        <v>0</v>
      </c>
      <c r="FH49" s="164">
        <f t="shared" si="4"/>
        <v>0</v>
      </c>
      <c r="FI49" s="5">
        <v>0</v>
      </c>
      <c r="FJ49" s="164">
        <f t="shared" si="5"/>
        <v>0</v>
      </c>
      <c r="FL49" s="169">
        <v>7873</v>
      </c>
      <c r="FM49" s="170">
        <f t="shared" si="6"/>
        <v>0.68245451314546257</v>
      </c>
      <c r="FN49" s="169">
        <v>2591</v>
      </c>
      <c r="FO49" s="170">
        <f t="shared" si="7"/>
        <v>0.82634348588741824</v>
      </c>
    </row>
    <row r="50" spans="16:171" x14ac:dyDescent="0.35">
      <c r="P50" s="64">
        <v>48</v>
      </c>
      <c r="Q50" s="109">
        <v>0</v>
      </c>
      <c r="R50" s="110">
        <v>0</v>
      </c>
      <c r="S50" s="111">
        <v>0</v>
      </c>
      <c r="T50" s="110">
        <v>0</v>
      </c>
      <c r="U50" s="111">
        <v>0</v>
      </c>
      <c r="V50" s="110">
        <v>0</v>
      </c>
      <c r="W50" s="111">
        <v>0</v>
      </c>
      <c r="X50" s="110">
        <v>0</v>
      </c>
      <c r="Y50" s="111">
        <v>0</v>
      </c>
      <c r="Z50" s="110">
        <v>0</v>
      </c>
      <c r="AA50" s="111">
        <v>0</v>
      </c>
      <c r="AB50" s="110">
        <v>0</v>
      </c>
      <c r="AC50" s="111">
        <v>0</v>
      </c>
      <c r="AD50" s="110">
        <v>0</v>
      </c>
      <c r="AF50" s="64">
        <v>48</v>
      </c>
      <c r="AG50" s="109">
        <v>9166.9794000000002</v>
      </c>
      <c r="AH50" s="111">
        <v>443.9</v>
      </c>
      <c r="AI50" s="109">
        <v>96.5</v>
      </c>
      <c r="AJ50" s="59">
        <v>0.10299999999999999</v>
      </c>
      <c r="AK50" s="59">
        <v>0.19299999999999998</v>
      </c>
      <c r="AL50" s="59">
        <v>0.193</v>
      </c>
      <c r="AM50" s="110">
        <v>74.936000000000007</v>
      </c>
      <c r="AN50" s="111">
        <v>2503.3739999999998</v>
      </c>
      <c r="AO50" s="59">
        <v>0.11600000000000001</v>
      </c>
      <c r="AP50" s="55">
        <v>0.21499999999999997</v>
      </c>
      <c r="AQ50" s="109">
        <v>38445.199999999997</v>
      </c>
      <c r="AR50" s="111">
        <v>21949.125</v>
      </c>
      <c r="AS50" s="59">
        <v>0.86199999999999999</v>
      </c>
      <c r="AT50" s="55">
        <v>0.93500000000000005</v>
      </c>
      <c r="AU50" s="43"/>
      <c r="AV50" s="109">
        <v>1098.346</v>
      </c>
      <c r="AW50" s="110">
        <v>0.44599985381660484</v>
      </c>
      <c r="AX50" s="109">
        <v>974.91899999999998</v>
      </c>
      <c r="AY50" s="110">
        <v>0.60667019290603608</v>
      </c>
      <c r="AZ50" s="109">
        <v>1121.4780000000001</v>
      </c>
      <c r="BA50" s="110">
        <v>0.5784392407674851</v>
      </c>
      <c r="BB50" s="43"/>
      <c r="BC50" s="112">
        <v>51358.995000000003</v>
      </c>
      <c r="BD50" s="110">
        <v>0.73770491803278682</v>
      </c>
      <c r="BE50" s="43"/>
      <c r="BF50" s="157">
        <v>3930.1149999999998</v>
      </c>
      <c r="BG50" s="43">
        <v>0</v>
      </c>
      <c r="BH50" s="113">
        <v>0</v>
      </c>
      <c r="BI50" s="114">
        <v>0.12055567484662576</v>
      </c>
      <c r="BJ50" s="115">
        <v>0</v>
      </c>
      <c r="BK50" s="113">
        <v>0</v>
      </c>
      <c r="BL50" s="113">
        <v>0</v>
      </c>
      <c r="BM50" s="113">
        <v>0</v>
      </c>
      <c r="BN50" s="113">
        <v>1584.8920000000001</v>
      </c>
      <c r="BO50" s="114">
        <v>0.11759103724588219</v>
      </c>
      <c r="BP50" s="115">
        <v>0</v>
      </c>
      <c r="BQ50" s="43">
        <v>7668</v>
      </c>
      <c r="BR50" s="43">
        <v>648.91853372000003</v>
      </c>
      <c r="BS50" s="43"/>
      <c r="BT50" s="116">
        <v>-700</v>
      </c>
      <c r="BU50" s="43">
        <v>0</v>
      </c>
      <c r="BV50" s="43">
        <v>4485</v>
      </c>
      <c r="BW50" s="43">
        <v>4485</v>
      </c>
      <c r="BX50" s="43">
        <v>0</v>
      </c>
      <c r="BY50" s="43">
        <v>0</v>
      </c>
      <c r="BZ50" s="43">
        <v>-5000</v>
      </c>
      <c r="CA50" s="43">
        <v>0</v>
      </c>
      <c r="CB50" s="43">
        <v>-5300</v>
      </c>
      <c r="CC50" s="43">
        <v>0</v>
      </c>
      <c r="CD50" s="43">
        <v>-4000</v>
      </c>
      <c r="CE50" s="43">
        <v>0</v>
      </c>
      <c r="CF50" s="43">
        <v>4800</v>
      </c>
      <c r="CG50" s="43">
        <v>4800</v>
      </c>
      <c r="CH50" s="43">
        <v>19917.952738119999</v>
      </c>
      <c r="CI50" s="43">
        <v>19917.952738119999</v>
      </c>
      <c r="CJ50" s="114">
        <v>29202.952738119999</v>
      </c>
      <c r="CK50" s="43"/>
      <c r="CL50" s="116">
        <v>-700</v>
      </c>
      <c r="CM50" s="43">
        <v>700</v>
      </c>
      <c r="CN50" s="43">
        <v>4485</v>
      </c>
      <c r="CO50" s="43">
        <v>0</v>
      </c>
      <c r="CP50" s="43">
        <v>0</v>
      </c>
      <c r="CQ50" s="43">
        <v>0</v>
      </c>
      <c r="CR50" s="43">
        <v>-5000</v>
      </c>
      <c r="CS50" s="43">
        <v>5000</v>
      </c>
      <c r="CT50" s="43">
        <v>-5300</v>
      </c>
      <c r="CU50" s="43">
        <v>5300</v>
      </c>
      <c r="CV50" s="43">
        <v>-4000</v>
      </c>
      <c r="CW50" s="43">
        <v>4000</v>
      </c>
      <c r="CX50" s="43">
        <v>4800</v>
      </c>
      <c r="CY50" s="43">
        <v>0</v>
      </c>
      <c r="CZ50" s="43">
        <v>19917.952738119999</v>
      </c>
      <c r="DA50" s="43">
        <v>0</v>
      </c>
      <c r="DB50" s="114">
        <v>15000</v>
      </c>
      <c r="DC50" s="43"/>
      <c r="DD50" s="117">
        <v>34623.188000000002</v>
      </c>
      <c r="DE50" s="55">
        <v>2198.8510000000001</v>
      </c>
      <c r="DF50" s="59">
        <v>1454.6640060994</v>
      </c>
      <c r="DG50" s="59">
        <v>38276.703006099408</v>
      </c>
      <c r="DH50" s="117">
        <v>9021.4459999999999</v>
      </c>
      <c r="DI50" s="117">
        <v>58781.411</v>
      </c>
      <c r="DJ50" s="55">
        <v>4306</v>
      </c>
      <c r="DK50" s="114">
        <v>63087.411</v>
      </c>
      <c r="DL50" s="43"/>
      <c r="DM50" s="117">
        <v>609.27099999999996</v>
      </c>
      <c r="DN50" s="55">
        <v>10493.065843074541</v>
      </c>
      <c r="DO50" s="55">
        <v>11102.336843074541</v>
      </c>
      <c r="DP50" s="59">
        <v>1184.791349728639</v>
      </c>
      <c r="DQ50" s="59">
        <v>2899.4623509651742</v>
      </c>
      <c r="DR50" s="59">
        <v>0</v>
      </c>
      <c r="DS50" s="55">
        <v>2899.4623509651742</v>
      </c>
      <c r="DT50" s="55">
        <v>161.08124172028741</v>
      </c>
      <c r="DU50" s="55">
        <v>161.08124172028741</v>
      </c>
      <c r="DW50" s="121">
        <v>0</v>
      </c>
      <c r="DX50" s="122">
        <v>164.34492398</v>
      </c>
      <c r="DY50" s="128">
        <v>406.39380666</v>
      </c>
      <c r="DZ50" s="128">
        <v>0</v>
      </c>
      <c r="EA50" s="121">
        <v>0</v>
      </c>
      <c r="EB50" s="122">
        <v>1553.672292</v>
      </c>
      <c r="EC50" s="121">
        <v>0</v>
      </c>
      <c r="ED50" s="122">
        <v>0</v>
      </c>
      <c r="EE50" s="121">
        <v>0</v>
      </c>
      <c r="EF50" s="122">
        <v>847.5</v>
      </c>
      <c r="EG50" s="121">
        <v>0</v>
      </c>
      <c r="EH50" s="122">
        <v>3556.4887663600002</v>
      </c>
      <c r="EI50" s="121">
        <v>0</v>
      </c>
      <c r="EJ50" s="122">
        <v>164.34492398</v>
      </c>
      <c r="EK50" s="129">
        <v>1553.672292</v>
      </c>
      <c r="EL50" s="130">
        <v>847.5</v>
      </c>
      <c r="EM50" s="131">
        <v>735.83500000000004</v>
      </c>
      <c r="EN50" s="129">
        <v>0</v>
      </c>
      <c r="EO50" s="129">
        <v>4810.3825730200006</v>
      </c>
      <c r="EP50" s="129">
        <v>0</v>
      </c>
      <c r="ER50" s="157">
        <v>1001.442</v>
      </c>
      <c r="ES50" s="37">
        <v>4850.2973344299999</v>
      </c>
      <c r="ET50" s="55">
        <f t="shared" si="1"/>
        <v>0.20342075419448849</v>
      </c>
      <c r="EU50" s="157">
        <v>0</v>
      </c>
      <c r="EV50" s="37">
        <v>173.05199999999999</v>
      </c>
      <c r="EW50" s="55">
        <f t="shared" si="8"/>
        <v>9.4771291941493835E-2</v>
      </c>
      <c r="EY50" s="166">
        <v>0</v>
      </c>
      <c r="EZ50" s="37">
        <v>3156.57</v>
      </c>
      <c r="FA50" s="164">
        <f t="shared" si="2"/>
        <v>0.23203283156840868</v>
      </c>
      <c r="FB50" s="5">
        <v>4613</v>
      </c>
      <c r="FC50" s="164">
        <f t="shared" si="3"/>
        <v>1</v>
      </c>
      <c r="FE50" s="5"/>
      <c r="FF50" s="166">
        <v>0</v>
      </c>
      <c r="FG50" s="37">
        <v>0</v>
      </c>
      <c r="FH50" s="164">
        <f t="shared" si="4"/>
        <v>0</v>
      </c>
      <c r="FI50" s="5">
        <v>0</v>
      </c>
      <c r="FJ50" s="164">
        <f t="shared" si="5"/>
        <v>0</v>
      </c>
      <c r="FL50" s="169">
        <v>7873</v>
      </c>
      <c r="FM50" s="170">
        <f t="shared" si="6"/>
        <v>0.68245451314546257</v>
      </c>
      <c r="FN50" s="169">
        <v>2591</v>
      </c>
      <c r="FO50" s="170">
        <f t="shared" si="7"/>
        <v>0.82634348588741824</v>
      </c>
    </row>
    <row r="51" spans="16:171" x14ac:dyDescent="0.35">
      <c r="P51" s="64">
        <v>49</v>
      </c>
      <c r="Q51" s="109">
        <v>0</v>
      </c>
      <c r="R51" s="110">
        <v>0</v>
      </c>
      <c r="S51" s="111">
        <v>0</v>
      </c>
      <c r="T51" s="110">
        <v>0</v>
      </c>
      <c r="U51" s="111">
        <v>0</v>
      </c>
      <c r="V51" s="110">
        <v>0</v>
      </c>
      <c r="W51" s="111">
        <v>0</v>
      </c>
      <c r="X51" s="110">
        <v>0</v>
      </c>
      <c r="Y51" s="111">
        <v>0</v>
      </c>
      <c r="Z51" s="110">
        <v>0</v>
      </c>
      <c r="AA51" s="111">
        <v>0</v>
      </c>
      <c r="AB51" s="110">
        <v>0</v>
      </c>
      <c r="AC51" s="111">
        <v>0</v>
      </c>
      <c r="AD51" s="110">
        <v>0</v>
      </c>
      <c r="AF51" s="64">
        <v>49</v>
      </c>
      <c r="AG51" s="109">
        <v>9611.9784</v>
      </c>
      <c r="AH51" s="111">
        <v>420.9</v>
      </c>
      <c r="AI51" s="109">
        <v>91.5</v>
      </c>
      <c r="AJ51" s="59">
        <v>0.108</v>
      </c>
      <c r="AK51" s="59">
        <v>0.183</v>
      </c>
      <c r="AL51" s="59">
        <v>0.183</v>
      </c>
      <c r="AM51" s="110">
        <v>71.06</v>
      </c>
      <c r="AN51" s="111">
        <v>2736.2460000000001</v>
      </c>
      <c r="AO51" s="59">
        <v>0.11</v>
      </c>
      <c r="AP51" s="55">
        <v>0.23500000000000001</v>
      </c>
      <c r="AQ51" s="109">
        <v>38222.199999999997</v>
      </c>
      <c r="AR51" s="111">
        <v>21855.224999999999</v>
      </c>
      <c r="AS51" s="59">
        <v>0.85699999999999998</v>
      </c>
      <c r="AT51" s="55">
        <v>0.93099999999999994</v>
      </c>
      <c r="AU51" s="43"/>
      <c r="AV51" s="109">
        <v>1068.7940000000001</v>
      </c>
      <c r="AW51" s="110">
        <v>0.43399982133140597</v>
      </c>
      <c r="AX51" s="109">
        <v>895.11</v>
      </c>
      <c r="AY51" s="110">
        <v>0.55700684505289355</v>
      </c>
      <c r="AZ51" s="109">
        <v>1121.4780000000001</v>
      </c>
      <c r="BA51" s="110">
        <v>0.5784392407674851</v>
      </c>
      <c r="BB51" s="43"/>
      <c r="BC51" s="112">
        <v>51358.995000000003</v>
      </c>
      <c r="BD51" s="110">
        <v>0.73770491803278682</v>
      </c>
      <c r="BE51" s="43"/>
      <c r="BF51" s="157">
        <v>4094.4569999999999</v>
      </c>
      <c r="BG51" s="43">
        <v>0</v>
      </c>
      <c r="BH51" s="113">
        <v>0</v>
      </c>
      <c r="BI51" s="114">
        <v>0.12559684049079753</v>
      </c>
      <c r="BJ51" s="115">
        <v>0</v>
      </c>
      <c r="BK51" s="113">
        <v>0</v>
      </c>
      <c r="BL51" s="113">
        <v>0</v>
      </c>
      <c r="BM51" s="113">
        <v>0</v>
      </c>
      <c r="BN51" s="113">
        <v>1524.271</v>
      </c>
      <c r="BO51" s="114">
        <v>0.11309326309541474</v>
      </c>
      <c r="BP51" s="115">
        <v>0</v>
      </c>
      <c r="BQ51" s="43">
        <v>7668</v>
      </c>
      <c r="BR51" s="43">
        <v>648.91754766999998</v>
      </c>
      <c r="BS51" s="43"/>
      <c r="BT51" s="116">
        <v>-700</v>
      </c>
      <c r="BU51" s="43">
        <v>0</v>
      </c>
      <c r="BV51" s="43">
        <v>4485</v>
      </c>
      <c r="BW51" s="43">
        <v>4485</v>
      </c>
      <c r="BX51" s="43">
        <v>0</v>
      </c>
      <c r="BY51" s="43">
        <v>0</v>
      </c>
      <c r="BZ51" s="43">
        <v>-5000</v>
      </c>
      <c r="CA51" s="43">
        <v>0</v>
      </c>
      <c r="CB51" s="43">
        <v>-1860.1406385299999</v>
      </c>
      <c r="CC51" s="43">
        <v>0</v>
      </c>
      <c r="CD51" s="43">
        <v>-4000</v>
      </c>
      <c r="CE51" s="43">
        <v>0</v>
      </c>
      <c r="CF51" s="43">
        <v>4800</v>
      </c>
      <c r="CG51" s="43">
        <v>4800</v>
      </c>
      <c r="CH51" s="43">
        <v>23388.955005749998</v>
      </c>
      <c r="CI51" s="43">
        <v>23388.955005749998</v>
      </c>
      <c r="CJ51" s="114">
        <v>32673.955005749998</v>
      </c>
      <c r="CK51" s="43"/>
      <c r="CL51" s="116">
        <v>-700</v>
      </c>
      <c r="CM51" s="43">
        <v>700</v>
      </c>
      <c r="CN51" s="43">
        <v>4485</v>
      </c>
      <c r="CO51" s="43">
        <v>0</v>
      </c>
      <c r="CP51" s="43">
        <v>0</v>
      </c>
      <c r="CQ51" s="43">
        <v>0</v>
      </c>
      <c r="CR51" s="43">
        <v>-5000</v>
      </c>
      <c r="CS51" s="43">
        <v>5000</v>
      </c>
      <c r="CT51" s="43">
        <v>-1860.1406385299999</v>
      </c>
      <c r="CU51" s="43">
        <v>1860.1406385299999</v>
      </c>
      <c r="CV51" s="43">
        <v>-4000</v>
      </c>
      <c r="CW51" s="43">
        <v>4000</v>
      </c>
      <c r="CX51" s="43">
        <v>4800</v>
      </c>
      <c r="CY51" s="43">
        <v>0</v>
      </c>
      <c r="CZ51" s="43">
        <v>23388.955005749998</v>
      </c>
      <c r="DA51" s="43">
        <v>0</v>
      </c>
      <c r="DB51" s="114">
        <v>11560.14063853</v>
      </c>
      <c r="DC51" s="43"/>
      <c r="DD51" s="117">
        <v>31989.633999999998</v>
      </c>
      <c r="DE51" s="55">
        <v>2051.8389999999999</v>
      </c>
      <c r="DF51" s="59">
        <v>1176.8626443866999</v>
      </c>
      <c r="DG51" s="59">
        <v>35218.335644386701</v>
      </c>
      <c r="DH51" s="117">
        <v>8308.8960000000006</v>
      </c>
      <c r="DI51" s="117">
        <v>56215.411</v>
      </c>
      <c r="DJ51" s="55">
        <v>4289</v>
      </c>
      <c r="DK51" s="114">
        <v>60504.411</v>
      </c>
      <c r="DL51" s="43"/>
      <c r="DM51" s="117">
        <v>601.35900000000004</v>
      </c>
      <c r="DN51" s="55">
        <v>10493.065843074541</v>
      </c>
      <c r="DO51" s="55">
        <v>11094.424843074541</v>
      </c>
      <c r="DP51" s="59">
        <v>1235.3721215036271</v>
      </c>
      <c r="DQ51" s="59">
        <v>2899.4446020647688</v>
      </c>
      <c r="DR51" s="59">
        <v>0</v>
      </c>
      <c r="DS51" s="55">
        <v>2899.4446020647688</v>
      </c>
      <c r="DT51" s="55">
        <v>161.08025567026499</v>
      </c>
      <c r="DU51" s="55">
        <v>161.08025567026499</v>
      </c>
      <c r="DW51" s="121">
        <v>0</v>
      </c>
      <c r="DX51" s="122">
        <v>174.87043702</v>
      </c>
      <c r="DY51" s="128">
        <v>657.97380666000004</v>
      </c>
      <c r="DZ51" s="128">
        <v>0</v>
      </c>
      <c r="EA51" s="121">
        <v>0</v>
      </c>
      <c r="EB51" s="122">
        <v>1553.672292</v>
      </c>
      <c r="EC51" s="121">
        <v>0</v>
      </c>
      <c r="ED51" s="122">
        <v>0</v>
      </c>
      <c r="EE51" s="121">
        <v>0</v>
      </c>
      <c r="EF51" s="122">
        <v>847.5</v>
      </c>
      <c r="EG51" s="121">
        <v>0</v>
      </c>
      <c r="EH51" s="122">
        <v>3315.4520283000002</v>
      </c>
      <c r="EI51" s="121">
        <v>0</v>
      </c>
      <c r="EJ51" s="122">
        <v>174.87043702</v>
      </c>
      <c r="EK51" s="129">
        <v>1553.672292</v>
      </c>
      <c r="EL51" s="130">
        <v>847.5</v>
      </c>
      <c r="EM51" s="131">
        <v>735.83500000000004</v>
      </c>
      <c r="EN51" s="129">
        <v>0</v>
      </c>
      <c r="EO51" s="129">
        <v>4820.9258349600004</v>
      </c>
      <c r="EP51" s="129">
        <v>0</v>
      </c>
      <c r="ER51" s="157">
        <v>904.62900000000002</v>
      </c>
      <c r="ES51" s="37">
        <v>1835.1986978699999</v>
      </c>
      <c r="ET51" s="55">
        <f t="shared" si="1"/>
        <v>9.5243103769924356E-2</v>
      </c>
      <c r="EU51" s="157">
        <v>0</v>
      </c>
      <c r="EV51" s="37">
        <v>154.77000000000001</v>
      </c>
      <c r="EW51" s="55">
        <f t="shared" si="8"/>
        <v>8.4759221816477145E-2</v>
      </c>
      <c r="EY51" s="166">
        <v>0</v>
      </c>
      <c r="EZ51" s="37">
        <v>3156.57</v>
      </c>
      <c r="FA51" s="164">
        <f t="shared" si="2"/>
        <v>0.23203283156840868</v>
      </c>
      <c r="FB51" s="5">
        <v>4613</v>
      </c>
      <c r="FC51" s="164">
        <f t="shared" si="3"/>
        <v>1</v>
      </c>
      <c r="FE51" s="5"/>
      <c r="FF51" s="166">
        <v>0</v>
      </c>
      <c r="FG51" s="37">
        <v>0</v>
      </c>
      <c r="FH51" s="164">
        <f t="shared" si="4"/>
        <v>0</v>
      </c>
      <c r="FI51" s="5">
        <v>0</v>
      </c>
      <c r="FJ51" s="164">
        <f t="shared" si="5"/>
        <v>0</v>
      </c>
      <c r="FL51" s="169">
        <v>7873</v>
      </c>
      <c r="FM51" s="170">
        <f t="shared" si="6"/>
        <v>0.68245451314546257</v>
      </c>
      <c r="FN51" s="169">
        <v>2591</v>
      </c>
      <c r="FO51" s="170">
        <f t="shared" si="7"/>
        <v>0.82634348588741824</v>
      </c>
    </row>
    <row r="52" spans="16:171" x14ac:dyDescent="0.35">
      <c r="P52" s="64">
        <v>50</v>
      </c>
      <c r="Q52" s="109">
        <v>0</v>
      </c>
      <c r="R52" s="110">
        <v>0</v>
      </c>
      <c r="S52" s="111">
        <v>0</v>
      </c>
      <c r="T52" s="110">
        <v>0</v>
      </c>
      <c r="U52" s="111">
        <v>0</v>
      </c>
      <c r="V52" s="110">
        <v>0</v>
      </c>
      <c r="W52" s="111">
        <v>0</v>
      </c>
      <c r="X52" s="110">
        <v>0</v>
      </c>
      <c r="Y52" s="111">
        <v>0</v>
      </c>
      <c r="Z52" s="110">
        <v>0</v>
      </c>
      <c r="AA52" s="111">
        <v>0</v>
      </c>
      <c r="AB52" s="110">
        <v>0</v>
      </c>
      <c r="AC52" s="111">
        <v>0</v>
      </c>
      <c r="AD52" s="110">
        <v>0</v>
      </c>
      <c r="AF52" s="64">
        <v>50</v>
      </c>
      <c r="AG52" s="109">
        <v>9878.9778000000006</v>
      </c>
      <c r="AH52" s="111">
        <v>409.4</v>
      </c>
      <c r="AI52" s="109">
        <v>89</v>
      </c>
      <c r="AJ52" s="59">
        <v>0.111</v>
      </c>
      <c r="AK52" s="59">
        <v>0.17799999999999999</v>
      </c>
      <c r="AL52" s="59">
        <v>0.17799999999999999</v>
      </c>
      <c r="AM52" s="110">
        <v>68.475999999999999</v>
      </c>
      <c r="AN52" s="111">
        <v>2875.9692</v>
      </c>
      <c r="AO52" s="59">
        <v>0.106</v>
      </c>
      <c r="AP52" s="55">
        <v>0.247</v>
      </c>
      <c r="AQ52" s="109">
        <v>37954.6</v>
      </c>
      <c r="AR52" s="111">
        <v>21456.15</v>
      </c>
      <c r="AS52" s="59">
        <v>0.85099999999999998</v>
      </c>
      <c r="AT52" s="55">
        <v>0.91400000000000003</v>
      </c>
      <c r="AU52" s="43"/>
      <c r="AV52" s="109">
        <v>1058.944</v>
      </c>
      <c r="AW52" s="110">
        <v>0.43000008121299732</v>
      </c>
      <c r="AX52" s="109">
        <v>888.40899999999999</v>
      </c>
      <c r="AY52" s="110">
        <v>0.55283696328562537</v>
      </c>
      <c r="AZ52" s="109">
        <v>1121.4780000000001</v>
      </c>
      <c r="BA52" s="110">
        <v>0.5784392407674851</v>
      </c>
      <c r="BB52" s="43"/>
      <c r="BC52" s="112">
        <v>52500.305999999997</v>
      </c>
      <c r="BD52" s="110">
        <v>0.75409836065573765</v>
      </c>
      <c r="BE52" s="43"/>
      <c r="BF52" s="157">
        <v>4236.8320000000003</v>
      </c>
      <c r="BG52" s="43">
        <v>0</v>
      </c>
      <c r="BH52" s="113">
        <v>0</v>
      </c>
      <c r="BI52" s="114">
        <v>0.1299641717791411</v>
      </c>
      <c r="BJ52" s="115">
        <v>0</v>
      </c>
      <c r="BK52" s="113">
        <v>0</v>
      </c>
      <c r="BL52" s="113">
        <v>0</v>
      </c>
      <c r="BM52" s="113">
        <v>0</v>
      </c>
      <c r="BN52" s="113">
        <v>1510.5139999999999</v>
      </c>
      <c r="BO52" s="114">
        <v>0.11207256269476183</v>
      </c>
      <c r="BP52" s="115">
        <v>0</v>
      </c>
      <c r="BQ52" s="43">
        <v>7668</v>
      </c>
      <c r="BR52" s="43">
        <v>648.91754766999998</v>
      </c>
      <c r="BS52" s="43"/>
      <c r="BT52" s="116">
        <v>-700</v>
      </c>
      <c r="BU52" s="43">
        <v>0</v>
      </c>
      <c r="BV52" s="43">
        <v>4485</v>
      </c>
      <c r="BW52" s="43">
        <v>4485</v>
      </c>
      <c r="BX52" s="43">
        <v>0</v>
      </c>
      <c r="BY52" s="43">
        <v>0</v>
      </c>
      <c r="BZ52" s="43">
        <v>-5000</v>
      </c>
      <c r="CA52" s="43">
        <v>0</v>
      </c>
      <c r="CB52" s="43">
        <v>-2919.8455569900002</v>
      </c>
      <c r="CC52" s="43">
        <v>0</v>
      </c>
      <c r="CD52" s="43">
        <v>-4000</v>
      </c>
      <c r="CE52" s="43">
        <v>0</v>
      </c>
      <c r="CF52" s="43">
        <v>4800</v>
      </c>
      <c r="CG52" s="43">
        <v>4800</v>
      </c>
      <c r="CH52" s="43">
        <v>23867.5006192</v>
      </c>
      <c r="CI52" s="43">
        <v>23867.5006192</v>
      </c>
      <c r="CJ52" s="114">
        <v>33152.5006192</v>
      </c>
      <c r="CK52" s="43"/>
      <c r="CL52" s="116">
        <v>-700</v>
      </c>
      <c r="CM52" s="43">
        <v>700</v>
      </c>
      <c r="CN52" s="43">
        <v>4485</v>
      </c>
      <c r="CO52" s="43">
        <v>0</v>
      </c>
      <c r="CP52" s="43">
        <v>0</v>
      </c>
      <c r="CQ52" s="43">
        <v>0</v>
      </c>
      <c r="CR52" s="43">
        <v>-5000</v>
      </c>
      <c r="CS52" s="43">
        <v>5000</v>
      </c>
      <c r="CT52" s="43">
        <v>-2919.8455569900002</v>
      </c>
      <c r="CU52" s="43">
        <v>2919.8455569900002</v>
      </c>
      <c r="CV52" s="43">
        <v>-4000</v>
      </c>
      <c r="CW52" s="43">
        <v>4000</v>
      </c>
      <c r="CX52" s="43">
        <v>4800</v>
      </c>
      <c r="CY52" s="43">
        <v>0</v>
      </c>
      <c r="CZ52" s="43">
        <v>23867.5006192</v>
      </c>
      <c r="DA52" s="43">
        <v>0</v>
      </c>
      <c r="DB52" s="114">
        <v>12619.84555699</v>
      </c>
      <c r="DC52" s="43"/>
      <c r="DD52" s="117">
        <v>30206.218000000001</v>
      </c>
      <c r="DE52" s="55">
        <v>1980.4690000000001</v>
      </c>
      <c r="DF52" s="59">
        <v>900.23500903709999</v>
      </c>
      <c r="DG52" s="59">
        <v>33086.922009037102</v>
      </c>
      <c r="DH52" s="117">
        <v>7904.4809999999998</v>
      </c>
      <c r="DI52" s="117">
        <v>53912.411</v>
      </c>
      <c r="DJ52" s="55">
        <v>4325</v>
      </c>
      <c r="DK52" s="114">
        <v>58237.411</v>
      </c>
      <c r="DL52" s="43"/>
      <c r="DM52" s="117">
        <v>625.44000000000005</v>
      </c>
      <c r="DN52" s="55">
        <v>10493.065843074541</v>
      </c>
      <c r="DO52" s="55">
        <v>11118.505843074541</v>
      </c>
      <c r="DP52" s="59">
        <v>1235.3721215036271</v>
      </c>
      <c r="DQ52" s="59">
        <v>2899.4446020647688</v>
      </c>
      <c r="DR52" s="59">
        <v>0</v>
      </c>
      <c r="DS52" s="55">
        <v>2899.4446020647688</v>
      </c>
      <c r="DT52" s="55">
        <v>161.08025567026499</v>
      </c>
      <c r="DU52" s="55">
        <v>161.08025567026499</v>
      </c>
      <c r="DW52" s="121">
        <v>0</v>
      </c>
      <c r="DX52" s="122">
        <v>266.18921702</v>
      </c>
      <c r="DY52" s="128">
        <v>406.39380666</v>
      </c>
      <c r="DZ52" s="128">
        <v>0</v>
      </c>
      <c r="EA52" s="121">
        <v>0</v>
      </c>
      <c r="EB52" s="122">
        <v>1553.672292</v>
      </c>
      <c r="EC52" s="121">
        <v>0</v>
      </c>
      <c r="ED52" s="122">
        <v>0</v>
      </c>
      <c r="EE52" s="121">
        <v>0</v>
      </c>
      <c r="EF52" s="122">
        <v>847.5</v>
      </c>
      <c r="EG52" s="121">
        <v>0</v>
      </c>
      <c r="EH52" s="122">
        <v>3658.3508083000002</v>
      </c>
      <c r="EI52" s="121">
        <v>0</v>
      </c>
      <c r="EJ52" s="122">
        <v>266.18921702</v>
      </c>
      <c r="EK52" s="129">
        <v>1553.672292</v>
      </c>
      <c r="EL52" s="130">
        <v>847.5</v>
      </c>
      <c r="EM52" s="131">
        <v>735.83500000000004</v>
      </c>
      <c r="EN52" s="129">
        <v>0</v>
      </c>
      <c r="EO52" s="129">
        <v>4912.24461496</v>
      </c>
      <c r="EP52" s="129">
        <v>0</v>
      </c>
      <c r="ER52" s="157">
        <v>895.95399999999995</v>
      </c>
      <c r="ES52" s="37">
        <v>1591.4646720000001</v>
      </c>
      <c r="ET52" s="55">
        <f t="shared" si="1"/>
        <v>8.6468749432937642E-2</v>
      </c>
      <c r="EU52" s="157">
        <v>0</v>
      </c>
      <c r="EV52" s="37">
        <v>152.922</v>
      </c>
      <c r="EW52" s="55">
        <f t="shared" si="8"/>
        <v>8.374717140672816E-2</v>
      </c>
      <c r="EY52" s="166">
        <v>0</v>
      </c>
      <c r="EZ52" s="37">
        <v>3156.57</v>
      </c>
      <c r="FA52" s="164">
        <f t="shared" si="2"/>
        <v>0.23203283156840868</v>
      </c>
      <c r="FB52" s="5">
        <v>4613</v>
      </c>
      <c r="FC52" s="164">
        <f t="shared" si="3"/>
        <v>1</v>
      </c>
      <c r="FE52" s="5"/>
      <c r="FF52" s="166">
        <v>0</v>
      </c>
      <c r="FG52" s="37">
        <v>0</v>
      </c>
      <c r="FH52" s="164">
        <f t="shared" si="4"/>
        <v>0</v>
      </c>
      <c r="FI52" s="5">
        <v>0</v>
      </c>
      <c r="FJ52" s="164">
        <f t="shared" si="5"/>
        <v>0</v>
      </c>
      <c r="FL52" s="169">
        <v>7873</v>
      </c>
      <c r="FM52" s="170">
        <f t="shared" si="6"/>
        <v>0.68245451314546257</v>
      </c>
      <c r="FN52" s="169">
        <v>2591</v>
      </c>
      <c r="FO52" s="170">
        <f t="shared" si="7"/>
        <v>0.82634348588741824</v>
      </c>
    </row>
    <row r="53" spans="16:171" x14ac:dyDescent="0.35">
      <c r="P53" s="64">
        <v>51</v>
      </c>
      <c r="Q53" s="109">
        <v>0</v>
      </c>
      <c r="R53" s="110">
        <v>0</v>
      </c>
      <c r="S53" s="111">
        <v>0</v>
      </c>
      <c r="T53" s="110">
        <v>0</v>
      </c>
      <c r="U53" s="111">
        <v>0</v>
      </c>
      <c r="V53" s="110">
        <v>0</v>
      </c>
      <c r="W53" s="111">
        <v>0</v>
      </c>
      <c r="X53" s="110">
        <v>0</v>
      </c>
      <c r="Y53" s="111">
        <v>0</v>
      </c>
      <c r="Z53" s="110">
        <v>0</v>
      </c>
      <c r="AA53" s="111">
        <v>0</v>
      </c>
      <c r="AB53" s="110">
        <v>0</v>
      </c>
      <c r="AC53" s="111">
        <v>0</v>
      </c>
      <c r="AD53" s="110">
        <v>0</v>
      </c>
      <c r="AF53" s="64">
        <v>51</v>
      </c>
      <c r="AG53" s="109">
        <v>10145.977199999999</v>
      </c>
      <c r="AH53" s="111">
        <v>391</v>
      </c>
      <c r="AI53" s="109">
        <v>85</v>
      </c>
      <c r="AJ53" s="59">
        <v>0.11399999999999999</v>
      </c>
      <c r="AK53" s="59">
        <v>0.17</v>
      </c>
      <c r="AL53" s="59">
        <v>0.17</v>
      </c>
      <c r="AM53" s="110">
        <v>71.06</v>
      </c>
      <c r="AN53" s="111">
        <v>2969.1179999999999</v>
      </c>
      <c r="AO53" s="59">
        <v>0.11</v>
      </c>
      <c r="AP53" s="55">
        <v>0.255</v>
      </c>
      <c r="AQ53" s="109">
        <v>37330.199999999997</v>
      </c>
      <c r="AR53" s="111">
        <v>20916.224999999999</v>
      </c>
      <c r="AS53" s="59">
        <v>0.83699999999999997</v>
      </c>
      <c r="AT53" s="55">
        <v>0.8909999999999999</v>
      </c>
      <c r="AU53" s="43"/>
      <c r="AV53" s="109">
        <v>1039.2429999999999</v>
      </c>
      <c r="AW53" s="110">
        <v>0.42200019491119356</v>
      </c>
      <c r="AX53" s="109">
        <v>887.54899999999998</v>
      </c>
      <c r="AY53" s="110">
        <v>0.55230180460485379</v>
      </c>
      <c r="AZ53" s="109">
        <v>1121.4780000000001</v>
      </c>
      <c r="BA53" s="110">
        <v>0.5784392407674851</v>
      </c>
      <c r="BB53" s="43"/>
      <c r="BC53" s="112">
        <v>52500.305999999997</v>
      </c>
      <c r="BD53" s="110">
        <v>0.75409836065573765</v>
      </c>
      <c r="BE53" s="43"/>
      <c r="BF53" s="157">
        <v>4313.2849999999999</v>
      </c>
      <c r="BG53" s="43">
        <v>0</v>
      </c>
      <c r="BH53" s="113">
        <v>0</v>
      </c>
      <c r="BI53" s="114">
        <v>0.13230935582822084</v>
      </c>
      <c r="BJ53" s="115">
        <v>0</v>
      </c>
      <c r="BK53" s="113">
        <v>0</v>
      </c>
      <c r="BL53" s="113">
        <v>0</v>
      </c>
      <c r="BM53" s="113">
        <v>0</v>
      </c>
      <c r="BN53" s="113">
        <v>1564.1980000000001</v>
      </c>
      <c r="BO53" s="114">
        <v>0.1160556462383143</v>
      </c>
      <c r="BP53" s="115">
        <v>0</v>
      </c>
      <c r="BQ53" s="43">
        <v>7668</v>
      </c>
      <c r="BR53" s="43">
        <v>648.91754766999998</v>
      </c>
      <c r="BS53" s="43"/>
      <c r="BT53" s="116">
        <v>-700</v>
      </c>
      <c r="BU53" s="43">
        <v>0</v>
      </c>
      <c r="BV53" s="43">
        <v>4485</v>
      </c>
      <c r="BW53" s="43">
        <v>4485</v>
      </c>
      <c r="BX53" s="43">
        <v>0</v>
      </c>
      <c r="BY53" s="43">
        <v>0</v>
      </c>
      <c r="BZ53" s="43">
        <v>-5000</v>
      </c>
      <c r="CA53" s="43">
        <v>0</v>
      </c>
      <c r="CB53" s="43">
        <v>-5300</v>
      </c>
      <c r="CC53" s="43">
        <v>0</v>
      </c>
      <c r="CD53" s="43">
        <v>-4000</v>
      </c>
      <c r="CE53" s="43">
        <v>0</v>
      </c>
      <c r="CF53" s="43">
        <v>4800</v>
      </c>
      <c r="CG53" s="43">
        <v>4800</v>
      </c>
      <c r="CH53" s="43">
        <v>23671.04245279</v>
      </c>
      <c r="CI53" s="43">
        <v>23671.04245279</v>
      </c>
      <c r="CJ53" s="114">
        <v>32956.042452790003</v>
      </c>
      <c r="CK53" s="43"/>
      <c r="CL53" s="116">
        <v>-700</v>
      </c>
      <c r="CM53" s="43">
        <v>700</v>
      </c>
      <c r="CN53" s="43">
        <v>4485</v>
      </c>
      <c r="CO53" s="43">
        <v>0</v>
      </c>
      <c r="CP53" s="43">
        <v>0</v>
      </c>
      <c r="CQ53" s="43">
        <v>0</v>
      </c>
      <c r="CR53" s="43">
        <v>-5000</v>
      </c>
      <c r="CS53" s="43">
        <v>5000</v>
      </c>
      <c r="CT53" s="43">
        <v>-5300</v>
      </c>
      <c r="CU53" s="43">
        <v>5300</v>
      </c>
      <c r="CV53" s="43">
        <v>-4000</v>
      </c>
      <c r="CW53" s="43">
        <v>4000</v>
      </c>
      <c r="CX53" s="43">
        <v>4800</v>
      </c>
      <c r="CY53" s="43">
        <v>0</v>
      </c>
      <c r="CZ53" s="43">
        <v>23671.04245279</v>
      </c>
      <c r="DA53" s="43">
        <v>0</v>
      </c>
      <c r="DB53" s="114">
        <v>15000</v>
      </c>
      <c r="DC53" s="43"/>
      <c r="DD53" s="117">
        <v>29196.525000000001</v>
      </c>
      <c r="DE53" s="55">
        <v>1943.2239999999999</v>
      </c>
      <c r="DF53" s="59">
        <v>1463.7129221668999</v>
      </c>
      <c r="DG53" s="59">
        <v>32603.461922166898</v>
      </c>
      <c r="DH53" s="117">
        <v>7541.9350000000004</v>
      </c>
      <c r="DI53" s="117">
        <v>50904.411</v>
      </c>
      <c r="DJ53" s="55">
        <v>4339</v>
      </c>
      <c r="DK53" s="114">
        <v>55243.411</v>
      </c>
      <c r="DL53" s="43"/>
      <c r="DM53" s="117">
        <v>678.548</v>
      </c>
      <c r="DN53" s="55">
        <v>10493.065843074541</v>
      </c>
      <c r="DO53" s="55">
        <v>11171.613843074541</v>
      </c>
      <c r="DP53" s="59">
        <v>1235.3721215036271</v>
      </c>
      <c r="DQ53" s="59">
        <v>2899.4446020647688</v>
      </c>
      <c r="DR53" s="59">
        <v>0</v>
      </c>
      <c r="DS53" s="55">
        <v>2899.4446020647688</v>
      </c>
      <c r="DT53" s="55">
        <v>161.08025567026499</v>
      </c>
      <c r="DU53" s="55">
        <v>161.08025567026499</v>
      </c>
      <c r="DW53" s="121">
        <v>0</v>
      </c>
      <c r="DX53" s="122">
        <v>358.58648701999999</v>
      </c>
      <c r="DY53" s="128">
        <v>657.97380666000004</v>
      </c>
      <c r="DZ53" s="128">
        <v>0</v>
      </c>
      <c r="EA53" s="121">
        <v>0</v>
      </c>
      <c r="EB53" s="122">
        <v>1553.672292</v>
      </c>
      <c r="EC53" s="121">
        <v>0</v>
      </c>
      <c r="ED53" s="122">
        <v>0</v>
      </c>
      <c r="EE53" s="121">
        <v>0</v>
      </c>
      <c r="EF53" s="122">
        <v>847.5</v>
      </c>
      <c r="EG53" s="121">
        <v>0</v>
      </c>
      <c r="EH53" s="122">
        <v>3499.1680783000002</v>
      </c>
      <c r="EI53" s="121">
        <v>0</v>
      </c>
      <c r="EJ53" s="122">
        <v>358.58648701999999</v>
      </c>
      <c r="EK53" s="129">
        <v>1553.672292</v>
      </c>
      <c r="EL53" s="130">
        <v>847.5</v>
      </c>
      <c r="EM53" s="131">
        <v>735.83500000000004</v>
      </c>
      <c r="EN53" s="129">
        <v>0</v>
      </c>
      <c r="EO53" s="129">
        <v>5004.6418849600004</v>
      </c>
      <c r="EP53" s="129">
        <v>0</v>
      </c>
      <c r="ER53" s="157">
        <v>895.95399999999995</v>
      </c>
      <c r="ES53" s="37">
        <v>1591.4646720000001</v>
      </c>
      <c r="ET53" s="55">
        <f t="shared" si="1"/>
        <v>8.6468749432937642E-2</v>
      </c>
      <c r="EU53" s="157">
        <v>0</v>
      </c>
      <c r="EV53" s="37">
        <v>148.75919001</v>
      </c>
      <c r="EW53" s="55">
        <f t="shared" si="8"/>
        <v>8.1467423811443174E-2</v>
      </c>
      <c r="EY53" s="166">
        <v>0</v>
      </c>
      <c r="EZ53" s="37">
        <v>3156.57</v>
      </c>
      <c r="FA53" s="164">
        <f t="shared" si="2"/>
        <v>0.23203283156840868</v>
      </c>
      <c r="FB53" s="5">
        <v>4613</v>
      </c>
      <c r="FC53" s="164">
        <f t="shared" si="3"/>
        <v>1</v>
      </c>
      <c r="FE53" s="5"/>
      <c r="FF53" s="166">
        <v>0</v>
      </c>
      <c r="FG53" s="37">
        <v>0</v>
      </c>
      <c r="FH53" s="164">
        <f t="shared" si="4"/>
        <v>0</v>
      </c>
      <c r="FI53" s="5">
        <v>0</v>
      </c>
      <c r="FJ53" s="164">
        <f t="shared" si="5"/>
        <v>0</v>
      </c>
      <c r="FL53" s="169">
        <v>7873</v>
      </c>
      <c r="FM53" s="170">
        <f t="shared" si="6"/>
        <v>0.68245451314546257</v>
      </c>
      <c r="FN53" s="169">
        <v>2591</v>
      </c>
      <c r="FO53" s="170">
        <f t="shared" si="7"/>
        <v>0.82634348588741824</v>
      </c>
    </row>
    <row r="54" spans="16:171" x14ac:dyDescent="0.35">
      <c r="P54" s="64">
        <v>52</v>
      </c>
      <c r="Q54" s="109">
        <v>0</v>
      </c>
      <c r="R54" s="110">
        <v>0</v>
      </c>
      <c r="S54" s="111">
        <v>0</v>
      </c>
      <c r="T54" s="110">
        <v>0</v>
      </c>
      <c r="U54" s="111">
        <v>0</v>
      </c>
      <c r="V54" s="110">
        <v>0</v>
      </c>
      <c r="W54" s="111">
        <v>0</v>
      </c>
      <c r="X54" s="110">
        <v>0</v>
      </c>
      <c r="Y54" s="111">
        <v>0</v>
      </c>
      <c r="Z54" s="110">
        <v>0</v>
      </c>
      <c r="AA54" s="111">
        <v>0</v>
      </c>
      <c r="AB54" s="110">
        <v>0</v>
      </c>
      <c r="AC54" s="111">
        <v>0</v>
      </c>
      <c r="AD54" s="110">
        <v>0</v>
      </c>
      <c r="AF54" s="64">
        <v>52</v>
      </c>
      <c r="AG54" s="109">
        <v>9700.9781999999996</v>
      </c>
      <c r="AH54" s="111">
        <v>377.2</v>
      </c>
      <c r="AI54" s="109">
        <v>82</v>
      </c>
      <c r="AJ54" s="59">
        <v>0.10899999999999999</v>
      </c>
      <c r="AK54" s="59">
        <v>0.16400000000000001</v>
      </c>
      <c r="AL54" s="59">
        <v>0.16400000000000001</v>
      </c>
      <c r="AM54" s="110">
        <v>71.706000000000003</v>
      </c>
      <c r="AN54" s="111">
        <v>2957.4744000000001</v>
      </c>
      <c r="AO54" s="59">
        <v>0.111</v>
      </c>
      <c r="AP54" s="55">
        <v>0.254</v>
      </c>
      <c r="AQ54" s="109">
        <v>36304.400000000001</v>
      </c>
      <c r="AR54" s="111">
        <v>20094.599999999999</v>
      </c>
      <c r="AS54" s="59">
        <v>0.81400000000000006</v>
      </c>
      <c r="AT54" s="55">
        <v>0.85599999999999998</v>
      </c>
      <c r="AU54" s="43"/>
      <c r="AV54" s="109">
        <v>1026.9290000000001</v>
      </c>
      <c r="AW54" s="110">
        <v>0.41699991066570302</v>
      </c>
      <c r="AX54" s="109">
        <v>878.93799999999999</v>
      </c>
      <c r="AY54" s="110">
        <v>0.54694337274424387</v>
      </c>
      <c r="AZ54" s="109">
        <v>1121.4780000000001</v>
      </c>
      <c r="BA54" s="110">
        <v>0.5784392407674851</v>
      </c>
      <c r="BB54" s="43"/>
      <c r="BC54" s="112">
        <v>51358.995000000003</v>
      </c>
      <c r="BD54" s="110">
        <v>0.73770491803278682</v>
      </c>
      <c r="BE54" s="43"/>
      <c r="BF54" s="157">
        <v>4148.1620000000003</v>
      </c>
      <c r="BG54" s="43">
        <v>0</v>
      </c>
      <c r="BH54" s="113">
        <v>0</v>
      </c>
      <c r="BI54" s="114">
        <v>0.12724423312883437</v>
      </c>
      <c r="BJ54" s="115">
        <v>0</v>
      </c>
      <c r="BK54" s="113">
        <v>0</v>
      </c>
      <c r="BL54" s="113">
        <v>0</v>
      </c>
      <c r="BM54" s="113">
        <v>0</v>
      </c>
      <c r="BN54" s="113">
        <v>1595.614</v>
      </c>
      <c r="BO54" s="114">
        <v>0.11838655586882327</v>
      </c>
      <c r="BP54" s="115">
        <v>0</v>
      </c>
      <c r="BQ54" s="43">
        <v>7668</v>
      </c>
      <c r="BR54" s="43">
        <v>648.91754766999998</v>
      </c>
      <c r="BS54" s="43"/>
      <c r="BT54" s="116">
        <v>-700</v>
      </c>
      <c r="BU54" s="43">
        <v>0</v>
      </c>
      <c r="BV54" s="43">
        <v>4485</v>
      </c>
      <c r="BW54" s="43">
        <v>4485</v>
      </c>
      <c r="BX54" s="43">
        <v>0</v>
      </c>
      <c r="BY54" s="43">
        <v>0</v>
      </c>
      <c r="BZ54" s="43">
        <v>-5000</v>
      </c>
      <c r="CA54" s="43">
        <v>0</v>
      </c>
      <c r="CB54" s="43">
        <v>-2434.5453135500002</v>
      </c>
      <c r="CC54" s="43">
        <v>0</v>
      </c>
      <c r="CD54" s="43">
        <v>-4000</v>
      </c>
      <c r="CE54" s="43">
        <v>0</v>
      </c>
      <c r="CF54" s="43">
        <v>4800</v>
      </c>
      <c r="CG54" s="43">
        <v>4800</v>
      </c>
      <c r="CH54" s="43">
        <v>26375.625330729999</v>
      </c>
      <c r="CI54" s="43">
        <v>26375.625330729999</v>
      </c>
      <c r="CJ54" s="114">
        <v>35660.625330729999</v>
      </c>
      <c r="CK54" s="43"/>
      <c r="CL54" s="116">
        <v>-700</v>
      </c>
      <c r="CM54" s="43">
        <v>700</v>
      </c>
      <c r="CN54" s="43">
        <v>4485</v>
      </c>
      <c r="CO54" s="43">
        <v>0</v>
      </c>
      <c r="CP54" s="43">
        <v>0</v>
      </c>
      <c r="CQ54" s="43">
        <v>0</v>
      </c>
      <c r="CR54" s="43">
        <v>-5000</v>
      </c>
      <c r="CS54" s="43">
        <v>5000</v>
      </c>
      <c r="CT54" s="43">
        <v>-2434.5453135500002</v>
      </c>
      <c r="CU54" s="43">
        <v>2434.5453135500002</v>
      </c>
      <c r="CV54" s="43">
        <v>-4000</v>
      </c>
      <c r="CW54" s="43">
        <v>4000</v>
      </c>
      <c r="CX54" s="43">
        <v>4800</v>
      </c>
      <c r="CY54" s="43">
        <v>0</v>
      </c>
      <c r="CZ54" s="43">
        <v>26375.625330729999</v>
      </c>
      <c r="DA54" s="43">
        <v>0</v>
      </c>
      <c r="DB54" s="114">
        <v>12134.545313549999</v>
      </c>
      <c r="DC54" s="43"/>
      <c r="DD54" s="117">
        <v>28863.248</v>
      </c>
      <c r="DE54" s="55">
        <v>1923.087</v>
      </c>
      <c r="DF54" s="59">
        <v>2305.6956576020002</v>
      </c>
      <c r="DG54" s="59">
        <v>33092.030657602001</v>
      </c>
      <c r="DH54" s="117">
        <v>7383.3540000000003</v>
      </c>
      <c r="DI54" s="117">
        <v>49385.411</v>
      </c>
      <c r="DJ54" s="55">
        <v>4238</v>
      </c>
      <c r="DK54" s="114">
        <v>53623.411</v>
      </c>
      <c r="DL54" s="43"/>
      <c r="DM54" s="117">
        <v>765.45799999999997</v>
      </c>
      <c r="DN54" s="55">
        <v>10493.065843074541</v>
      </c>
      <c r="DO54" s="55">
        <v>11258.523843074541</v>
      </c>
      <c r="DP54" s="59">
        <v>1235.3721215036271</v>
      </c>
      <c r="DQ54" s="59">
        <v>2899.4446020647688</v>
      </c>
      <c r="DR54" s="59">
        <v>0</v>
      </c>
      <c r="DS54" s="55">
        <v>2899.4446020647688</v>
      </c>
      <c r="DT54" s="55">
        <v>161.08025567026499</v>
      </c>
      <c r="DU54" s="55">
        <v>161.08025567026499</v>
      </c>
      <c r="DW54" s="121">
        <v>0</v>
      </c>
      <c r="DX54" s="122">
        <v>263.65451702000001</v>
      </c>
      <c r="DY54" s="128">
        <v>406.39380666</v>
      </c>
      <c r="DZ54" s="128">
        <v>0</v>
      </c>
      <c r="EA54" s="121">
        <v>0</v>
      </c>
      <c r="EB54" s="122">
        <v>1553.672292</v>
      </c>
      <c r="EC54" s="121">
        <v>0</v>
      </c>
      <c r="ED54" s="122">
        <v>0</v>
      </c>
      <c r="EE54" s="121">
        <v>0</v>
      </c>
      <c r="EF54" s="122">
        <v>847.5</v>
      </c>
      <c r="EG54" s="121">
        <v>0</v>
      </c>
      <c r="EH54" s="122">
        <v>3655.8161083</v>
      </c>
      <c r="EI54" s="121">
        <v>0</v>
      </c>
      <c r="EJ54" s="122">
        <v>263.65451702000001</v>
      </c>
      <c r="EK54" s="129">
        <v>1553.672292</v>
      </c>
      <c r="EL54" s="130">
        <v>847.5</v>
      </c>
      <c r="EM54" s="131">
        <v>735.83500000000004</v>
      </c>
      <c r="EN54" s="129">
        <v>0</v>
      </c>
      <c r="EO54" s="129">
        <v>4909.7099149599999</v>
      </c>
      <c r="EP54" s="129">
        <v>0</v>
      </c>
      <c r="ER54" s="157">
        <v>895.95399999999995</v>
      </c>
      <c r="ES54" s="37">
        <v>1591.4646720000001</v>
      </c>
      <c r="ET54" s="55">
        <f t="shared" si="1"/>
        <v>8.6468749432937642E-2</v>
      </c>
      <c r="EU54" s="157">
        <v>0</v>
      </c>
      <c r="EV54" s="37">
        <v>0</v>
      </c>
      <c r="EW54" s="55">
        <f t="shared" si="8"/>
        <v>0</v>
      </c>
      <c r="EY54" s="166">
        <v>0</v>
      </c>
      <c r="EZ54" s="37">
        <v>3156.57</v>
      </c>
      <c r="FA54" s="164">
        <f t="shared" si="2"/>
        <v>0.23203283156840868</v>
      </c>
      <c r="FB54" s="5">
        <v>4613</v>
      </c>
      <c r="FC54" s="164">
        <f t="shared" si="3"/>
        <v>1</v>
      </c>
      <c r="FE54" s="5"/>
      <c r="FF54" s="166">
        <v>0</v>
      </c>
      <c r="FG54" s="37">
        <v>0</v>
      </c>
      <c r="FH54" s="164">
        <f t="shared" si="4"/>
        <v>0</v>
      </c>
      <c r="FI54" s="5">
        <v>0</v>
      </c>
      <c r="FJ54" s="164">
        <f t="shared" si="5"/>
        <v>0</v>
      </c>
      <c r="FL54" s="169">
        <v>7873</v>
      </c>
      <c r="FM54" s="170">
        <f t="shared" si="6"/>
        <v>0.68245451314546257</v>
      </c>
      <c r="FN54" s="169">
        <v>2591</v>
      </c>
      <c r="FO54" s="170">
        <f t="shared" si="7"/>
        <v>0.82634348588741824</v>
      </c>
    </row>
    <row r="55" spans="16:171" x14ac:dyDescent="0.35">
      <c r="P55" s="64">
        <v>53</v>
      </c>
      <c r="Q55" s="109">
        <v>0</v>
      </c>
      <c r="R55" s="110">
        <v>0</v>
      </c>
      <c r="S55" s="111">
        <v>0</v>
      </c>
      <c r="T55" s="110">
        <v>0</v>
      </c>
      <c r="U55" s="111">
        <v>0</v>
      </c>
      <c r="V55" s="110">
        <v>0</v>
      </c>
      <c r="W55" s="111">
        <v>0</v>
      </c>
      <c r="X55" s="110">
        <v>0</v>
      </c>
      <c r="Y55" s="111">
        <v>0</v>
      </c>
      <c r="Z55" s="110">
        <v>0</v>
      </c>
      <c r="AA55" s="111">
        <v>0</v>
      </c>
      <c r="AB55" s="110">
        <v>0</v>
      </c>
      <c r="AC55" s="111">
        <v>0</v>
      </c>
      <c r="AD55" s="110">
        <v>0</v>
      </c>
      <c r="AF55" s="64">
        <v>53</v>
      </c>
      <c r="AG55" s="109">
        <v>9344.9789999999994</v>
      </c>
      <c r="AH55" s="111">
        <v>370.3</v>
      </c>
      <c r="AI55" s="109">
        <v>80.5</v>
      </c>
      <c r="AJ55" s="59">
        <v>0.105</v>
      </c>
      <c r="AK55" s="59">
        <v>0.161</v>
      </c>
      <c r="AL55" s="59">
        <v>0.161</v>
      </c>
      <c r="AM55" s="110">
        <v>72.352000000000004</v>
      </c>
      <c r="AN55" s="111">
        <v>2910.9</v>
      </c>
      <c r="AO55" s="59">
        <v>0.112</v>
      </c>
      <c r="AP55" s="55">
        <v>0.25</v>
      </c>
      <c r="AQ55" s="109">
        <v>35323.199999999997</v>
      </c>
      <c r="AR55" s="111">
        <v>19390.349999999999</v>
      </c>
      <c r="AS55" s="59">
        <v>0.79199999999999993</v>
      </c>
      <c r="AT55" s="55">
        <v>0.82599999999999996</v>
      </c>
      <c r="AU55" s="43"/>
      <c r="AV55" s="109">
        <v>1022.004</v>
      </c>
      <c r="AW55" s="110">
        <v>0.4150000406064987</v>
      </c>
      <c r="AX55" s="109">
        <v>864.82</v>
      </c>
      <c r="AY55" s="110">
        <v>0.53815805849408838</v>
      </c>
      <c r="AZ55" s="109">
        <v>1121.4780000000001</v>
      </c>
      <c r="BA55" s="110">
        <v>0.5784392407674851</v>
      </c>
      <c r="BB55" s="43"/>
      <c r="BC55" s="112">
        <v>51358.995000000003</v>
      </c>
      <c r="BD55" s="110">
        <v>0.73770491803278682</v>
      </c>
      <c r="BE55" s="43"/>
      <c r="BF55" s="157">
        <v>3980.1759999999999</v>
      </c>
      <c r="BG55" s="43">
        <v>0</v>
      </c>
      <c r="BH55" s="113">
        <v>0</v>
      </c>
      <c r="BI55" s="114">
        <v>0.12209128834355829</v>
      </c>
      <c r="BJ55" s="115">
        <v>0</v>
      </c>
      <c r="BK55" s="113">
        <v>0</v>
      </c>
      <c r="BL55" s="113">
        <v>0</v>
      </c>
      <c r="BM55" s="113">
        <v>0</v>
      </c>
      <c r="BN55" s="113">
        <v>1609.566</v>
      </c>
      <c r="BO55" s="114">
        <v>0.11942172429143789</v>
      </c>
      <c r="BP55" s="115">
        <v>0</v>
      </c>
      <c r="BQ55" s="43">
        <v>7668</v>
      </c>
      <c r="BR55" s="43">
        <v>649.3774295799999</v>
      </c>
      <c r="BS55" s="43"/>
      <c r="BT55" s="116">
        <v>-700</v>
      </c>
      <c r="BU55" s="43">
        <v>0</v>
      </c>
      <c r="BV55" s="43">
        <v>4485</v>
      </c>
      <c r="BW55" s="43">
        <v>4485</v>
      </c>
      <c r="BX55" s="43">
        <v>0</v>
      </c>
      <c r="BY55" s="43">
        <v>0</v>
      </c>
      <c r="BZ55" s="43">
        <v>-5000</v>
      </c>
      <c r="CA55" s="43">
        <v>0</v>
      </c>
      <c r="CB55" s="43">
        <v>-3097.5111114599999</v>
      </c>
      <c r="CC55" s="43">
        <v>0</v>
      </c>
      <c r="CD55" s="43">
        <v>-4000</v>
      </c>
      <c r="CE55" s="43">
        <v>0</v>
      </c>
      <c r="CF55" s="43">
        <v>4800</v>
      </c>
      <c r="CG55" s="43">
        <v>4800</v>
      </c>
      <c r="CH55" s="43">
        <v>23505.721386280002</v>
      </c>
      <c r="CI55" s="43">
        <v>23505.721386280002</v>
      </c>
      <c r="CJ55" s="114">
        <v>32790.721386279998</v>
      </c>
      <c r="CK55" s="43"/>
      <c r="CL55" s="116">
        <v>-700</v>
      </c>
      <c r="CM55" s="43">
        <v>700</v>
      </c>
      <c r="CN55" s="43">
        <v>4485</v>
      </c>
      <c r="CO55" s="43">
        <v>0</v>
      </c>
      <c r="CP55" s="43">
        <v>0</v>
      </c>
      <c r="CQ55" s="43">
        <v>0</v>
      </c>
      <c r="CR55" s="43">
        <v>-5000</v>
      </c>
      <c r="CS55" s="43">
        <v>5000</v>
      </c>
      <c r="CT55" s="43">
        <v>-3097.5111114599999</v>
      </c>
      <c r="CU55" s="43">
        <v>3097.5111114599999</v>
      </c>
      <c r="CV55" s="43">
        <v>-4000</v>
      </c>
      <c r="CW55" s="43">
        <v>4000</v>
      </c>
      <c r="CX55" s="43">
        <v>4800</v>
      </c>
      <c r="CY55" s="43">
        <v>0</v>
      </c>
      <c r="CZ55" s="43">
        <v>23505.721386280002</v>
      </c>
      <c r="DA55" s="43">
        <v>0</v>
      </c>
      <c r="DB55" s="114">
        <v>12797.51111146</v>
      </c>
      <c r="DC55" s="43"/>
      <c r="DD55" s="117">
        <v>29645.385999999999</v>
      </c>
      <c r="DE55" s="55">
        <v>1918.0129999999999</v>
      </c>
      <c r="DF55" s="59">
        <v>2591.0091091795998</v>
      </c>
      <c r="DG55" s="59">
        <v>34154.408109179596</v>
      </c>
      <c r="DH55" s="117">
        <v>7362.8010000000004</v>
      </c>
      <c r="DI55" s="117">
        <v>50167.411</v>
      </c>
      <c r="DJ55" s="55">
        <v>4294</v>
      </c>
      <c r="DK55" s="114">
        <v>54461.411</v>
      </c>
      <c r="DL55" s="43"/>
      <c r="DM55" s="117">
        <v>917.16700000000003</v>
      </c>
      <c r="DN55" s="55">
        <v>10508.77584392489</v>
      </c>
      <c r="DO55" s="55">
        <v>11425.94284392489</v>
      </c>
      <c r="DP55" s="59">
        <v>1235.3721215036271</v>
      </c>
      <c r="DQ55" s="59">
        <v>2907.722476490012</v>
      </c>
      <c r="DR55" s="59">
        <v>0</v>
      </c>
      <c r="DS55" s="55">
        <v>2907.722476490012</v>
      </c>
      <c r="DT55" s="55">
        <v>161.54013758277841</v>
      </c>
      <c r="DU55" s="55">
        <v>161.54013758277841</v>
      </c>
      <c r="DW55" s="121">
        <v>0</v>
      </c>
      <c r="DX55" s="122">
        <v>138.12049425999999</v>
      </c>
      <c r="DY55" s="128">
        <v>638.91783934</v>
      </c>
      <c r="DZ55" s="128">
        <v>0</v>
      </c>
      <c r="EA55" s="121">
        <v>0</v>
      </c>
      <c r="EB55" s="122">
        <v>1553.672292</v>
      </c>
      <c r="EC55" s="121">
        <v>0</v>
      </c>
      <c r="ED55" s="122">
        <v>0</v>
      </c>
      <c r="EE55" s="121">
        <v>0</v>
      </c>
      <c r="EF55" s="122">
        <v>847.5</v>
      </c>
      <c r="EG55" s="121">
        <v>0</v>
      </c>
      <c r="EH55" s="122">
        <v>3289.4801784299998</v>
      </c>
      <c r="EI55" s="121">
        <v>0</v>
      </c>
      <c r="EJ55" s="122">
        <v>138.12049425999999</v>
      </c>
      <c r="EK55" s="129">
        <v>1553.672292</v>
      </c>
      <c r="EL55" s="130">
        <v>847.5</v>
      </c>
      <c r="EM55" s="131">
        <v>735.83500000000004</v>
      </c>
      <c r="EN55" s="129">
        <v>0</v>
      </c>
      <c r="EO55" s="129">
        <v>4775.8980177699996</v>
      </c>
      <c r="EP55" s="129">
        <v>0</v>
      </c>
      <c r="ER55" s="157">
        <v>895.95399999999995</v>
      </c>
      <c r="ES55" s="37">
        <v>1591.4646720000001</v>
      </c>
      <c r="ET55" s="55">
        <f t="shared" si="1"/>
        <v>8.6468749432937642E-2</v>
      </c>
      <c r="EU55" s="157">
        <v>0</v>
      </c>
      <c r="EV55" s="37">
        <v>153.38399999999999</v>
      </c>
      <c r="EW55" s="55">
        <f t="shared" si="8"/>
        <v>8.4000184009165396E-2</v>
      </c>
      <c r="EY55" s="166">
        <v>0</v>
      </c>
      <c r="EZ55" s="37">
        <v>3156.57</v>
      </c>
      <c r="FA55" s="164">
        <f t="shared" si="2"/>
        <v>0.23203283156840868</v>
      </c>
      <c r="FB55" s="5">
        <v>4613</v>
      </c>
      <c r="FC55" s="164">
        <f t="shared" si="3"/>
        <v>1</v>
      </c>
      <c r="FE55" s="5"/>
      <c r="FF55" s="166">
        <v>0</v>
      </c>
      <c r="FG55" s="37">
        <v>0</v>
      </c>
      <c r="FH55" s="164">
        <f t="shared" si="4"/>
        <v>0</v>
      </c>
      <c r="FI55" s="5">
        <v>0</v>
      </c>
      <c r="FJ55" s="164">
        <f t="shared" si="5"/>
        <v>0</v>
      </c>
      <c r="FL55" s="169">
        <v>7873</v>
      </c>
      <c r="FM55" s="170">
        <f t="shared" si="6"/>
        <v>0.68245451314546257</v>
      </c>
      <c r="FN55" s="169">
        <v>2591</v>
      </c>
      <c r="FO55" s="170">
        <f t="shared" si="7"/>
        <v>0.82634348588741824</v>
      </c>
    </row>
    <row r="56" spans="16:171" x14ac:dyDescent="0.35">
      <c r="P56" s="64">
        <v>54</v>
      </c>
      <c r="Q56" s="109">
        <v>0</v>
      </c>
      <c r="R56" s="110">
        <v>0</v>
      </c>
      <c r="S56" s="111">
        <v>0</v>
      </c>
      <c r="T56" s="110">
        <v>0</v>
      </c>
      <c r="U56" s="111">
        <v>0</v>
      </c>
      <c r="V56" s="110">
        <v>0</v>
      </c>
      <c r="W56" s="111">
        <v>0</v>
      </c>
      <c r="X56" s="110">
        <v>0</v>
      </c>
      <c r="Y56" s="111">
        <v>0</v>
      </c>
      <c r="Z56" s="110">
        <v>0</v>
      </c>
      <c r="AA56" s="111">
        <v>0</v>
      </c>
      <c r="AB56" s="110">
        <v>0</v>
      </c>
      <c r="AC56" s="111">
        <v>0</v>
      </c>
      <c r="AD56" s="110">
        <v>0</v>
      </c>
      <c r="AF56" s="64">
        <v>54</v>
      </c>
      <c r="AG56" s="109">
        <v>8988.9797999999992</v>
      </c>
      <c r="AH56" s="111">
        <v>347.3</v>
      </c>
      <c r="AI56" s="109">
        <v>75.5</v>
      </c>
      <c r="AJ56" s="59">
        <v>0.10099999999999999</v>
      </c>
      <c r="AK56" s="59">
        <v>0.151</v>
      </c>
      <c r="AL56" s="59">
        <v>0.151</v>
      </c>
      <c r="AM56" s="110">
        <v>71.06</v>
      </c>
      <c r="AN56" s="111">
        <v>3038.9796000000001</v>
      </c>
      <c r="AO56" s="59">
        <v>0.11</v>
      </c>
      <c r="AP56" s="55">
        <v>0.26100000000000001</v>
      </c>
      <c r="AQ56" s="109">
        <v>34163.599999999999</v>
      </c>
      <c r="AR56" s="111">
        <v>18287.025000000001</v>
      </c>
      <c r="AS56" s="59">
        <v>0.76600000000000001</v>
      </c>
      <c r="AT56" s="55">
        <v>0.77900000000000003</v>
      </c>
      <c r="AU56" s="43"/>
      <c r="AV56" s="109">
        <v>1024.4670000000001</v>
      </c>
      <c r="AW56" s="110">
        <v>0.41600017866859418</v>
      </c>
      <c r="AX56" s="109">
        <v>859.74699999999996</v>
      </c>
      <c r="AY56" s="110">
        <v>0.53500124455507159</v>
      </c>
      <c r="AZ56" s="109">
        <v>1121.4780000000001</v>
      </c>
      <c r="BA56" s="110">
        <v>0.5784392407674851</v>
      </c>
      <c r="BB56" s="43"/>
      <c r="BC56" s="112">
        <v>51358.995000000003</v>
      </c>
      <c r="BD56" s="110">
        <v>0.73770491803278682</v>
      </c>
      <c r="BE56" s="43"/>
      <c r="BF56" s="157">
        <v>3850.7159999999999</v>
      </c>
      <c r="BG56" s="43">
        <v>0</v>
      </c>
      <c r="BH56" s="113">
        <v>0</v>
      </c>
      <c r="BI56" s="114">
        <v>0.1181201226993865</v>
      </c>
      <c r="BJ56" s="115">
        <v>0</v>
      </c>
      <c r="BK56" s="113">
        <v>0</v>
      </c>
      <c r="BL56" s="113">
        <v>0</v>
      </c>
      <c r="BM56" s="113">
        <v>0</v>
      </c>
      <c r="BN56" s="113">
        <v>1631.971</v>
      </c>
      <c r="BO56" s="114">
        <v>0.12108406291734679</v>
      </c>
      <c r="BP56" s="115">
        <v>0</v>
      </c>
      <c r="BQ56" s="43">
        <v>7668</v>
      </c>
      <c r="BR56" s="43">
        <v>650.29719340999998</v>
      </c>
      <c r="BS56" s="43"/>
      <c r="BT56" s="116">
        <v>-700</v>
      </c>
      <c r="BU56" s="43">
        <v>0</v>
      </c>
      <c r="BV56" s="43">
        <v>4485</v>
      </c>
      <c r="BW56" s="43">
        <v>4485</v>
      </c>
      <c r="BX56" s="43">
        <v>0</v>
      </c>
      <c r="BY56" s="43">
        <v>0</v>
      </c>
      <c r="BZ56" s="43">
        <v>-5000</v>
      </c>
      <c r="CA56" s="43">
        <v>0</v>
      </c>
      <c r="CB56" s="43">
        <v>-1133.3135701599999</v>
      </c>
      <c r="CC56" s="43">
        <v>0</v>
      </c>
      <c r="CD56" s="43">
        <v>-4000</v>
      </c>
      <c r="CE56" s="43">
        <v>0</v>
      </c>
      <c r="CF56" s="43">
        <v>4800</v>
      </c>
      <c r="CG56" s="43">
        <v>4800</v>
      </c>
      <c r="CH56" s="43">
        <v>15639.05192863</v>
      </c>
      <c r="CI56" s="43">
        <v>15639.05192863</v>
      </c>
      <c r="CJ56" s="114">
        <v>24924.05192863</v>
      </c>
      <c r="CK56" s="43"/>
      <c r="CL56" s="116">
        <v>-700</v>
      </c>
      <c r="CM56" s="43">
        <v>700</v>
      </c>
      <c r="CN56" s="43">
        <v>4485</v>
      </c>
      <c r="CO56" s="43">
        <v>0</v>
      </c>
      <c r="CP56" s="43">
        <v>0</v>
      </c>
      <c r="CQ56" s="43">
        <v>0</v>
      </c>
      <c r="CR56" s="43">
        <v>-5000</v>
      </c>
      <c r="CS56" s="43">
        <v>5000</v>
      </c>
      <c r="CT56" s="43">
        <v>-1133.3135701599999</v>
      </c>
      <c r="CU56" s="43">
        <v>1133.3135701599999</v>
      </c>
      <c r="CV56" s="43">
        <v>-4000</v>
      </c>
      <c r="CW56" s="43">
        <v>4000</v>
      </c>
      <c r="CX56" s="43">
        <v>4800</v>
      </c>
      <c r="CY56" s="43">
        <v>0</v>
      </c>
      <c r="CZ56" s="43">
        <v>15639.05192863</v>
      </c>
      <c r="DA56" s="43">
        <v>0</v>
      </c>
      <c r="DB56" s="114">
        <v>10833.31357016</v>
      </c>
      <c r="DC56" s="43"/>
      <c r="DD56" s="117">
        <v>31831.562000000002</v>
      </c>
      <c r="DE56" s="55">
        <v>1929.809</v>
      </c>
      <c r="DF56" s="59">
        <v>2811.0439102031</v>
      </c>
      <c r="DG56" s="59">
        <v>36572.414910203101</v>
      </c>
      <c r="DH56" s="117">
        <v>7505.5879999999997</v>
      </c>
      <c r="DI56" s="117">
        <v>52193.411</v>
      </c>
      <c r="DJ56" s="55">
        <v>4395</v>
      </c>
      <c r="DK56" s="114">
        <v>56588.411</v>
      </c>
      <c r="DL56" s="43"/>
      <c r="DM56" s="117">
        <v>1091.3589999999999</v>
      </c>
      <c r="DN56" s="55">
        <v>10540.1958456256</v>
      </c>
      <c r="DO56" s="55">
        <v>11631.5548456256</v>
      </c>
      <c r="DP56" s="59">
        <v>1333.3285979805271</v>
      </c>
      <c r="DQ56" s="59">
        <v>2924.2782253404971</v>
      </c>
      <c r="DR56" s="59">
        <v>0</v>
      </c>
      <c r="DS56" s="55">
        <v>2924.2782253404971</v>
      </c>
      <c r="DT56" s="55">
        <v>162.4599014078054</v>
      </c>
      <c r="DU56" s="55">
        <v>162.4599014078054</v>
      </c>
      <c r="DW56" s="121">
        <v>68.184797750000001</v>
      </c>
      <c r="DX56" s="122">
        <v>0</v>
      </c>
      <c r="DY56" s="128">
        <v>387.33783934000002</v>
      </c>
      <c r="DZ56" s="128">
        <v>0</v>
      </c>
      <c r="EA56" s="121">
        <v>0</v>
      </c>
      <c r="EB56" s="122">
        <v>1553.672292</v>
      </c>
      <c r="EC56" s="121">
        <v>0</v>
      </c>
      <c r="ED56" s="122">
        <v>0</v>
      </c>
      <c r="EE56" s="121">
        <v>0</v>
      </c>
      <c r="EF56" s="122">
        <v>847.5</v>
      </c>
      <c r="EG56" s="121">
        <v>0</v>
      </c>
      <c r="EH56" s="122">
        <v>3318.1991375699999</v>
      </c>
      <c r="EI56" s="121">
        <v>68.184797750000001</v>
      </c>
      <c r="EJ56" s="122">
        <v>0</v>
      </c>
      <c r="EK56" s="129">
        <v>1553.672292</v>
      </c>
      <c r="EL56" s="130">
        <v>847.5</v>
      </c>
      <c r="EM56" s="131">
        <v>735.83500000000004</v>
      </c>
      <c r="EN56" s="129">
        <v>0</v>
      </c>
      <c r="EO56" s="129">
        <v>4553.0369769099998</v>
      </c>
      <c r="EP56" s="129">
        <v>0</v>
      </c>
      <c r="ER56" s="157">
        <v>895.95399999999995</v>
      </c>
      <c r="ES56" s="37">
        <v>1591.4646720000001</v>
      </c>
      <c r="ET56" s="55">
        <f t="shared" si="1"/>
        <v>8.6468749432937642E-2</v>
      </c>
      <c r="EU56" s="157">
        <v>0</v>
      </c>
      <c r="EV56" s="37">
        <v>0</v>
      </c>
      <c r="EW56" s="55">
        <f t="shared" si="8"/>
        <v>0</v>
      </c>
      <c r="EY56" s="166">
        <v>2847.5444368399999</v>
      </c>
      <c r="EZ56" s="37">
        <v>3156.57</v>
      </c>
      <c r="FA56" s="164">
        <f t="shared" si="2"/>
        <v>0.44134984297536456</v>
      </c>
      <c r="FB56" s="5">
        <v>4613</v>
      </c>
      <c r="FC56" s="164">
        <f t="shared" si="3"/>
        <v>1</v>
      </c>
      <c r="FE56" s="5"/>
      <c r="FF56" s="166">
        <v>0</v>
      </c>
      <c r="FG56" s="37">
        <v>0</v>
      </c>
      <c r="FH56" s="164">
        <f t="shared" si="4"/>
        <v>0</v>
      </c>
      <c r="FI56" s="5">
        <v>0</v>
      </c>
      <c r="FJ56" s="164">
        <f t="shared" si="5"/>
        <v>0</v>
      </c>
      <c r="FL56" s="169">
        <v>7873</v>
      </c>
      <c r="FM56" s="170">
        <f t="shared" si="6"/>
        <v>0.68245451314546257</v>
      </c>
      <c r="FN56" s="169">
        <v>2591</v>
      </c>
      <c r="FO56" s="170">
        <f t="shared" si="7"/>
        <v>0.82634348588741824</v>
      </c>
    </row>
    <row r="57" spans="16:171" x14ac:dyDescent="0.35">
      <c r="P57" s="64">
        <v>55</v>
      </c>
      <c r="Q57" s="109">
        <v>0</v>
      </c>
      <c r="R57" s="110">
        <v>0</v>
      </c>
      <c r="S57" s="111">
        <v>0</v>
      </c>
      <c r="T57" s="110">
        <v>0</v>
      </c>
      <c r="U57" s="111">
        <v>0</v>
      </c>
      <c r="V57" s="110">
        <v>0</v>
      </c>
      <c r="W57" s="111">
        <v>0</v>
      </c>
      <c r="X57" s="110">
        <v>0</v>
      </c>
      <c r="Y57" s="111">
        <v>0</v>
      </c>
      <c r="Z57" s="110">
        <v>0</v>
      </c>
      <c r="AA57" s="111">
        <v>0</v>
      </c>
      <c r="AB57" s="110">
        <v>0</v>
      </c>
      <c r="AC57" s="111">
        <v>0</v>
      </c>
      <c r="AD57" s="110">
        <v>0</v>
      </c>
      <c r="AF57" s="64">
        <v>55</v>
      </c>
      <c r="AG57" s="109">
        <v>8365.9812000000002</v>
      </c>
      <c r="AH57" s="111">
        <v>324.3</v>
      </c>
      <c r="AI57" s="109">
        <v>70.5</v>
      </c>
      <c r="AJ57" s="59">
        <v>9.4E-2</v>
      </c>
      <c r="AK57" s="59">
        <v>0.14100000000000001</v>
      </c>
      <c r="AL57" s="59">
        <v>0.14099999999999999</v>
      </c>
      <c r="AM57" s="110">
        <v>67.183999999999997</v>
      </c>
      <c r="AN57" s="111">
        <v>3038.9796000000001</v>
      </c>
      <c r="AO57" s="59">
        <v>0.104</v>
      </c>
      <c r="AP57" s="55">
        <v>0.26100000000000001</v>
      </c>
      <c r="AQ57" s="109">
        <v>32513.4</v>
      </c>
      <c r="AR57" s="111">
        <v>17160.224999999999</v>
      </c>
      <c r="AS57" s="59">
        <v>0.72899999999999998</v>
      </c>
      <c r="AT57" s="55">
        <v>0.73099999999999998</v>
      </c>
      <c r="AU57" s="43"/>
      <c r="AV57" s="109">
        <v>1031.855</v>
      </c>
      <c r="AW57" s="110">
        <v>0.41900018678989387</v>
      </c>
      <c r="AX57" s="109">
        <v>855.15300000000002</v>
      </c>
      <c r="AY57" s="110">
        <v>0.53214250155569387</v>
      </c>
      <c r="AZ57" s="109">
        <v>1121.4780000000001</v>
      </c>
      <c r="BA57" s="110">
        <v>0.5784392407674851</v>
      </c>
      <c r="BB57" s="43"/>
      <c r="BC57" s="112">
        <v>51358.995000000003</v>
      </c>
      <c r="BD57" s="110">
        <v>0.73770491803278682</v>
      </c>
      <c r="BE57" s="43"/>
      <c r="BF57" s="157">
        <v>3557.7820000000002</v>
      </c>
      <c r="BG57" s="43">
        <v>0</v>
      </c>
      <c r="BH57" s="113">
        <v>0</v>
      </c>
      <c r="BI57" s="114">
        <v>0.10913441717791411</v>
      </c>
      <c r="BJ57" s="115">
        <v>0</v>
      </c>
      <c r="BK57" s="113">
        <v>0</v>
      </c>
      <c r="BL57" s="113">
        <v>0</v>
      </c>
      <c r="BM57" s="113">
        <v>0</v>
      </c>
      <c r="BN57" s="113">
        <v>1606.819</v>
      </c>
      <c r="BO57" s="114">
        <v>0.11921791066923876</v>
      </c>
      <c r="BP57" s="115">
        <v>0</v>
      </c>
      <c r="BQ57" s="43">
        <v>7668</v>
      </c>
      <c r="BR57" s="43">
        <v>924.97883567000008</v>
      </c>
      <c r="BS57" s="43"/>
      <c r="BT57" s="116">
        <v>-700</v>
      </c>
      <c r="BU57" s="43">
        <v>0</v>
      </c>
      <c r="BV57" s="43">
        <v>4485</v>
      </c>
      <c r="BW57" s="43">
        <v>4485</v>
      </c>
      <c r="BX57" s="43">
        <v>0</v>
      </c>
      <c r="BY57" s="43">
        <v>0</v>
      </c>
      <c r="BZ57" s="43">
        <v>-5000</v>
      </c>
      <c r="CA57" s="43">
        <v>0</v>
      </c>
      <c r="CB57" s="43">
        <v>-96.341859439999993</v>
      </c>
      <c r="CC57" s="43">
        <v>0</v>
      </c>
      <c r="CD57" s="43">
        <v>-4000</v>
      </c>
      <c r="CE57" s="43">
        <v>0</v>
      </c>
      <c r="CF57" s="43">
        <v>4800</v>
      </c>
      <c r="CG57" s="43">
        <v>4800</v>
      </c>
      <c r="CH57" s="43">
        <v>9659.8746438199996</v>
      </c>
      <c r="CI57" s="43">
        <v>9659.8746438199996</v>
      </c>
      <c r="CJ57" s="114">
        <v>18944.87464382</v>
      </c>
      <c r="CK57" s="43"/>
      <c r="CL57" s="116">
        <v>-700</v>
      </c>
      <c r="CM57" s="43">
        <v>700</v>
      </c>
      <c r="CN57" s="43">
        <v>4485</v>
      </c>
      <c r="CO57" s="43">
        <v>0</v>
      </c>
      <c r="CP57" s="43">
        <v>0</v>
      </c>
      <c r="CQ57" s="43">
        <v>0</v>
      </c>
      <c r="CR57" s="43">
        <v>-5000</v>
      </c>
      <c r="CS57" s="43">
        <v>5000</v>
      </c>
      <c r="CT57" s="43">
        <v>-96.341859439999993</v>
      </c>
      <c r="CU57" s="43">
        <v>96.341859439999993</v>
      </c>
      <c r="CV57" s="43">
        <v>-4000</v>
      </c>
      <c r="CW57" s="43">
        <v>4000</v>
      </c>
      <c r="CX57" s="43">
        <v>4800</v>
      </c>
      <c r="CY57" s="43">
        <v>0</v>
      </c>
      <c r="CZ57" s="43">
        <v>9659.8746438199996</v>
      </c>
      <c r="DA57" s="43">
        <v>0</v>
      </c>
      <c r="DB57" s="114">
        <v>9796.3418594399991</v>
      </c>
      <c r="DC57" s="43"/>
      <c r="DD57" s="117">
        <v>34911.061000000002</v>
      </c>
      <c r="DE57" s="55">
        <v>1987.5809999999999</v>
      </c>
      <c r="DF57" s="59">
        <v>3572.5952177373001</v>
      </c>
      <c r="DG57" s="59">
        <v>40471.237217737304</v>
      </c>
      <c r="DH57" s="117">
        <v>7883.3639999999996</v>
      </c>
      <c r="DI57" s="117">
        <v>56204.411</v>
      </c>
      <c r="DJ57" s="55">
        <v>4277</v>
      </c>
      <c r="DK57" s="114">
        <v>60481.411</v>
      </c>
      <c r="DL57" s="43"/>
      <c r="DM57" s="117">
        <v>1108.9549999999999</v>
      </c>
      <c r="DN57" s="55">
        <v>10555.905846475949</v>
      </c>
      <c r="DO57" s="55">
        <v>11664.860846475949</v>
      </c>
      <c r="DP57" s="59">
        <v>1431.2850744574271</v>
      </c>
      <c r="DQ57" s="59">
        <v>2932.5560997657399</v>
      </c>
      <c r="DR57" s="59">
        <v>0</v>
      </c>
      <c r="DS57" s="55">
        <v>2932.5560997657399</v>
      </c>
      <c r="DT57" s="55">
        <v>162.91978332031891</v>
      </c>
      <c r="DU57" s="55">
        <v>162.91978332031891</v>
      </c>
      <c r="DW57" s="121">
        <v>0</v>
      </c>
      <c r="DX57" s="122">
        <v>517.83283323000001</v>
      </c>
      <c r="DY57" s="128">
        <v>135.75783934</v>
      </c>
      <c r="DZ57" s="128">
        <v>0</v>
      </c>
      <c r="EA57" s="121">
        <v>0</v>
      </c>
      <c r="EB57" s="122">
        <v>1553.672292</v>
      </c>
      <c r="EC57" s="121">
        <v>0</v>
      </c>
      <c r="ED57" s="122">
        <v>0</v>
      </c>
      <c r="EE57" s="121">
        <v>0</v>
      </c>
      <c r="EF57" s="122">
        <v>847.5</v>
      </c>
      <c r="EG57" s="121">
        <v>0</v>
      </c>
      <c r="EH57" s="122">
        <v>4147.5188941300003</v>
      </c>
      <c r="EI57" s="121">
        <v>0</v>
      </c>
      <c r="EJ57" s="122">
        <v>517.83283323000001</v>
      </c>
      <c r="EK57" s="129">
        <v>1553.672292</v>
      </c>
      <c r="EL57" s="130">
        <v>847.5</v>
      </c>
      <c r="EM57" s="131">
        <v>735.83500000000004</v>
      </c>
      <c r="EN57" s="129">
        <v>0</v>
      </c>
      <c r="EO57" s="129">
        <v>5130.7767334700002</v>
      </c>
      <c r="EP57" s="129">
        <v>0</v>
      </c>
      <c r="ER57" s="157">
        <v>921.28499999999997</v>
      </c>
      <c r="ES57" s="37">
        <v>1591.4646720000001</v>
      </c>
      <c r="ET57" s="55">
        <f t="shared" si="1"/>
        <v>8.7349316872806795E-2</v>
      </c>
      <c r="EU57" s="157">
        <v>0</v>
      </c>
      <c r="EV57" s="37">
        <v>0</v>
      </c>
      <c r="EW57" s="55">
        <f t="shared" si="8"/>
        <v>0</v>
      </c>
      <c r="EY57" s="166">
        <v>9226.69318294</v>
      </c>
      <c r="EZ57" s="37">
        <v>3156.57</v>
      </c>
      <c r="FA57" s="164">
        <f t="shared" si="2"/>
        <v>0.91026767041262924</v>
      </c>
      <c r="FB57" s="5">
        <v>4613</v>
      </c>
      <c r="FC57" s="164">
        <f t="shared" si="3"/>
        <v>1</v>
      </c>
      <c r="FE57" s="5"/>
      <c r="FF57" s="166">
        <v>0</v>
      </c>
      <c r="FG57" s="37">
        <v>0</v>
      </c>
      <c r="FH57" s="164">
        <f t="shared" si="4"/>
        <v>0</v>
      </c>
      <c r="FI57" s="5">
        <v>0</v>
      </c>
      <c r="FJ57" s="164">
        <f t="shared" si="5"/>
        <v>0</v>
      </c>
      <c r="FL57" s="169">
        <v>7873</v>
      </c>
      <c r="FM57" s="170">
        <f t="shared" si="6"/>
        <v>0.68245451314546257</v>
      </c>
      <c r="FN57" s="169">
        <v>2591</v>
      </c>
      <c r="FO57" s="170">
        <f t="shared" si="7"/>
        <v>0.82634348588741824</v>
      </c>
    </row>
    <row r="58" spans="16:171" x14ac:dyDescent="0.35">
      <c r="P58" s="64">
        <v>56</v>
      </c>
      <c r="Q58" s="109">
        <v>0</v>
      </c>
      <c r="R58" s="110">
        <v>0</v>
      </c>
      <c r="S58" s="111">
        <v>0</v>
      </c>
      <c r="T58" s="110">
        <v>0</v>
      </c>
      <c r="U58" s="111">
        <v>0</v>
      </c>
      <c r="V58" s="110">
        <v>0</v>
      </c>
      <c r="W58" s="111">
        <v>0</v>
      </c>
      <c r="X58" s="110">
        <v>0</v>
      </c>
      <c r="Y58" s="111">
        <v>0</v>
      </c>
      <c r="Z58" s="110">
        <v>0</v>
      </c>
      <c r="AA58" s="111">
        <v>0</v>
      </c>
      <c r="AB58" s="110">
        <v>0</v>
      </c>
      <c r="AC58" s="111">
        <v>0</v>
      </c>
      <c r="AD58" s="110">
        <v>0</v>
      </c>
      <c r="AF58" s="64">
        <v>56</v>
      </c>
      <c r="AG58" s="109">
        <v>7208.9838</v>
      </c>
      <c r="AH58" s="111">
        <v>310.5</v>
      </c>
      <c r="AI58" s="109">
        <v>67.5</v>
      </c>
      <c r="AJ58" s="59">
        <v>8.1000000000000003E-2</v>
      </c>
      <c r="AK58" s="59">
        <v>0.13500000000000001</v>
      </c>
      <c r="AL58" s="59">
        <v>0.13500000000000001</v>
      </c>
      <c r="AM58" s="110">
        <v>61.37</v>
      </c>
      <c r="AN58" s="111">
        <v>2829.3948</v>
      </c>
      <c r="AO58" s="59">
        <v>9.5000000000000001E-2</v>
      </c>
      <c r="AP58" s="55">
        <v>0.24299999999999999</v>
      </c>
      <c r="AQ58" s="109">
        <v>29480.6</v>
      </c>
      <c r="AR58" s="111">
        <v>16385.55</v>
      </c>
      <c r="AS58" s="59">
        <v>0.66099999999999992</v>
      </c>
      <c r="AT58" s="55">
        <v>0.69799999999999995</v>
      </c>
      <c r="AU58" s="43"/>
      <c r="AV58" s="109">
        <v>1039.2429999999999</v>
      </c>
      <c r="AW58" s="110">
        <v>0.42200019491119356</v>
      </c>
      <c r="AX58" s="109">
        <v>922.66399999999999</v>
      </c>
      <c r="AY58" s="110">
        <v>0.57415308027380207</v>
      </c>
      <c r="AZ58" s="109">
        <v>1121.4780000000001</v>
      </c>
      <c r="BA58" s="110">
        <v>0.5784392407674851</v>
      </c>
      <c r="BB58" s="43"/>
      <c r="BC58" s="112">
        <v>51358.995000000003</v>
      </c>
      <c r="BD58" s="110">
        <v>0.73770491803278682</v>
      </c>
      <c r="BE58" s="43"/>
      <c r="BF58" s="157">
        <v>3059.6610000000001</v>
      </c>
      <c r="BG58" s="43">
        <v>0</v>
      </c>
      <c r="BH58" s="113">
        <v>0</v>
      </c>
      <c r="BI58" s="114">
        <v>9.3854631901840499E-2</v>
      </c>
      <c r="BJ58" s="115">
        <v>0</v>
      </c>
      <c r="BK58" s="113">
        <v>0</v>
      </c>
      <c r="BL58" s="113">
        <v>0</v>
      </c>
      <c r="BM58" s="113">
        <v>0</v>
      </c>
      <c r="BN58" s="113">
        <v>1535.393</v>
      </c>
      <c r="BO58" s="114">
        <v>0.11391845971212346</v>
      </c>
      <c r="BP58" s="115">
        <v>0</v>
      </c>
      <c r="BQ58" s="43">
        <v>7668</v>
      </c>
      <c r="BR58" s="43">
        <v>651.21695723000005</v>
      </c>
      <c r="BS58" s="43"/>
      <c r="BT58" s="116">
        <v>-700</v>
      </c>
      <c r="BU58" s="43">
        <v>0</v>
      </c>
      <c r="BV58" s="43">
        <v>4485</v>
      </c>
      <c r="BW58" s="43">
        <v>4485</v>
      </c>
      <c r="BX58" s="43">
        <v>0</v>
      </c>
      <c r="BY58" s="43">
        <v>0</v>
      </c>
      <c r="BZ58" s="43">
        <v>-5000</v>
      </c>
      <c r="CA58" s="43">
        <v>0</v>
      </c>
      <c r="CB58" s="43">
        <v>-1657.6910026099999</v>
      </c>
      <c r="CC58" s="43">
        <v>0</v>
      </c>
      <c r="CD58" s="43">
        <v>-4000</v>
      </c>
      <c r="CE58" s="43">
        <v>0</v>
      </c>
      <c r="CF58" s="43">
        <v>4800</v>
      </c>
      <c r="CG58" s="43">
        <v>4800</v>
      </c>
      <c r="CH58" s="43">
        <v>10135.77507096</v>
      </c>
      <c r="CI58" s="43">
        <v>10135.77507096</v>
      </c>
      <c r="CJ58" s="114">
        <v>19420.77507096</v>
      </c>
      <c r="CK58" s="43"/>
      <c r="CL58" s="116">
        <v>-700</v>
      </c>
      <c r="CM58" s="43">
        <v>700</v>
      </c>
      <c r="CN58" s="43">
        <v>4485</v>
      </c>
      <c r="CO58" s="43">
        <v>0</v>
      </c>
      <c r="CP58" s="43">
        <v>0</v>
      </c>
      <c r="CQ58" s="43">
        <v>0</v>
      </c>
      <c r="CR58" s="43">
        <v>-5000</v>
      </c>
      <c r="CS58" s="43">
        <v>5000</v>
      </c>
      <c r="CT58" s="43">
        <v>-1657.6910026099999</v>
      </c>
      <c r="CU58" s="43">
        <v>1657.6910026099999</v>
      </c>
      <c r="CV58" s="43">
        <v>-4000</v>
      </c>
      <c r="CW58" s="43">
        <v>4000</v>
      </c>
      <c r="CX58" s="43">
        <v>4800</v>
      </c>
      <c r="CY58" s="43">
        <v>0</v>
      </c>
      <c r="CZ58" s="43">
        <v>10135.77507096</v>
      </c>
      <c r="DA58" s="43">
        <v>0</v>
      </c>
      <c r="DB58" s="114">
        <v>11357.691002609999</v>
      </c>
      <c r="DC58" s="43"/>
      <c r="DD58" s="117">
        <v>37619.671000000002</v>
      </c>
      <c r="DE58" s="55">
        <v>2090.7489999999998</v>
      </c>
      <c r="DF58" s="59">
        <v>4001.1667168944</v>
      </c>
      <c r="DG58" s="59">
        <v>43711.586716894395</v>
      </c>
      <c r="DH58" s="117">
        <v>8443.4159999999993</v>
      </c>
      <c r="DI58" s="117">
        <v>58648.411</v>
      </c>
      <c r="DJ58" s="55">
        <v>4591</v>
      </c>
      <c r="DK58" s="114">
        <v>63239.411</v>
      </c>
      <c r="DL58" s="43"/>
      <c r="DM58" s="117">
        <v>1089.7239999999999</v>
      </c>
      <c r="DN58" s="55">
        <v>10571.615847326309</v>
      </c>
      <c r="DO58" s="55">
        <v>11661.33984732631</v>
      </c>
      <c r="DP58" s="59">
        <v>1524.0859469092261</v>
      </c>
      <c r="DQ58" s="59">
        <v>2940.8339741909822</v>
      </c>
      <c r="DR58" s="59">
        <v>0</v>
      </c>
      <c r="DS58" s="55">
        <v>2940.8339741909822</v>
      </c>
      <c r="DT58" s="55">
        <v>163.37966523283239</v>
      </c>
      <c r="DU58" s="55">
        <v>163.37966523283239</v>
      </c>
      <c r="DW58" s="121">
        <v>0</v>
      </c>
      <c r="DX58" s="122">
        <v>1562.2729513199999</v>
      </c>
      <c r="DY58" s="128">
        <v>284.22008299999999</v>
      </c>
      <c r="DZ58" s="128">
        <v>0</v>
      </c>
      <c r="EA58" s="121">
        <v>0</v>
      </c>
      <c r="EB58" s="122">
        <v>1553.672292</v>
      </c>
      <c r="EC58" s="121">
        <v>0</v>
      </c>
      <c r="ED58" s="122">
        <v>0</v>
      </c>
      <c r="EE58" s="121">
        <v>0</v>
      </c>
      <c r="EF58" s="122">
        <v>847.5</v>
      </c>
      <c r="EG58" s="121">
        <v>0</v>
      </c>
      <c r="EH58" s="122">
        <v>5035.2188941300001</v>
      </c>
      <c r="EI58" s="121">
        <v>0</v>
      </c>
      <c r="EJ58" s="122">
        <v>1562.2729513199999</v>
      </c>
      <c r="EK58" s="129">
        <v>1553.672292</v>
      </c>
      <c r="EL58" s="130">
        <v>847.5</v>
      </c>
      <c r="EM58" s="131">
        <v>735.83500000000004</v>
      </c>
      <c r="EN58" s="129">
        <v>0</v>
      </c>
      <c r="EO58" s="129">
        <v>6166.9389771300002</v>
      </c>
      <c r="EP58" s="129">
        <v>0</v>
      </c>
      <c r="ER58" s="157">
        <v>988.60299999999995</v>
      </c>
      <c r="ES58" s="37">
        <v>1591.4646720000001</v>
      </c>
      <c r="ET58" s="55">
        <f t="shared" si="1"/>
        <v>8.9689455000678223E-2</v>
      </c>
      <c r="EU58" s="157">
        <v>0</v>
      </c>
      <c r="EV58" s="37">
        <v>171.20400000000001</v>
      </c>
      <c r="EW58" s="55">
        <f t="shared" si="8"/>
        <v>9.3759241531744864E-2</v>
      </c>
      <c r="EY58" s="166">
        <v>1489.2272467400001</v>
      </c>
      <c r="EZ58" s="37">
        <v>3156.57</v>
      </c>
      <c r="FA58" s="164">
        <f t="shared" si="2"/>
        <v>0.34150279894119223</v>
      </c>
      <c r="FB58" s="5">
        <v>4613</v>
      </c>
      <c r="FC58" s="164">
        <f t="shared" si="3"/>
        <v>1</v>
      </c>
      <c r="FE58" s="5"/>
      <c r="FF58" s="166">
        <v>0</v>
      </c>
      <c r="FG58" s="37">
        <v>0</v>
      </c>
      <c r="FH58" s="164">
        <f t="shared" si="4"/>
        <v>0</v>
      </c>
      <c r="FI58" s="5">
        <v>0</v>
      </c>
      <c r="FJ58" s="164">
        <f t="shared" si="5"/>
        <v>0</v>
      </c>
      <c r="FL58" s="169">
        <v>7873</v>
      </c>
      <c r="FM58" s="170">
        <f t="shared" si="6"/>
        <v>0.68245451314546257</v>
      </c>
      <c r="FN58" s="169">
        <v>2591</v>
      </c>
      <c r="FO58" s="170">
        <f t="shared" si="7"/>
        <v>0.82634348588741824</v>
      </c>
    </row>
    <row r="59" spans="16:171" x14ac:dyDescent="0.35">
      <c r="P59" s="64">
        <v>57</v>
      </c>
      <c r="Q59" s="109">
        <v>0</v>
      </c>
      <c r="R59" s="110">
        <v>0</v>
      </c>
      <c r="S59" s="111">
        <v>0</v>
      </c>
      <c r="T59" s="110">
        <v>0</v>
      </c>
      <c r="U59" s="111">
        <v>0</v>
      </c>
      <c r="V59" s="110">
        <v>0</v>
      </c>
      <c r="W59" s="111">
        <v>0</v>
      </c>
      <c r="X59" s="110">
        <v>0</v>
      </c>
      <c r="Y59" s="111">
        <v>0</v>
      </c>
      <c r="Z59" s="110">
        <v>0</v>
      </c>
      <c r="AA59" s="111">
        <v>0</v>
      </c>
      <c r="AB59" s="110">
        <v>0</v>
      </c>
      <c r="AC59" s="111">
        <v>0</v>
      </c>
      <c r="AD59" s="110">
        <v>0</v>
      </c>
      <c r="AF59" s="64">
        <v>57</v>
      </c>
      <c r="AG59" s="109">
        <v>6852.9845999999998</v>
      </c>
      <c r="AH59" s="111">
        <v>292.10000000000002</v>
      </c>
      <c r="AI59" s="109">
        <v>63.5</v>
      </c>
      <c r="AJ59" s="59">
        <v>7.6999999999999999E-2</v>
      </c>
      <c r="AK59" s="59">
        <v>0.127</v>
      </c>
      <c r="AL59" s="59">
        <v>0.127</v>
      </c>
      <c r="AM59" s="110">
        <v>55.555999999999997</v>
      </c>
      <c r="AN59" s="111">
        <v>2235.5711999999999</v>
      </c>
      <c r="AO59" s="59">
        <v>8.5999999999999993E-2</v>
      </c>
      <c r="AP59" s="55">
        <v>0.19199999999999998</v>
      </c>
      <c r="AQ59" s="109">
        <v>25511.200000000001</v>
      </c>
      <c r="AR59" s="111">
        <v>15704.775</v>
      </c>
      <c r="AS59" s="59">
        <v>0.57200000000000006</v>
      </c>
      <c r="AT59" s="55">
        <v>0.66900000000000004</v>
      </c>
      <c r="AU59" s="43"/>
      <c r="AV59" s="109">
        <v>1063.8689999999999</v>
      </c>
      <c r="AW59" s="110">
        <v>0.43199995127220159</v>
      </c>
      <c r="AX59" s="109">
        <v>934.76599999999996</v>
      </c>
      <c r="AY59" s="110">
        <v>0.58168388301182328</v>
      </c>
      <c r="AZ59" s="109">
        <v>1121.4780000000001</v>
      </c>
      <c r="BA59" s="110">
        <v>0.5784392407674851</v>
      </c>
      <c r="BB59" s="43"/>
      <c r="BC59" s="112">
        <v>51358.995000000003</v>
      </c>
      <c r="BD59" s="110">
        <v>0.73770491803278682</v>
      </c>
      <c r="BE59" s="43"/>
      <c r="BF59" s="157">
        <v>3125.047</v>
      </c>
      <c r="BG59" s="43">
        <v>0</v>
      </c>
      <c r="BH59" s="113">
        <v>0</v>
      </c>
      <c r="BI59" s="114">
        <v>9.5860337423312889E-2</v>
      </c>
      <c r="BJ59" s="115">
        <v>0</v>
      </c>
      <c r="BK59" s="113">
        <v>0</v>
      </c>
      <c r="BL59" s="113">
        <v>0</v>
      </c>
      <c r="BM59" s="113">
        <v>0</v>
      </c>
      <c r="BN59" s="113">
        <v>1426.3820000000001</v>
      </c>
      <c r="BO59" s="114">
        <v>0.10583039026561805</v>
      </c>
      <c r="BP59" s="115">
        <v>0</v>
      </c>
      <c r="BQ59" s="43">
        <v>7668</v>
      </c>
      <c r="BR59" s="43">
        <v>651.21695723000005</v>
      </c>
      <c r="BS59" s="43"/>
      <c r="BT59" s="116">
        <v>-700</v>
      </c>
      <c r="BU59" s="43">
        <v>0</v>
      </c>
      <c r="BV59" s="43">
        <v>4485</v>
      </c>
      <c r="BW59" s="43">
        <v>4485</v>
      </c>
      <c r="BX59" s="43">
        <v>0</v>
      </c>
      <c r="BY59" s="43">
        <v>0</v>
      </c>
      <c r="BZ59" s="43">
        <v>-5000</v>
      </c>
      <c r="CA59" s="43">
        <v>0</v>
      </c>
      <c r="CB59" s="43">
        <v>-1362.3429118900001</v>
      </c>
      <c r="CC59" s="43">
        <v>0</v>
      </c>
      <c r="CD59" s="43">
        <v>-4000</v>
      </c>
      <c r="CE59" s="43">
        <v>0</v>
      </c>
      <c r="CF59" s="43">
        <v>4800</v>
      </c>
      <c r="CG59" s="43">
        <v>4800</v>
      </c>
      <c r="CH59" s="43">
        <v>7691.09409813</v>
      </c>
      <c r="CI59" s="43">
        <v>7691.09409813</v>
      </c>
      <c r="CJ59" s="114">
        <v>16976.094098130001</v>
      </c>
      <c r="CK59" s="43"/>
      <c r="CL59" s="116">
        <v>-700</v>
      </c>
      <c r="CM59" s="43">
        <v>700</v>
      </c>
      <c r="CN59" s="43">
        <v>4485</v>
      </c>
      <c r="CO59" s="43">
        <v>0</v>
      </c>
      <c r="CP59" s="43">
        <v>0</v>
      </c>
      <c r="CQ59" s="43">
        <v>0</v>
      </c>
      <c r="CR59" s="43">
        <v>-5000</v>
      </c>
      <c r="CS59" s="43">
        <v>5000</v>
      </c>
      <c r="CT59" s="43">
        <v>-1362.3429118900001</v>
      </c>
      <c r="CU59" s="43">
        <v>1362.3429118900001</v>
      </c>
      <c r="CV59" s="43">
        <v>-4000</v>
      </c>
      <c r="CW59" s="43">
        <v>4000</v>
      </c>
      <c r="CX59" s="43">
        <v>4800</v>
      </c>
      <c r="CY59" s="43">
        <v>0</v>
      </c>
      <c r="CZ59" s="43">
        <v>7691.09409813</v>
      </c>
      <c r="DA59" s="43">
        <v>0</v>
      </c>
      <c r="DB59" s="114">
        <v>11062.34291189</v>
      </c>
      <c r="DC59" s="43"/>
      <c r="DD59" s="117">
        <v>39489.07</v>
      </c>
      <c r="DE59" s="55">
        <v>2146.3890000000001</v>
      </c>
      <c r="DF59" s="59">
        <v>3854.3998115905001</v>
      </c>
      <c r="DG59" s="59">
        <v>45489.8588115905</v>
      </c>
      <c r="DH59" s="117">
        <v>8981.4220000000005</v>
      </c>
      <c r="DI59" s="117">
        <v>59002.411</v>
      </c>
      <c r="DJ59" s="55">
        <v>5584</v>
      </c>
      <c r="DK59" s="114">
        <v>64586.411</v>
      </c>
      <c r="DL59" s="43"/>
      <c r="DM59" s="117">
        <v>1012.955</v>
      </c>
      <c r="DN59" s="55">
        <v>10571.615847326309</v>
      </c>
      <c r="DO59" s="55">
        <v>11584.570847326309</v>
      </c>
      <c r="DP59" s="59">
        <v>1622.0424233861261</v>
      </c>
      <c r="DQ59" s="59">
        <v>2940.8339741909822</v>
      </c>
      <c r="DR59" s="59">
        <v>0</v>
      </c>
      <c r="DS59" s="55">
        <v>2940.8339741909822</v>
      </c>
      <c r="DT59" s="55">
        <v>163.37966523283239</v>
      </c>
      <c r="DU59" s="55">
        <v>163.37966523283239</v>
      </c>
      <c r="DW59" s="121">
        <v>0</v>
      </c>
      <c r="DX59" s="122">
        <v>2607.1729513199998</v>
      </c>
      <c r="DY59" s="128">
        <v>441.42008299999998</v>
      </c>
      <c r="DZ59" s="128">
        <v>0</v>
      </c>
      <c r="EA59" s="121">
        <v>0</v>
      </c>
      <c r="EB59" s="122">
        <v>1553.672292</v>
      </c>
      <c r="EC59" s="121">
        <v>0</v>
      </c>
      <c r="ED59" s="122">
        <v>0</v>
      </c>
      <c r="EE59" s="121">
        <v>0</v>
      </c>
      <c r="EF59" s="122">
        <v>847.5</v>
      </c>
      <c r="EG59" s="121">
        <v>0</v>
      </c>
      <c r="EH59" s="122">
        <v>5922.9188941299999</v>
      </c>
      <c r="EI59" s="121">
        <v>0</v>
      </c>
      <c r="EJ59" s="122">
        <v>2607.1729513199998</v>
      </c>
      <c r="EK59" s="129">
        <v>1553.672292</v>
      </c>
      <c r="EL59" s="130">
        <v>847.5</v>
      </c>
      <c r="EM59" s="131">
        <v>735.83500000000004</v>
      </c>
      <c r="EN59" s="129">
        <v>0</v>
      </c>
      <c r="EO59" s="129">
        <v>7211.8389771299999</v>
      </c>
      <c r="EP59" s="129">
        <v>0</v>
      </c>
      <c r="ER59" s="157">
        <v>1055.921</v>
      </c>
      <c r="ES59" s="37">
        <v>1591.4646720000001</v>
      </c>
      <c r="ET59" s="55">
        <f t="shared" si="1"/>
        <v>9.202959312854965E-2</v>
      </c>
      <c r="EU59" s="157">
        <v>0</v>
      </c>
      <c r="EV59" s="37">
        <v>173.05199999999999</v>
      </c>
      <c r="EW59" s="55">
        <f t="shared" si="8"/>
        <v>9.4771291941493835E-2</v>
      </c>
      <c r="EY59" s="166">
        <v>10447.41</v>
      </c>
      <c r="EZ59" s="37">
        <v>3156.57</v>
      </c>
      <c r="FA59" s="164">
        <f t="shared" si="2"/>
        <v>1</v>
      </c>
      <c r="FB59" s="5">
        <v>4613</v>
      </c>
      <c r="FC59" s="164">
        <f t="shared" si="3"/>
        <v>1</v>
      </c>
      <c r="FE59" s="5"/>
      <c r="FF59" s="166">
        <v>0</v>
      </c>
      <c r="FG59" s="37">
        <v>0</v>
      </c>
      <c r="FH59" s="164">
        <f t="shared" si="4"/>
        <v>0</v>
      </c>
      <c r="FI59" s="5">
        <v>0</v>
      </c>
      <c r="FJ59" s="164">
        <f t="shared" si="5"/>
        <v>0</v>
      </c>
      <c r="FL59" s="169">
        <v>7873</v>
      </c>
      <c r="FM59" s="170">
        <f t="shared" si="6"/>
        <v>0.68245451314546257</v>
      </c>
      <c r="FN59" s="169">
        <v>2591</v>
      </c>
      <c r="FO59" s="170">
        <f t="shared" si="7"/>
        <v>0.82634348588741824</v>
      </c>
    </row>
    <row r="60" spans="16:171" x14ac:dyDescent="0.35">
      <c r="P60" s="64">
        <v>58</v>
      </c>
      <c r="Q60" s="109">
        <v>9379</v>
      </c>
      <c r="R60" s="110">
        <v>0.113</v>
      </c>
      <c r="S60" s="111">
        <v>312.32499999999999</v>
      </c>
      <c r="T60" s="110">
        <v>6.5000000000000002E-2</v>
      </c>
      <c r="U60" s="111">
        <v>3840</v>
      </c>
      <c r="V60" s="110">
        <v>0.128</v>
      </c>
      <c r="W60" s="111">
        <v>776.42280000000005</v>
      </c>
      <c r="X60" s="110">
        <v>5.3999999999999999E-2</v>
      </c>
      <c r="Y60" s="111">
        <v>338.09649999999999</v>
      </c>
      <c r="Z60" s="110">
        <v>3.5000000000000003E-2</v>
      </c>
      <c r="AA60" s="111">
        <v>3085.2</v>
      </c>
      <c r="AB60" s="110">
        <v>0.06</v>
      </c>
      <c r="AC60" s="111">
        <v>2223.3984</v>
      </c>
      <c r="AD60" s="110">
        <v>4.8000000000000001E-2</v>
      </c>
      <c r="AF60" s="64">
        <v>58</v>
      </c>
      <c r="AG60" s="109">
        <v>5695.9871999999996</v>
      </c>
      <c r="AH60" s="111">
        <v>278.3</v>
      </c>
      <c r="AI60" s="109">
        <v>60.5</v>
      </c>
      <c r="AJ60" s="59">
        <v>6.3999999999999987E-2</v>
      </c>
      <c r="AK60" s="59">
        <v>0.12100000000000001</v>
      </c>
      <c r="AL60" s="59">
        <v>0.121</v>
      </c>
      <c r="AM60" s="110">
        <v>49.095999999999997</v>
      </c>
      <c r="AN60" s="111">
        <v>1513.6679999999999</v>
      </c>
      <c r="AO60" s="59">
        <v>7.5999999999999998E-2</v>
      </c>
      <c r="AP60" s="55">
        <v>0.12999999999999998</v>
      </c>
      <c r="AQ60" s="109">
        <v>21229.599999999999</v>
      </c>
      <c r="AR60" s="111">
        <v>14906.625</v>
      </c>
      <c r="AS60" s="59">
        <v>0.47599999999999998</v>
      </c>
      <c r="AT60" s="55">
        <v>0.63500000000000001</v>
      </c>
      <c r="AU60" s="43"/>
      <c r="AV60" s="109">
        <v>1090.9580000000001</v>
      </c>
      <c r="AW60" s="110">
        <v>0.44299984569530515</v>
      </c>
      <c r="AX60" s="109">
        <v>945.37199999999996</v>
      </c>
      <c r="AY60" s="110">
        <v>0.58828375855631609</v>
      </c>
      <c r="AZ60" s="109">
        <v>1121.4780000000001</v>
      </c>
      <c r="BA60" s="110">
        <v>0.5784392407674851</v>
      </c>
      <c r="BB60" s="43"/>
      <c r="BC60" s="112">
        <v>51358.995000000003</v>
      </c>
      <c r="BD60" s="110">
        <v>0.73770491803278682</v>
      </c>
      <c r="BE60" s="43"/>
      <c r="BF60" s="157">
        <v>6991.3990000000003</v>
      </c>
      <c r="BG60" s="43">
        <v>0</v>
      </c>
      <c r="BH60" s="113">
        <v>0</v>
      </c>
      <c r="BI60" s="114">
        <v>0.21446009202453989</v>
      </c>
      <c r="BJ60" s="115">
        <v>0</v>
      </c>
      <c r="BK60" s="113">
        <v>0</v>
      </c>
      <c r="BL60" s="113">
        <v>0</v>
      </c>
      <c r="BM60" s="113">
        <v>0</v>
      </c>
      <c r="BN60" s="113">
        <v>1863.12</v>
      </c>
      <c r="BO60" s="114">
        <v>0.13823415937082653</v>
      </c>
      <c r="BP60" s="115">
        <v>0</v>
      </c>
      <c r="BQ60" s="43">
        <v>7668</v>
      </c>
      <c r="BR60" s="43">
        <v>651.21695723000005</v>
      </c>
      <c r="BS60" s="43"/>
      <c r="BT60" s="116">
        <v>-700</v>
      </c>
      <c r="BU60" s="43">
        <v>0</v>
      </c>
      <c r="BV60" s="43">
        <v>4485</v>
      </c>
      <c r="BW60" s="43">
        <v>4485</v>
      </c>
      <c r="BX60" s="43">
        <v>0</v>
      </c>
      <c r="BY60" s="43">
        <v>0</v>
      </c>
      <c r="BZ60" s="43">
        <v>-5000</v>
      </c>
      <c r="CA60" s="43">
        <v>0</v>
      </c>
      <c r="CB60" s="43">
        <v>-1734.6834531699999</v>
      </c>
      <c r="CC60" s="43">
        <v>0</v>
      </c>
      <c r="CD60" s="43">
        <v>-4000</v>
      </c>
      <c r="CE60" s="43">
        <v>0</v>
      </c>
      <c r="CF60" s="43">
        <v>4800</v>
      </c>
      <c r="CG60" s="43">
        <v>4800</v>
      </c>
      <c r="CH60" s="43">
        <v>7103.4015826300001</v>
      </c>
      <c r="CI60" s="43">
        <v>7103.4015826300001</v>
      </c>
      <c r="CJ60" s="114">
        <v>16388.401582630002</v>
      </c>
      <c r="CK60" s="43"/>
      <c r="CL60" s="116">
        <v>-700</v>
      </c>
      <c r="CM60" s="43">
        <v>700</v>
      </c>
      <c r="CN60" s="43">
        <v>4485</v>
      </c>
      <c r="CO60" s="43">
        <v>0</v>
      </c>
      <c r="CP60" s="43">
        <v>0</v>
      </c>
      <c r="CQ60" s="43">
        <v>0</v>
      </c>
      <c r="CR60" s="43">
        <v>-5000</v>
      </c>
      <c r="CS60" s="43">
        <v>5000</v>
      </c>
      <c r="CT60" s="43">
        <v>-1734.6834531699999</v>
      </c>
      <c r="CU60" s="43">
        <v>1734.6834531699999</v>
      </c>
      <c r="CV60" s="43">
        <v>-4000</v>
      </c>
      <c r="CW60" s="43">
        <v>4000</v>
      </c>
      <c r="CX60" s="43">
        <v>4800</v>
      </c>
      <c r="CY60" s="43">
        <v>0</v>
      </c>
      <c r="CZ60" s="43">
        <v>7103.4015826300001</v>
      </c>
      <c r="DA60" s="43">
        <v>0</v>
      </c>
      <c r="DB60" s="114">
        <v>11434.683453170001</v>
      </c>
      <c r="DC60" s="43"/>
      <c r="DD60" s="117">
        <v>40905.470999999998</v>
      </c>
      <c r="DE60" s="55">
        <v>2111.585</v>
      </c>
      <c r="DF60" s="59">
        <v>2406.5811843347001</v>
      </c>
      <c r="DG60" s="59">
        <v>45423.637184334701</v>
      </c>
      <c r="DH60" s="117">
        <v>9643.5229999999992</v>
      </c>
      <c r="DI60" s="117">
        <v>58959.411</v>
      </c>
      <c r="DJ60" s="55">
        <v>6559</v>
      </c>
      <c r="DK60" s="114">
        <v>65518.411</v>
      </c>
      <c r="DL60" s="43"/>
      <c r="DM60" s="117">
        <v>947.30600000000004</v>
      </c>
      <c r="DN60" s="55">
        <v>10571.615847326309</v>
      </c>
      <c r="DO60" s="55">
        <v>11518.92184732631</v>
      </c>
      <c r="DP60" s="59">
        <v>1622.0424233861261</v>
      </c>
      <c r="DQ60" s="59">
        <v>2940.8339741909822</v>
      </c>
      <c r="DR60" s="59">
        <v>0</v>
      </c>
      <c r="DS60" s="55">
        <v>2940.8339741909822</v>
      </c>
      <c r="DT60" s="55">
        <v>163.37966523283239</v>
      </c>
      <c r="DU60" s="55">
        <v>163.37966523283239</v>
      </c>
      <c r="DW60" s="121">
        <v>0</v>
      </c>
      <c r="DX60" s="122">
        <v>3652.0729513199999</v>
      </c>
      <c r="DY60" s="128">
        <v>693.00008300000002</v>
      </c>
      <c r="DZ60" s="128">
        <v>0</v>
      </c>
      <c r="EA60" s="121">
        <v>0</v>
      </c>
      <c r="EB60" s="122">
        <v>1553.672292</v>
      </c>
      <c r="EC60" s="121">
        <v>0</v>
      </c>
      <c r="ED60" s="122">
        <v>0</v>
      </c>
      <c r="EE60" s="121">
        <v>0</v>
      </c>
      <c r="EF60" s="122">
        <v>847.5</v>
      </c>
      <c r="EG60" s="121">
        <v>0</v>
      </c>
      <c r="EH60" s="122">
        <v>6716.2388941299996</v>
      </c>
      <c r="EI60" s="121">
        <v>0</v>
      </c>
      <c r="EJ60" s="122">
        <v>3652.0729513199999</v>
      </c>
      <c r="EK60" s="129">
        <v>1553.672292</v>
      </c>
      <c r="EL60" s="130">
        <v>847.5</v>
      </c>
      <c r="EM60" s="131">
        <v>735.83500000000004</v>
      </c>
      <c r="EN60" s="129">
        <v>0</v>
      </c>
      <c r="EO60" s="129">
        <v>8256.7389771300004</v>
      </c>
      <c r="EP60" s="129">
        <v>0</v>
      </c>
      <c r="ER60" s="157">
        <v>1060.085</v>
      </c>
      <c r="ES60" s="37">
        <v>1591.4646720000001</v>
      </c>
      <c r="ET60" s="55">
        <f t="shared" si="1"/>
        <v>9.2174343940582923E-2</v>
      </c>
      <c r="EU60" s="157">
        <v>0</v>
      </c>
      <c r="EV60" s="37">
        <v>174.43799999999999</v>
      </c>
      <c r="EW60" s="55">
        <f t="shared" si="8"/>
        <v>9.553032974880557E-2</v>
      </c>
      <c r="EY60" s="166">
        <v>5925.4122508199998</v>
      </c>
      <c r="EZ60" s="37">
        <v>3156.57</v>
      </c>
      <c r="FA60" s="164">
        <f t="shared" si="2"/>
        <v>0.66759744213237593</v>
      </c>
      <c r="FB60" s="5">
        <v>4613</v>
      </c>
      <c r="FC60" s="164">
        <f t="shared" si="3"/>
        <v>1</v>
      </c>
      <c r="FE60" s="5"/>
      <c r="FF60" s="166">
        <v>0</v>
      </c>
      <c r="FG60" s="37">
        <v>0</v>
      </c>
      <c r="FH60" s="164">
        <f t="shared" si="4"/>
        <v>0</v>
      </c>
      <c r="FI60" s="5">
        <v>0</v>
      </c>
      <c r="FJ60" s="164">
        <f t="shared" si="5"/>
        <v>0</v>
      </c>
      <c r="FL60" s="169">
        <v>7873</v>
      </c>
      <c r="FM60" s="170">
        <f t="shared" si="6"/>
        <v>0.68245451314546257</v>
      </c>
      <c r="FN60" s="169">
        <v>2591</v>
      </c>
      <c r="FO60" s="170">
        <f t="shared" si="7"/>
        <v>0.82634348588741824</v>
      </c>
    </row>
    <row r="61" spans="16:171" x14ac:dyDescent="0.35">
      <c r="P61" s="64">
        <v>59</v>
      </c>
      <c r="Q61" s="109">
        <v>23240</v>
      </c>
      <c r="R61" s="110">
        <v>0.28000000000000003</v>
      </c>
      <c r="S61" s="111">
        <v>807.24</v>
      </c>
      <c r="T61" s="110">
        <v>0.16800000000000001</v>
      </c>
      <c r="U61" s="111">
        <v>8730</v>
      </c>
      <c r="V61" s="110">
        <v>0.29099999999999998</v>
      </c>
      <c r="W61" s="111">
        <v>3033.8002000000001</v>
      </c>
      <c r="X61" s="110">
        <v>0.21099999999999999</v>
      </c>
      <c r="Y61" s="111">
        <v>1342.7261000000001</v>
      </c>
      <c r="Z61" s="110">
        <v>0.13900000000000001</v>
      </c>
      <c r="AA61" s="111">
        <v>7507.32</v>
      </c>
      <c r="AB61" s="110">
        <v>0.14599999999999999</v>
      </c>
      <c r="AC61" s="111">
        <v>5558.4960000000001</v>
      </c>
      <c r="AD61" s="110">
        <v>0.12</v>
      </c>
      <c r="AF61" s="64">
        <v>59</v>
      </c>
      <c r="AG61" s="109">
        <v>2847.9935999999998</v>
      </c>
      <c r="AH61" s="111">
        <v>273.7</v>
      </c>
      <c r="AI61" s="109">
        <v>59.5</v>
      </c>
      <c r="AJ61" s="59">
        <v>3.1999999999999994E-2</v>
      </c>
      <c r="AK61" s="59">
        <v>0.11899999999999999</v>
      </c>
      <c r="AL61" s="59">
        <v>0.11899999999999999</v>
      </c>
      <c r="AM61" s="110">
        <v>40.698</v>
      </c>
      <c r="AN61" s="111">
        <v>756.83399999999995</v>
      </c>
      <c r="AO61" s="59">
        <v>6.3E-2</v>
      </c>
      <c r="AP61" s="55">
        <v>6.4999999999999988E-2</v>
      </c>
      <c r="AQ61" s="109">
        <v>19579.400000000001</v>
      </c>
      <c r="AR61" s="111">
        <v>14178.9</v>
      </c>
      <c r="AS61" s="59">
        <v>0.43900000000000006</v>
      </c>
      <c r="AT61" s="55">
        <v>0.60399999999999998</v>
      </c>
      <c r="AU61" s="43"/>
      <c r="AV61" s="109">
        <v>1095.884</v>
      </c>
      <c r="AW61" s="110">
        <v>0.445000121819496</v>
      </c>
      <c r="AX61" s="109">
        <v>949.03599999999994</v>
      </c>
      <c r="AY61" s="110">
        <v>0.59056378344741756</v>
      </c>
      <c r="AZ61" s="109">
        <v>1121.4780000000001</v>
      </c>
      <c r="BA61" s="110">
        <v>0.5784392407674851</v>
      </c>
      <c r="BB61" s="43"/>
      <c r="BC61" s="112">
        <v>51358.995000000003</v>
      </c>
      <c r="BD61" s="110">
        <v>0.73770491803278682</v>
      </c>
      <c r="BE61" s="43"/>
      <c r="BF61" s="157">
        <v>12061.620999999999</v>
      </c>
      <c r="BG61" s="43">
        <v>0</v>
      </c>
      <c r="BH61" s="113">
        <v>0</v>
      </c>
      <c r="BI61" s="114">
        <v>0.3699883742331288</v>
      </c>
      <c r="BJ61" s="115">
        <v>0</v>
      </c>
      <c r="BK61" s="113">
        <v>0</v>
      </c>
      <c r="BL61" s="113">
        <v>0</v>
      </c>
      <c r="BM61" s="113">
        <v>0</v>
      </c>
      <c r="BN61" s="113">
        <v>3369.8330000000001</v>
      </c>
      <c r="BO61" s="114">
        <v>0.25002470692981155</v>
      </c>
      <c r="BP61" s="115">
        <v>0</v>
      </c>
      <c r="BQ61" s="43">
        <v>7668</v>
      </c>
      <c r="BR61" s="43">
        <v>651.21695723000005</v>
      </c>
      <c r="BS61" s="43"/>
      <c r="BT61" s="116">
        <v>-700</v>
      </c>
      <c r="BU61" s="43">
        <v>0</v>
      </c>
      <c r="BV61" s="43">
        <v>4485</v>
      </c>
      <c r="BW61" s="43">
        <v>4485</v>
      </c>
      <c r="BX61" s="43">
        <v>0</v>
      </c>
      <c r="BY61" s="43">
        <v>0</v>
      </c>
      <c r="BZ61" s="43">
        <v>-5000</v>
      </c>
      <c r="CA61" s="43">
        <v>0</v>
      </c>
      <c r="CB61" s="43">
        <v>903.51395279999997</v>
      </c>
      <c r="CC61" s="43">
        <v>903.51395279999997</v>
      </c>
      <c r="CD61" s="43">
        <v>-4000</v>
      </c>
      <c r="CE61" s="43">
        <v>0</v>
      </c>
      <c r="CF61" s="43">
        <v>4800</v>
      </c>
      <c r="CG61" s="43">
        <v>4800</v>
      </c>
      <c r="CH61" s="43">
        <v>7627.5549282299999</v>
      </c>
      <c r="CI61" s="43">
        <v>7627.5549282299999</v>
      </c>
      <c r="CJ61" s="114">
        <v>17816.068881029998</v>
      </c>
      <c r="CK61" s="43"/>
      <c r="CL61" s="116">
        <v>-700</v>
      </c>
      <c r="CM61" s="43">
        <v>700</v>
      </c>
      <c r="CN61" s="43">
        <v>4485</v>
      </c>
      <c r="CO61" s="43">
        <v>0</v>
      </c>
      <c r="CP61" s="43">
        <v>0</v>
      </c>
      <c r="CQ61" s="43">
        <v>0</v>
      </c>
      <c r="CR61" s="43">
        <v>-5000</v>
      </c>
      <c r="CS61" s="43">
        <v>5000</v>
      </c>
      <c r="CT61" s="43">
        <v>903.51395279999997</v>
      </c>
      <c r="CU61" s="43">
        <v>0</v>
      </c>
      <c r="CV61" s="43">
        <v>-4000</v>
      </c>
      <c r="CW61" s="43">
        <v>4000</v>
      </c>
      <c r="CX61" s="43">
        <v>4800</v>
      </c>
      <c r="CY61" s="43">
        <v>0</v>
      </c>
      <c r="CZ61" s="43">
        <v>7627.5549282299999</v>
      </c>
      <c r="DA61" s="43">
        <v>0</v>
      </c>
      <c r="DB61" s="114">
        <v>9700</v>
      </c>
      <c r="DC61" s="43"/>
      <c r="DD61" s="117">
        <v>40973.608999999997</v>
      </c>
      <c r="DE61" s="55">
        <v>2006.8</v>
      </c>
      <c r="DF61" s="59">
        <v>1892.0631596722001</v>
      </c>
      <c r="DG61" s="59">
        <v>44872.472159672201</v>
      </c>
      <c r="DH61" s="117">
        <v>10830.951999999999</v>
      </c>
      <c r="DI61" s="117">
        <v>59107.411</v>
      </c>
      <c r="DJ61" s="55">
        <v>6244</v>
      </c>
      <c r="DK61" s="114">
        <v>65351.411</v>
      </c>
      <c r="DL61" s="43"/>
      <c r="DM61" s="117">
        <v>916.75800000000004</v>
      </c>
      <c r="DN61" s="55">
        <v>10571.615847326309</v>
      </c>
      <c r="DO61" s="55">
        <v>11488.373847326309</v>
      </c>
      <c r="DP61" s="59">
        <v>1673.5984636371261</v>
      </c>
      <c r="DQ61" s="59">
        <v>2940.8339741909822</v>
      </c>
      <c r="DR61" s="59">
        <v>0</v>
      </c>
      <c r="DS61" s="55">
        <v>2940.8339741909822</v>
      </c>
      <c r="DT61" s="55">
        <v>163.37966523283239</v>
      </c>
      <c r="DU61" s="55">
        <v>163.37966523283239</v>
      </c>
      <c r="DW61" s="121">
        <v>0</v>
      </c>
      <c r="DX61" s="122">
        <v>4696.97295132</v>
      </c>
      <c r="DY61" s="128">
        <v>944.58008299999995</v>
      </c>
      <c r="DZ61" s="128">
        <v>0</v>
      </c>
      <c r="EA61" s="121">
        <v>0</v>
      </c>
      <c r="EB61" s="122">
        <v>1553.672292</v>
      </c>
      <c r="EC61" s="121">
        <v>0</v>
      </c>
      <c r="ED61" s="122">
        <v>222.58285531000001</v>
      </c>
      <c r="EE61" s="121">
        <v>0</v>
      </c>
      <c r="EF61" s="122">
        <v>847.5</v>
      </c>
      <c r="EG61" s="121">
        <v>0</v>
      </c>
      <c r="EH61" s="122">
        <v>7286.9760388200002</v>
      </c>
      <c r="EI61" s="121">
        <v>0</v>
      </c>
      <c r="EJ61" s="122">
        <v>4696.97295132</v>
      </c>
      <c r="EK61" s="129">
        <v>1553.672292</v>
      </c>
      <c r="EL61" s="130">
        <v>847.5</v>
      </c>
      <c r="EM61" s="131">
        <v>735.83500000000004</v>
      </c>
      <c r="EN61" s="129">
        <v>0</v>
      </c>
      <c r="EO61" s="129">
        <v>9301.6389771300001</v>
      </c>
      <c r="EP61" s="129">
        <v>0</v>
      </c>
      <c r="ER61" s="157">
        <v>1060.085</v>
      </c>
      <c r="ES61" s="37">
        <v>1591.4646720000001</v>
      </c>
      <c r="ET61" s="55">
        <f t="shared" si="1"/>
        <v>9.2174343940582923E-2</v>
      </c>
      <c r="EU61" s="157">
        <v>0</v>
      </c>
      <c r="EV61" s="37">
        <v>0</v>
      </c>
      <c r="EW61" s="55">
        <f t="shared" si="8"/>
        <v>0</v>
      </c>
      <c r="EY61" s="166">
        <v>0</v>
      </c>
      <c r="EZ61" s="37">
        <v>3156.57</v>
      </c>
      <c r="FA61" s="164">
        <f t="shared" si="2"/>
        <v>0.23203283156840868</v>
      </c>
      <c r="FB61" s="5">
        <v>4613</v>
      </c>
      <c r="FC61" s="164">
        <f t="shared" si="3"/>
        <v>1</v>
      </c>
      <c r="FE61" s="5"/>
      <c r="FF61" s="166">
        <v>0</v>
      </c>
      <c r="FG61" s="37">
        <v>9322.6525643200002</v>
      </c>
      <c r="FH61" s="164">
        <f t="shared" si="4"/>
        <v>0.69985943466546552</v>
      </c>
      <c r="FI61" s="5">
        <v>0</v>
      </c>
      <c r="FJ61" s="164">
        <f t="shared" si="5"/>
        <v>0</v>
      </c>
      <c r="FL61" s="169">
        <v>7873</v>
      </c>
      <c r="FM61" s="170">
        <f t="shared" si="6"/>
        <v>0.68245451314546257</v>
      </c>
      <c r="FN61" s="169">
        <v>2591</v>
      </c>
      <c r="FO61" s="170">
        <f t="shared" si="7"/>
        <v>0.82634348588741824</v>
      </c>
    </row>
    <row r="62" spans="16:171" x14ac:dyDescent="0.35">
      <c r="P62" s="64">
        <v>60</v>
      </c>
      <c r="Q62" s="109">
        <v>28718</v>
      </c>
      <c r="R62" s="110">
        <v>0.34599999999999997</v>
      </c>
      <c r="S62" s="111">
        <v>1316.57</v>
      </c>
      <c r="T62" s="110">
        <v>0.27399999999999997</v>
      </c>
      <c r="U62" s="111">
        <v>12540</v>
      </c>
      <c r="V62" s="110">
        <v>0.41799999999999998</v>
      </c>
      <c r="W62" s="111">
        <v>5276.7993999999999</v>
      </c>
      <c r="X62" s="110">
        <v>0.36699999999999999</v>
      </c>
      <c r="Y62" s="111">
        <v>2414.9749999999999</v>
      </c>
      <c r="Z62" s="110">
        <v>0.25</v>
      </c>
      <c r="AA62" s="111">
        <v>11569.5</v>
      </c>
      <c r="AB62" s="110">
        <v>0.22500000000000001</v>
      </c>
      <c r="AC62" s="111">
        <v>8569.348</v>
      </c>
      <c r="AD62" s="110">
        <v>0.185</v>
      </c>
      <c r="AF62" s="64">
        <v>60</v>
      </c>
      <c r="AG62" s="109">
        <v>1334.9970000000001</v>
      </c>
      <c r="AH62" s="111">
        <v>262.2</v>
      </c>
      <c r="AI62" s="109">
        <v>57</v>
      </c>
      <c r="AJ62" s="59">
        <v>1.4999999999999999E-2</v>
      </c>
      <c r="AK62" s="59">
        <v>0.11399999999999999</v>
      </c>
      <c r="AL62" s="59">
        <v>0.114</v>
      </c>
      <c r="AM62" s="110">
        <v>34.884</v>
      </c>
      <c r="AN62" s="111">
        <v>349.30799999999999</v>
      </c>
      <c r="AO62" s="59">
        <v>5.3999999999999999E-2</v>
      </c>
      <c r="AP62" s="55">
        <v>0.03</v>
      </c>
      <c r="AQ62" s="109">
        <v>19178</v>
      </c>
      <c r="AR62" s="111">
        <v>13404.225</v>
      </c>
      <c r="AS62" s="59">
        <v>0.43</v>
      </c>
      <c r="AT62" s="55">
        <v>0.57100000000000006</v>
      </c>
      <c r="AU62" s="43"/>
      <c r="AV62" s="109">
        <v>1054.018</v>
      </c>
      <c r="AW62" s="110">
        <v>0.42799980508880647</v>
      </c>
      <c r="AX62" s="109">
        <v>946.38800000000003</v>
      </c>
      <c r="AY62" s="110">
        <v>0.58891599253266957</v>
      </c>
      <c r="AZ62" s="109">
        <v>1121.4780000000001</v>
      </c>
      <c r="BA62" s="110">
        <v>0.5784392407674851</v>
      </c>
      <c r="BB62" s="43"/>
      <c r="BC62" s="112">
        <v>51358.995000000003</v>
      </c>
      <c r="BD62" s="110">
        <v>0.73770491803278682</v>
      </c>
      <c r="BE62" s="43"/>
      <c r="BF62" s="157">
        <v>15103.945</v>
      </c>
      <c r="BG62" s="43">
        <v>0</v>
      </c>
      <c r="BH62" s="113">
        <v>0</v>
      </c>
      <c r="BI62" s="114">
        <v>0.4633111963190184</v>
      </c>
      <c r="BJ62" s="115">
        <v>0</v>
      </c>
      <c r="BK62" s="113">
        <v>0</v>
      </c>
      <c r="BL62" s="113">
        <v>0</v>
      </c>
      <c r="BM62" s="113">
        <v>0</v>
      </c>
      <c r="BN62" s="113">
        <v>4921.4520000000002</v>
      </c>
      <c r="BO62" s="114">
        <v>0.3651470544591186</v>
      </c>
      <c r="BP62" s="115">
        <v>0</v>
      </c>
      <c r="BQ62" s="43">
        <v>7668</v>
      </c>
      <c r="BR62" s="43">
        <v>485.25243639000001</v>
      </c>
      <c r="BS62" s="43"/>
      <c r="BT62" s="116">
        <v>-700</v>
      </c>
      <c r="BU62" s="43">
        <v>0</v>
      </c>
      <c r="BV62" s="43">
        <v>4485</v>
      </c>
      <c r="BW62" s="43">
        <v>4485</v>
      </c>
      <c r="BX62" s="43">
        <v>0</v>
      </c>
      <c r="BY62" s="43">
        <v>0</v>
      </c>
      <c r="BZ62" s="43">
        <v>-5000</v>
      </c>
      <c r="CA62" s="43">
        <v>0</v>
      </c>
      <c r="CB62" s="43">
        <v>2304.0527207599998</v>
      </c>
      <c r="CC62" s="43">
        <v>2304.0527207599998</v>
      </c>
      <c r="CD62" s="43">
        <v>-4000</v>
      </c>
      <c r="CE62" s="43">
        <v>0</v>
      </c>
      <c r="CF62" s="43">
        <v>4800</v>
      </c>
      <c r="CG62" s="43">
        <v>4800</v>
      </c>
      <c r="CH62" s="43">
        <v>7784.1574998899996</v>
      </c>
      <c r="CI62" s="43">
        <v>7784.1574998899996</v>
      </c>
      <c r="CJ62" s="114">
        <v>19373.210220649999</v>
      </c>
      <c r="CK62" s="43"/>
      <c r="CL62" s="116">
        <v>-700</v>
      </c>
      <c r="CM62" s="43">
        <v>700</v>
      </c>
      <c r="CN62" s="43">
        <v>4485</v>
      </c>
      <c r="CO62" s="43">
        <v>0</v>
      </c>
      <c r="CP62" s="43">
        <v>0</v>
      </c>
      <c r="CQ62" s="43">
        <v>0</v>
      </c>
      <c r="CR62" s="43">
        <v>-5000</v>
      </c>
      <c r="CS62" s="43">
        <v>5000</v>
      </c>
      <c r="CT62" s="43">
        <v>2304.0527207599998</v>
      </c>
      <c r="CU62" s="43">
        <v>0</v>
      </c>
      <c r="CV62" s="43">
        <v>-4000</v>
      </c>
      <c r="CW62" s="43">
        <v>4000</v>
      </c>
      <c r="CX62" s="43">
        <v>4800</v>
      </c>
      <c r="CY62" s="43">
        <v>0</v>
      </c>
      <c r="CZ62" s="43">
        <v>7784.1574998899996</v>
      </c>
      <c r="DA62" s="43">
        <v>0</v>
      </c>
      <c r="DB62" s="114">
        <v>9700</v>
      </c>
      <c r="DC62" s="43"/>
      <c r="DD62" s="117">
        <v>41134.824999999997</v>
      </c>
      <c r="DE62" s="55">
        <v>1826.9739999999999</v>
      </c>
      <c r="DF62" s="59">
        <v>2331.6311476760002</v>
      </c>
      <c r="DG62" s="59">
        <v>45293.430147676001</v>
      </c>
      <c r="DH62" s="117">
        <v>12183.69</v>
      </c>
      <c r="DI62" s="117">
        <v>60694.411</v>
      </c>
      <c r="DJ62" s="55">
        <v>5957</v>
      </c>
      <c r="DK62" s="114">
        <v>66651.410999999993</v>
      </c>
      <c r="DL62" s="43"/>
      <c r="DM62" s="117">
        <v>853.30600000000004</v>
      </c>
      <c r="DN62" s="55">
        <v>10555.905846475949</v>
      </c>
      <c r="DO62" s="55">
        <v>11409.21184647595</v>
      </c>
      <c r="DP62" s="59">
        <v>1673.5984636371261</v>
      </c>
      <c r="DQ62" s="59">
        <v>2932.5560997657399</v>
      </c>
      <c r="DR62" s="59">
        <v>0</v>
      </c>
      <c r="DS62" s="55">
        <v>2932.5560997657399</v>
      </c>
      <c r="DT62" s="55">
        <v>162.91978332031891</v>
      </c>
      <c r="DU62" s="55">
        <v>162.91978332031891</v>
      </c>
      <c r="DW62" s="121">
        <v>0</v>
      </c>
      <c r="DX62" s="122">
        <v>5742.3328332299998</v>
      </c>
      <c r="DY62" s="128">
        <v>1196.160083</v>
      </c>
      <c r="DZ62" s="128">
        <v>0</v>
      </c>
      <c r="EA62" s="121">
        <v>0</v>
      </c>
      <c r="EB62" s="122">
        <v>1553.672292</v>
      </c>
      <c r="EC62" s="121">
        <v>0</v>
      </c>
      <c r="ED62" s="122">
        <v>914.01777947000005</v>
      </c>
      <c r="EE62" s="121">
        <v>0</v>
      </c>
      <c r="EF62" s="122">
        <v>847.5</v>
      </c>
      <c r="EG62" s="121">
        <v>0</v>
      </c>
      <c r="EH62" s="122">
        <v>7397.5988710000001</v>
      </c>
      <c r="EI62" s="121">
        <v>0</v>
      </c>
      <c r="EJ62" s="122">
        <v>5742.3328332299998</v>
      </c>
      <c r="EK62" s="129">
        <v>1553.672292</v>
      </c>
      <c r="EL62" s="130">
        <v>847.5</v>
      </c>
      <c r="EM62" s="131">
        <v>735.83500000000004</v>
      </c>
      <c r="EN62" s="129">
        <v>0</v>
      </c>
      <c r="EO62" s="129">
        <v>10355.27673347</v>
      </c>
      <c r="EP62" s="129">
        <v>0</v>
      </c>
      <c r="ER62" s="157">
        <v>1064.249</v>
      </c>
      <c r="ES62" s="37">
        <v>1591.4646720000001</v>
      </c>
      <c r="ET62" s="55">
        <f t="shared" si="1"/>
        <v>9.2319094752616196E-2</v>
      </c>
      <c r="EU62" s="157">
        <v>0</v>
      </c>
      <c r="EV62" s="37">
        <v>0</v>
      </c>
      <c r="EW62" s="55">
        <f t="shared" si="8"/>
        <v>0</v>
      </c>
      <c r="EY62" s="166">
        <v>0</v>
      </c>
      <c r="EZ62" s="37">
        <v>3156.57</v>
      </c>
      <c r="FA62" s="164">
        <f t="shared" si="2"/>
        <v>0.23203283156840868</v>
      </c>
      <c r="FB62" s="5">
        <v>4613</v>
      </c>
      <c r="FC62" s="164">
        <f t="shared" si="3"/>
        <v>1</v>
      </c>
      <c r="FE62" s="5"/>
      <c r="FF62" s="166">
        <v>0</v>
      </c>
      <c r="FG62" s="37">
        <v>10423.35</v>
      </c>
      <c r="FH62" s="164">
        <f t="shared" si="4"/>
        <v>0.78248972467766453</v>
      </c>
      <c r="FI62" s="5">
        <v>0</v>
      </c>
      <c r="FJ62" s="164">
        <f t="shared" si="5"/>
        <v>0</v>
      </c>
      <c r="FL62" s="169">
        <v>7873</v>
      </c>
      <c r="FM62" s="170">
        <f t="shared" si="6"/>
        <v>0.68245451314546257</v>
      </c>
      <c r="FN62" s="169">
        <v>2591</v>
      </c>
      <c r="FO62" s="170">
        <f t="shared" si="7"/>
        <v>0.82634348588741824</v>
      </c>
    </row>
    <row r="63" spans="16:171" x14ac:dyDescent="0.35">
      <c r="P63" s="64">
        <v>61</v>
      </c>
      <c r="Q63" s="109">
        <v>30793</v>
      </c>
      <c r="R63" s="110">
        <v>0.371</v>
      </c>
      <c r="S63" s="111">
        <v>1648.115</v>
      </c>
      <c r="T63" s="110">
        <v>0.34300000000000003</v>
      </c>
      <c r="U63" s="111">
        <v>14670</v>
      </c>
      <c r="V63" s="110">
        <v>0.48899999999999999</v>
      </c>
      <c r="W63" s="111">
        <v>6815.2668000000003</v>
      </c>
      <c r="X63" s="110">
        <v>0.47399999999999998</v>
      </c>
      <c r="Y63" s="111">
        <v>3178.1071000000002</v>
      </c>
      <c r="Z63" s="110">
        <v>0.32900000000000001</v>
      </c>
      <c r="AA63" s="111">
        <v>13523.46</v>
      </c>
      <c r="AB63" s="110">
        <v>0.26299999999999996</v>
      </c>
      <c r="AC63" s="111">
        <v>10051.613600000001</v>
      </c>
      <c r="AD63" s="110">
        <v>0.217</v>
      </c>
      <c r="AF63" s="64">
        <v>61</v>
      </c>
      <c r="AG63" s="109">
        <v>978.99779999999998</v>
      </c>
      <c r="AH63" s="111">
        <v>269.10000000000002</v>
      </c>
      <c r="AI63" s="109">
        <v>58.5</v>
      </c>
      <c r="AJ63" s="59">
        <v>1.0999999999999999E-2</v>
      </c>
      <c r="AK63" s="59">
        <v>0.11700000000000001</v>
      </c>
      <c r="AL63" s="59">
        <v>0.11700000000000001</v>
      </c>
      <c r="AM63" s="110">
        <v>29.716000000000001</v>
      </c>
      <c r="AN63" s="111">
        <v>221.22839999999999</v>
      </c>
      <c r="AO63" s="59">
        <v>4.5999999999999999E-2</v>
      </c>
      <c r="AP63" s="55">
        <v>1.9E-2</v>
      </c>
      <c r="AQ63" s="109">
        <v>19980.8</v>
      </c>
      <c r="AR63" s="111">
        <v>12911.25</v>
      </c>
      <c r="AS63" s="59">
        <v>0.44800000000000001</v>
      </c>
      <c r="AT63" s="55">
        <v>0.55000000000000004</v>
      </c>
      <c r="AU63" s="43"/>
      <c r="AV63" s="109">
        <v>1046.6300000000001</v>
      </c>
      <c r="AW63" s="110">
        <v>0.42499979696750673</v>
      </c>
      <c r="AX63" s="109">
        <v>944.37</v>
      </c>
      <c r="AY63" s="110">
        <v>0.58766023646546361</v>
      </c>
      <c r="AZ63" s="109">
        <v>1121.4780000000001</v>
      </c>
      <c r="BA63" s="110">
        <v>0.5784392407674851</v>
      </c>
      <c r="BB63" s="43"/>
      <c r="BC63" s="112">
        <v>51358.995000000003</v>
      </c>
      <c r="BD63" s="110">
        <v>0.73770491803278682</v>
      </c>
      <c r="BE63" s="43"/>
      <c r="BF63" s="157">
        <v>16784.896000000001</v>
      </c>
      <c r="BG63" s="43">
        <v>0</v>
      </c>
      <c r="BH63" s="113">
        <v>0</v>
      </c>
      <c r="BI63" s="114">
        <v>0.51487411042944786</v>
      </c>
      <c r="BJ63" s="115">
        <v>0</v>
      </c>
      <c r="BK63" s="113">
        <v>0</v>
      </c>
      <c r="BL63" s="113">
        <v>0</v>
      </c>
      <c r="BM63" s="113">
        <v>0</v>
      </c>
      <c r="BN63" s="113">
        <v>5987.5630000000001</v>
      </c>
      <c r="BO63" s="114">
        <v>0.44424714349309985</v>
      </c>
      <c r="BP63" s="115">
        <v>0</v>
      </c>
      <c r="BQ63" s="43">
        <v>7668</v>
      </c>
      <c r="BR63" s="43">
        <v>0</v>
      </c>
      <c r="BS63" s="43"/>
      <c r="BT63" s="116">
        <v>-700</v>
      </c>
      <c r="BU63" s="43">
        <v>0</v>
      </c>
      <c r="BV63" s="43">
        <v>4485</v>
      </c>
      <c r="BW63" s="43">
        <v>4485</v>
      </c>
      <c r="BX63" s="43">
        <v>0</v>
      </c>
      <c r="BY63" s="43">
        <v>0</v>
      </c>
      <c r="BZ63" s="43">
        <v>-5000</v>
      </c>
      <c r="CA63" s="43">
        <v>0</v>
      </c>
      <c r="CB63" s="43">
        <v>2731.3758492299999</v>
      </c>
      <c r="CC63" s="43">
        <v>2731.3758492299999</v>
      </c>
      <c r="CD63" s="43">
        <v>-4000</v>
      </c>
      <c r="CE63" s="43">
        <v>0</v>
      </c>
      <c r="CF63" s="43">
        <v>4800</v>
      </c>
      <c r="CG63" s="43">
        <v>4800</v>
      </c>
      <c r="CH63" s="43">
        <v>7687.1621045499996</v>
      </c>
      <c r="CI63" s="43">
        <v>7687.1621045499996</v>
      </c>
      <c r="CJ63" s="114">
        <v>19703.53795378</v>
      </c>
      <c r="CK63" s="43"/>
      <c r="CL63" s="116">
        <v>-700</v>
      </c>
      <c r="CM63" s="43">
        <v>700</v>
      </c>
      <c r="CN63" s="43">
        <v>4485</v>
      </c>
      <c r="CO63" s="43">
        <v>0</v>
      </c>
      <c r="CP63" s="43">
        <v>0</v>
      </c>
      <c r="CQ63" s="43">
        <v>0</v>
      </c>
      <c r="CR63" s="43">
        <v>-5000</v>
      </c>
      <c r="CS63" s="43">
        <v>5000</v>
      </c>
      <c r="CT63" s="43">
        <v>2731.3758492299999</v>
      </c>
      <c r="CU63" s="43">
        <v>0</v>
      </c>
      <c r="CV63" s="43">
        <v>-4000</v>
      </c>
      <c r="CW63" s="43">
        <v>4000</v>
      </c>
      <c r="CX63" s="43">
        <v>4800</v>
      </c>
      <c r="CY63" s="43">
        <v>0</v>
      </c>
      <c r="CZ63" s="43">
        <v>7687.1621045499996</v>
      </c>
      <c r="DA63" s="43">
        <v>0</v>
      </c>
      <c r="DB63" s="114">
        <v>9700</v>
      </c>
      <c r="DC63" s="43"/>
      <c r="DD63" s="117">
        <v>41330.938999999998</v>
      </c>
      <c r="DE63" s="55">
        <v>1733.329</v>
      </c>
      <c r="DF63" s="59">
        <v>2513.3795602269001</v>
      </c>
      <c r="DG63" s="59">
        <v>45577.647560226898</v>
      </c>
      <c r="DH63" s="117">
        <v>13204.603999999999</v>
      </c>
      <c r="DI63" s="117">
        <v>61511.411</v>
      </c>
      <c r="DJ63" s="55">
        <v>5582</v>
      </c>
      <c r="DK63" s="114">
        <v>67093.410999999993</v>
      </c>
      <c r="DL63" s="43"/>
      <c r="DM63" s="117">
        <v>769.79499999999996</v>
      </c>
      <c r="DN63" s="55">
        <v>10540.1958456256</v>
      </c>
      <c r="DO63" s="55">
        <v>11309.9908456256</v>
      </c>
      <c r="DP63" s="59">
        <v>1622.0424233861261</v>
      </c>
      <c r="DQ63" s="59">
        <v>2924.2782253404971</v>
      </c>
      <c r="DR63" s="59">
        <v>436.85739666000001</v>
      </c>
      <c r="DS63" s="55">
        <v>3361.1356220004973</v>
      </c>
      <c r="DT63" s="55">
        <v>162.4599014078054</v>
      </c>
      <c r="DU63" s="55">
        <v>162.4599014078054</v>
      </c>
      <c r="DW63" s="121">
        <v>0</v>
      </c>
      <c r="DX63" s="122">
        <v>6779.6610170000004</v>
      </c>
      <c r="DY63" s="128">
        <v>1447.7400829999999</v>
      </c>
      <c r="DZ63" s="128">
        <v>0</v>
      </c>
      <c r="EA63" s="121">
        <v>0</v>
      </c>
      <c r="EB63" s="122">
        <v>1553.672292</v>
      </c>
      <c r="EC63" s="121">
        <v>0</v>
      </c>
      <c r="ED63" s="122">
        <v>1271.1864410000001</v>
      </c>
      <c r="EE63" s="121">
        <v>0</v>
      </c>
      <c r="EF63" s="122">
        <v>847.5</v>
      </c>
      <c r="EG63" s="121">
        <v>0</v>
      </c>
      <c r="EH63" s="122">
        <v>7397.5988710000001</v>
      </c>
      <c r="EI63" s="121">
        <v>0</v>
      </c>
      <c r="EJ63" s="122">
        <v>6779.6610170000004</v>
      </c>
      <c r="EK63" s="129">
        <v>1553.672292</v>
      </c>
      <c r="EL63" s="130">
        <v>847.5</v>
      </c>
      <c r="EM63" s="131">
        <v>735.83500000000004</v>
      </c>
      <c r="EN63" s="129">
        <v>436.85739666000001</v>
      </c>
      <c r="EO63" s="129">
        <v>10964.025395000001</v>
      </c>
      <c r="EP63" s="129">
        <v>0</v>
      </c>
      <c r="ER63" s="157">
        <v>1081.252</v>
      </c>
      <c r="ES63" s="37">
        <v>1591.4646720000001</v>
      </c>
      <c r="ET63" s="55">
        <f t="shared" si="1"/>
        <v>9.2910160568418776E-2</v>
      </c>
      <c r="EU63" s="157">
        <v>0</v>
      </c>
      <c r="EV63" s="37">
        <v>0</v>
      </c>
      <c r="EW63" s="55">
        <f t="shared" si="8"/>
        <v>0</v>
      </c>
      <c r="EY63" s="166">
        <v>0</v>
      </c>
      <c r="EZ63" s="37">
        <v>3156.57</v>
      </c>
      <c r="FA63" s="164">
        <f t="shared" si="2"/>
        <v>0.23203283156840868</v>
      </c>
      <c r="FB63" s="5">
        <v>4613</v>
      </c>
      <c r="FC63" s="164">
        <f t="shared" si="3"/>
        <v>1</v>
      </c>
      <c r="FE63" s="5"/>
      <c r="FF63" s="166">
        <v>0</v>
      </c>
      <c r="FG63" s="37">
        <v>10423.35</v>
      </c>
      <c r="FH63" s="164">
        <f t="shared" si="4"/>
        <v>0.78248972467766453</v>
      </c>
      <c r="FI63" s="5">
        <v>0</v>
      </c>
      <c r="FJ63" s="164">
        <f t="shared" si="5"/>
        <v>0</v>
      </c>
      <c r="FL63" s="169">
        <v>7873</v>
      </c>
      <c r="FM63" s="170">
        <f t="shared" si="6"/>
        <v>0.68245451314546257</v>
      </c>
      <c r="FN63" s="169">
        <v>2591</v>
      </c>
      <c r="FO63" s="170">
        <f t="shared" si="7"/>
        <v>0.82634348588741824</v>
      </c>
    </row>
    <row r="64" spans="16:171" x14ac:dyDescent="0.35">
      <c r="P64" s="64">
        <v>62</v>
      </c>
      <c r="Q64" s="109">
        <v>31374</v>
      </c>
      <c r="R64" s="110">
        <v>0.378</v>
      </c>
      <c r="S64" s="111">
        <v>1696.165</v>
      </c>
      <c r="T64" s="110">
        <v>0.35299999999999998</v>
      </c>
      <c r="U64" s="111">
        <v>14940</v>
      </c>
      <c r="V64" s="110">
        <v>0.498</v>
      </c>
      <c r="W64" s="111">
        <v>7447.9075999999995</v>
      </c>
      <c r="X64" s="110">
        <v>0.5179999999999999</v>
      </c>
      <c r="Y64" s="111">
        <v>3487.2239</v>
      </c>
      <c r="Z64" s="110">
        <v>0.36099999999999999</v>
      </c>
      <c r="AA64" s="111">
        <v>13472.04</v>
      </c>
      <c r="AB64" s="110">
        <v>0.26200000000000001</v>
      </c>
      <c r="AC64" s="111">
        <v>9958.9719999999998</v>
      </c>
      <c r="AD64" s="110">
        <v>0.21499999999999997</v>
      </c>
      <c r="AF64" s="64">
        <v>62</v>
      </c>
      <c r="AG64" s="109">
        <v>889.99800000000005</v>
      </c>
      <c r="AH64" s="111">
        <v>278.3</v>
      </c>
      <c r="AI64" s="109">
        <v>60.5</v>
      </c>
      <c r="AJ64" s="59">
        <v>0.01</v>
      </c>
      <c r="AK64" s="59">
        <v>0.12100000000000001</v>
      </c>
      <c r="AL64" s="59">
        <v>0.121</v>
      </c>
      <c r="AM64" s="110">
        <v>29.07</v>
      </c>
      <c r="AN64" s="111">
        <v>151.36680000000001</v>
      </c>
      <c r="AO64" s="59">
        <v>4.4999999999999998E-2</v>
      </c>
      <c r="AP64" s="55">
        <v>1.3000000000000001E-2</v>
      </c>
      <c r="AQ64" s="109">
        <v>19088.8</v>
      </c>
      <c r="AR64" s="111">
        <v>12653.025</v>
      </c>
      <c r="AS64" s="59">
        <v>0.42799999999999999</v>
      </c>
      <c r="AT64" s="55">
        <v>0.53900000000000003</v>
      </c>
      <c r="AU64" s="43"/>
      <c r="AV64" s="109">
        <v>1051.556</v>
      </c>
      <c r="AW64" s="110">
        <v>0.42700007309169763</v>
      </c>
      <c r="AX64" s="109">
        <v>945.005</v>
      </c>
      <c r="AY64" s="110">
        <v>0.58805538270068447</v>
      </c>
      <c r="AZ64" s="109">
        <v>1121.4780000000001</v>
      </c>
      <c r="BA64" s="110">
        <v>0.5784392407674851</v>
      </c>
      <c r="BB64" s="43"/>
      <c r="BC64" s="112">
        <v>51358.995000000003</v>
      </c>
      <c r="BD64" s="110">
        <v>0.73770491803278682</v>
      </c>
      <c r="BE64" s="43"/>
      <c r="BF64" s="157">
        <v>17020.629000000001</v>
      </c>
      <c r="BG64" s="43">
        <v>0</v>
      </c>
      <c r="BH64" s="113">
        <v>0</v>
      </c>
      <c r="BI64" s="114">
        <v>0.5221051840490798</v>
      </c>
      <c r="BJ64" s="115">
        <v>0</v>
      </c>
      <c r="BK64" s="113">
        <v>0</v>
      </c>
      <c r="BL64" s="113">
        <v>0</v>
      </c>
      <c r="BM64" s="113">
        <v>0</v>
      </c>
      <c r="BN64" s="113">
        <v>6418.5349999999999</v>
      </c>
      <c r="BO64" s="114">
        <v>0.47622310431814807</v>
      </c>
      <c r="BP64" s="115">
        <v>0</v>
      </c>
      <c r="BQ64" s="43">
        <v>7668</v>
      </c>
      <c r="BR64" s="43">
        <v>0</v>
      </c>
      <c r="BS64" s="43"/>
      <c r="BT64" s="116">
        <v>-700</v>
      </c>
      <c r="BU64" s="43">
        <v>0</v>
      </c>
      <c r="BV64" s="43">
        <v>4485</v>
      </c>
      <c r="BW64" s="43">
        <v>4485</v>
      </c>
      <c r="BX64" s="43">
        <v>0</v>
      </c>
      <c r="BY64" s="43">
        <v>0</v>
      </c>
      <c r="BZ64" s="43">
        <v>-5000</v>
      </c>
      <c r="CA64" s="43">
        <v>0</v>
      </c>
      <c r="CB64" s="43">
        <v>2682.4424395999999</v>
      </c>
      <c r="CC64" s="43">
        <v>2682.4424395999999</v>
      </c>
      <c r="CD64" s="43">
        <v>-4000</v>
      </c>
      <c r="CE64" s="43">
        <v>0</v>
      </c>
      <c r="CF64" s="43">
        <v>4800</v>
      </c>
      <c r="CG64" s="43">
        <v>4800</v>
      </c>
      <c r="CH64" s="43">
        <v>8357.5496819700002</v>
      </c>
      <c r="CI64" s="43">
        <v>8357.5496819700002</v>
      </c>
      <c r="CJ64" s="114">
        <v>20324.992121570001</v>
      </c>
      <c r="CK64" s="43"/>
      <c r="CL64" s="116">
        <v>-700</v>
      </c>
      <c r="CM64" s="43">
        <v>700</v>
      </c>
      <c r="CN64" s="43">
        <v>4485</v>
      </c>
      <c r="CO64" s="43">
        <v>0</v>
      </c>
      <c r="CP64" s="43">
        <v>0</v>
      </c>
      <c r="CQ64" s="43">
        <v>0</v>
      </c>
      <c r="CR64" s="43">
        <v>-5000</v>
      </c>
      <c r="CS64" s="43">
        <v>5000</v>
      </c>
      <c r="CT64" s="43">
        <v>2682.4424395999999</v>
      </c>
      <c r="CU64" s="43">
        <v>0</v>
      </c>
      <c r="CV64" s="43">
        <v>-4000</v>
      </c>
      <c r="CW64" s="43">
        <v>4000</v>
      </c>
      <c r="CX64" s="43">
        <v>4800</v>
      </c>
      <c r="CY64" s="43">
        <v>0</v>
      </c>
      <c r="CZ64" s="43">
        <v>8357.5496819700002</v>
      </c>
      <c r="DA64" s="43">
        <v>0</v>
      </c>
      <c r="DB64" s="114">
        <v>9700</v>
      </c>
      <c r="DC64" s="43"/>
      <c r="DD64" s="117">
        <v>41198.928999999996</v>
      </c>
      <c r="DE64" s="55">
        <v>1578.932</v>
      </c>
      <c r="DF64" s="59">
        <v>2222.8491306196001</v>
      </c>
      <c r="DG64" s="59">
        <v>45000.710130619598</v>
      </c>
      <c r="DH64" s="117">
        <v>13282.134</v>
      </c>
      <c r="DI64" s="117">
        <v>59626.411</v>
      </c>
      <c r="DJ64" s="55">
        <v>5457</v>
      </c>
      <c r="DK64" s="114">
        <v>65083.411</v>
      </c>
      <c r="DL64" s="43"/>
      <c r="DM64" s="117">
        <v>745.81299999999999</v>
      </c>
      <c r="DN64" s="55">
        <v>10540.1958456256</v>
      </c>
      <c r="DO64" s="55">
        <v>11286.0088456256</v>
      </c>
      <c r="DP64" s="59">
        <v>1647.8204435116261</v>
      </c>
      <c r="DQ64" s="59">
        <v>2924.2782253404971</v>
      </c>
      <c r="DR64" s="59">
        <v>436.85739666000001</v>
      </c>
      <c r="DS64" s="55">
        <v>3361.1356220004973</v>
      </c>
      <c r="DT64" s="55">
        <v>162.4599014078054</v>
      </c>
      <c r="DU64" s="55">
        <v>162.4599014078054</v>
      </c>
      <c r="DW64" s="121">
        <v>0</v>
      </c>
      <c r="DX64" s="122">
        <v>6779.6610170000004</v>
      </c>
      <c r="DY64" s="128">
        <v>1447.7400829999999</v>
      </c>
      <c r="DZ64" s="128">
        <v>0</v>
      </c>
      <c r="EA64" s="121">
        <v>0</v>
      </c>
      <c r="EB64" s="122">
        <v>1553.672292</v>
      </c>
      <c r="EC64" s="121">
        <v>0</v>
      </c>
      <c r="ED64" s="122">
        <v>1271.1864410000001</v>
      </c>
      <c r="EE64" s="121">
        <v>0</v>
      </c>
      <c r="EF64" s="122">
        <v>847.5</v>
      </c>
      <c r="EG64" s="121">
        <v>0</v>
      </c>
      <c r="EH64" s="122">
        <v>7397.5988710000001</v>
      </c>
      <c r="EI64" s="121">
        <v>0</v>
      </c>
      <c r="EJ64" s="122">
        <v>6779.6610170000004</v>
      </c>
      <c r="EK64" s="129">
        <v>1553.672292</v>
      </c>
      <c r="EL64" s="130">
        <v>847.5</v>
      </c>
      <c r="EM64" s="131">
        <v>735.83500000000004</v>
      </c>
      <c r="EN64" s="129">
        <v>436.85739666000001</v>
      </c>
      <c r="EO64" s="129">
        <v>10964.025395000001</v>
      </c>
      <c r="EP64" s="129">
        <v>0</v>
      </c>
      <c r="ER64" s="157">
        <v>1089.58</v>
      </c>
      <c r="ES64" s="37">
        <v>1591.4646720000001</v>
      </c>
      <c r="ET64" s="55">
        <f t="shared" si="1"/>
        <v>9.319966219248535E-2</v>
      </c>
      <c r="EU64" s="157">
        <v>0</v>
      </c>
      <c r="EV64" s="37">
        <v>0</v>
      </c>
      <c r="EW64" s="55">
        <f t="shared" si="8"/>
        <v>0</v>
      </c>
      <c r="EY64" s="166">
        <v>0</v>
      </c>
      <c r="EZ64" s="37">
        <v>3156.57</v>
      </c>
      <c r="FA64" s="164">
        <f t="shared" si="2"/>
        <v>0.23203283156840868</v>
      </c>
      <c r="FB64" s="5">
        <v>4613</v>
      </c>
      <c r="FC64" s="164">
        <f t="shared" si="3"/>
        <v>1</v>
      </c>
      <c r="FE64" s="5"/>
      <c r="FF64" s="166">
        <v>0</v>
      </c>
      <c r="FG64" s="37">
        <v>10423.35</v>
      </c>
      <c r="FH64" s="164">
        <f t="shared" si="4"/>
        <v>0.78248972467766453</v>
      </c>
      <c r="FI64" s="5">
        <v>0</v>
      </c>
      <c r="FJ64" s="164">
        <f t="shared" si="5"/>
        <v>0</v>
      </c>
      <c r="FL64" s="169">
        <v>7873</v>
      </c>
      <c r="FM64" s="170">
        <f t="shared" si="6"/>
        <v>0.68245451314546257</v>
      </c>
      <c r="FN64" s="169">
        <v>2591</v>
      </c>
      <c r="FO64" s="170">
        <f t="shared" si="7"/>
        <v>0.82634348588741824</v>
      </c>
    </row>
    <row r="65" spans="16:171" x14ac:dyDescent="0.35">
      <c r="P65" s="64">
        <v>63</v>
      </c>
      <c r="Q65" s="109">
        <v>30876</v>
      </c>
      <c r="R65" s="110">
        <v>0.372</v>
      </c>
      <c r="S65" s="111">
        <v>1460.72</v>
      </c>
      <c r="T65" s="110">
        <v>0.30399999999999999</v>
      </c>
      <c r="U65" s="111">
        <v>13410</v>
      </c>
      <c r="V65" s="110">
        <v>0.44700000000000001</v>
      </c>
      <c r="W65" s="111">
        <v>7074.0744000000004</v>
      </c>
      <c r="X65" s="110">
        <v>0.49199999999999999</v>
      </c>
      <c r="Y65" s="111">
        <v>3265.0462000000002</v>
      </c>
      <c r="Z65" s="110">
        <v>0.33800000000000002</v>
      </c>
      <c r="AA65" s="111">
        <v>11363.82</v>
      </c>
      <c r="AB65" s="110">
        <v>0.221</v>
      </c>
      <c r="AC65" s="111">
        <v>8291.4231999999993</v>
      </c>
      <c r="AD65" s="110">
        <v>0.17899999999999996</v>
      </c>
      <c r="AF65" s="64">
        <v>63</v>
      </c>
      <c r="AG65" s="109">
        <v>889.99800000000005</v>
      </c>
      <c r="AH65" s="111">
        <v>280.60000000000002</v>
      </c>
      <c r="AI65" s="109">
        <v>61</v>
      </c>
      <c r="AJ65" s="59">
        <v>0.01</v>
      </c>
      <c r="AK65" s="59">
        <v>0.12200000000000001</v>
      </c>
      <c r="AL65" s="59">
        <v>0.122</v>
      </c>
      <c r="AM65" s="110">
        <v>33.591999999999999</v>
      </c>
      <c r="AN65" s="111">
        <v>139.72319999999999</v>
      </c>
      <c r="AO65" s="59">
        <v>5.1999999999999998E-2</v>
      </c>
      <c r="AP65" s="55">
        <v>1.1999999999999999E-2</v>
      </c>
      <c r="AQ65" s="109">
        <v>17037.2</v>
      </c>
      <c r="AR65" s="111">
        <v>12699.975</v>
      </c>
      <c r="AS65" s="59">
        <v>0.38200000000000001</v>
      </c>
      <c r="AT65" s="55">
        <v>0.54100000000000004</v>
      </c>
      <c r="AU65" s="43"/>
      <c r="AV65" s="109">
        <v>1046.6300000000001</v>
      </c>
      <c r="AW65" s="110">
        <v>0.42499979696750673</v>
      </c>
      <c r="AX65" s="109">
        <v>937.21799999999996</v>
      </c>
      <c r="AY65" s="110">
        <v>0.58320970752955814</v>
      </c>
      <c r="AZ65" s="109">
        <v>1121.4780000000001</v>
      </c>
      <c r="BA65" s="110">
        <v>0.5784392407674851</v>
      </c>
      <c r="BB65" s="43"/>
      <c r="BC65" s="112">
        <v>51358.995000000003</v>
      </c>
      <c r="BD65" s="110">
        <v>0.73770491803278682</v>
      </c>
      <c r="BE65" s="43"/>
      <c r="BF65" s="157">
        <v>15938.634</v>
      </c>
      <c r="BG65" s="43">
        <v>0</v>
      </c>
      <c r="BH65" s="113">
        <v>0</v>
      </c>
      <c r="BI65" s="114">
        <v>0.48891515337423314</v>
      </c>
      <c r="BJ65" s="115">
        <v>0</v>
      </c>
      <c r="BK65" s="113">
        <v>0</v>
      </c>
      <c r="BL65" s="113">
        <v>0</v>
      </c>
      <c r="BM65" s="113">
        <v>0</v>
      </c>
      <c r="BN65" s="113">
        <v>6163.6549999999997</v>
      </c>
      <c r="BO65" s="114">
        <v>0.45731228668941976</v>
      </c>
      <c r="BP65" s="115">
        <v>0</v>
      </c>
      <c r="BQ65" s="43">
        <v>7668</v>
      </c>
      <c r="BR65" s="43">
        <v>0</v>
      </c>
      <c r="BS65" s="43"/>
      <c r="BT65" s="116">
        <v>-700</v>
      </c>
      <c r="BU65" s="43">
        <v>0</v>
      </c>
      <c r="BV65" s="43">
        <v>4485</v>
      </c>
      <c r="BW65" s="43">
        <v>4485</v>
      </c>
      <c r="BX65" s="43">
        <v>0</v>
      </c>
      <c r="BY65" s="43">
        <v>0</v>
      </c>
      <c r="BZ65" s="43">
        <v>-5000</v>
      </c>
      <c r="CA65" s="43">
        <v>0</v>
      </c>
      <c r="CB65" s="43">
        <v>2216.00056288</v>
      </c>
      <c r="CC65" s="43">
        <v>2216.00056288</v>
      </c>
      <c r="CD65" s="43">
        <v>-4000</v>
      </c>
      <c r="CE65" s="43">
        <v>0</v>
      </c>
      <c r="CF65" s="43">
        <v>4800</v>
      </c>
      <c r="CG65" s="43">
        <v>4800</v>
      </c>
      <c r="CH65" s="43">
        <v>7249.7830947900002</v>
      </c>
      <c r="CI65" s="43">
        <v>7249.7830947900002</v>
      </c>
      <c r="CJ65" s="114">
        <v>18750.783657669999</v>
      </c>
      <c r="CK65" s="43"/>
      <c r="CL65" s="116">
        <v>-700</v>
      </c>
      <c r="CM65" s="43">
        <v>700</v>
      </c>
      <c r="CN65" s="43">
        <v>4485</v>
      </c>
      <c r="CO65" s="43">
        <v>0</v>
      </c>
      <c r="CP65" s="43">
        <v>0</v>
      </c>
      <c r="CQ65" s="43">
        <v>0</v>
      </c>
      <c r="CR65" s="43">
        <v>-5000</v>
      </c>
      <c r="CS65" s="43">
        <v>5000</v>
      </c>
      <c r="CT65" s="43">
        <v>2216.00056288</v>
      </c>
      <c r="CU65" s="43">
        <v>0</v>
      </c>
      <c r="CV65" s="43">
        <v>-4000</v>
      </c>
      <c r="CW65" s="43">
        <v>4000</v>
      </c>
      <c r="CX65" s="43">
        <v>4800</v>
      </c>
      <c r="CY65" s="43">
        <v>0</v>
      </c>
      <c r="CZ65" s="43">
        <v>7249.7830947900002</v>
      </c>
      <c r="DA65" s="43">
        <v>0</v>
      </c>
      <c r="DB65" s="114">
        <v>9700</v>
      </c>
      <c r="DC65" s="43"/>
      <c r="DD65" s="117">
        <v>40566.576999999997</v>
      </c>
      <c r="DE65" s="55">
        <v>1579.009</v>
      </c>
      <c r="DF65" s="59">
        <v>1662.0000771989</v>
      </c>
      <c r="DG65" s="59">
        <v>43807.586077198896</v>
      </c>
      <c r="DH65" s="117">
        <v>12964.388000000001</v>
      </c>
      <c r="DI65" s="117">
        <v>59900.411</v>
      </c>
      <c r="DJ65" s="55">
        <v>5444</v>
      </c>
      <c r="DK65" s="114">
        <v>65344.411</v>
      </c>
      <c r="DL65" s="43"/>
      <c r="DM65" s="117">
        <v>754.66</v>
      </c>
      <c r="DN65" s="55">
        <v>10555.905846475949</v>
      </c>
      <c r="DO65" s="55">
        <v>11310.565846475949</v>
      </c>
      <c r="DP65" s="59">
        <v>1622.0424233861261</v>
      </c>
      <c r="DQ65" s="59">
        <v>2932.5560997657399</v>
      </c>
      <c r="DR65" s="59">
        <v>0</v>
      </c>
      <c r="DS65" s="55">
        <v>2932.5560997657399</v>
      </c>
      <c r="DT65" s="55">
        <v>162.91978332031891</v>
      </c>
      <c r="DU65" s="55">
        <v>162.91978332031891</v>
      </c>
      <c r="DW65" s="121">
        <v>0</v>
      </c>
      <c r="DX65" s="122">
        <v>6093.3312093699997</v>
      </c>
      <c r="DY65" s="128">
        <v>1196.160083</v>
      </c>
      <c r="DZ65" s="128">
        <v>0</v>
      </c>
      <c r="EA65" s="121">
        <v>0</v>
      </c>
      <c r="EB65" s="122">
        <v>1553.672292</v>
      </c>
      <c r="EC65" s="121">
        <v>0</v>
      </c>
      <c r="ED65" s="122">
        <v>1265.0161556</v>
      </c>
      <c r="EE65" s="121">
        <v>0</v>
      </c>
      <c r="EF65" s="122">
        <v>847.5</v>
      </c>
      <c r="EG65" s="121">
        <v>0</v>
      </c>
      <c r="EH65" s="122">
        <v>7397.5988710000001</v>
      </c>
      <c r="EI65" s="121">
        <v>0</v>
      </c>
      <c r="EJ65" s="122">
        <v>6093.3312093699997</v>
      </c>
      <c r="EK65" s="129">
        <v>1553.672292</v>
      </c>
      <c r="EL65" s="130">
        <v>847.5</v>
      </c>
      <c r="EM65" s="131">
        <v>735.83500000000004</v>
      </c>
      <c r="EN65" s="129">
        <v>0</v>
      </c>
      <c r="EO65" s="129">
        <v>10706.275109599999</v>
      </c>
      <c r="EP65" s="129">
        <v>0</v>
      </c>
      <c r="ER65" s="157">
        <v>1093.7439999999999</v>
      </c>
      <c r="ES65" s="37">
        <v>1591.4646720000001</v>
      </c>
      <c r="ET65" s="55">
        <f t="shared" si="1"/>
        <v>9.3344413004518623E-2</v>
      </c>
      <c r="EU65" s="157">
        <v>0</v>
      </c>
      <c r="EV65" s="37">
        <v>0</v>
      </c>
      <c r="EW65" s="55">
        <f t="shared" si="8"/>
        <v>0</v>
      </c>
      <c r="EY65" s="166">
        <v>0</v>
      </c>
      <c r="EZ65" s="37">
        <v>3156.57</v>
      </c>
      <c r="FA65" s="164">
        <f t="shared" si="2"/>
        <v>0.23203283156840868</v>
      </c>
      <c r="FB65" s="5">
        <v>4613</v>
      </c>
      <c r="FC65" s="164">
        <f t="shared" si="3"/>
        <v>1</v>
      </c>
      <c r="FE65" s="5"/>
      <c r="FF65" s="166">
        <v>0</v>
      </c>
      <c r="FG65" s="37">
        <v>10423.35</v>
      </c>
      <c r="FH65" s="164">
        <f t="shared" si="4"/>
        <v>0.78248972467766453</v>
      </c>
      <c r="FI65" s="5">
        <v>0</v>
      </c>
      <c r="FJ65" s="164">
        <f t="shared" si="5"/>
        <v>0</v>
      </c>
      <c r="FL65" s="169">
        <v>7873</v>
      </c>
      <c r="FM65" s="170">
        <f t="shared" si="6"/>
        <v>0.68245451314546257</v>
      </c>
      <c r="FN65" s="169">
        <v>2591</v>
      </c>
      <c r="FO65" s="170">
        <f t="shared" si="7"/>
        <v>0.82634348588741824</v>
      </c>
    </row>
    <row r="66" spans="16:171" x14ac:dyDescent="0.35">
      <c r="P66" s="64">
        <v>64</v>
      </c>
      <c r="Q66" s="109">
        <v>28635</v>
      </c>
      <c r="R66" s="110">
        <v>0.34499999999999997</v>
      </c>
      <c r="S66" s="111">
        <v>1013.855</v>
      </c>
      <c r="T66" s="110">
        <v>0.21099999999999999</v>
      </c>
      <c r="U66" s="111">
        <v>10290</v>
      </c>
      <c r="V66" s="110">
        <v>0.34300000000000003</v>
      </c>
      <c r="W66" s="111">
        <v>5837.5492000000004</v>
      </c>
      <c r="X66" s="110">
        <v>0.40600000000000003</v>
      </c>
      <c r="Y66" s="111">
        <v>2588.8532</v>
      </c>
      <c r="Z66" s="110">
        <v>0.26800000000000002</v>
      </c>
      <c r="AA66" s="111">
        <v>7815.84</v>
      </c>
      <c r="AB66" s="110">
        <v>0.152</v>
      </c>
      <c r="AC66" s="111">
        <v>5512.1751999999997</v>
      </c>
      <c r="AD66" s="110">
        <v>0.11899999999999998</v>
      </c>
      <c r="AF66" s="64">
        <v>64</v>
      </c>
      <c r="AG66" s="109">
        <v>978.99779999999998</v>
      </c>
      <c r="AH66" s="111">
        <v>276</v>
      </c>
      <c r="AI66" s="109">
        <v>60</v>
      </c>
      <c r="AJ66" s="59">
        <v>1.0999999999999999E-2</v>
      </c>
      <c r="AK66" s="59">
        <v>0.12</v>
      </c>
      <c r="AL66" s="59">
        <v>0.12</v>
      </c>
      <c r="AM66" s="110">
        <v>45.866</v>
      </c>
      <c r="AN66" s="111">
        <v>197.94120000000001</v>
      </c>
      <c r="AO66" s="59">
        <v>7.0999999999999994E-2</v>
      </c>
      <c r="AP66" s="55">
        <v>1.7000000000000001E-2</v>
      </c>
      <c r="AQ66" s="109">
        <v>15074.8</v>
      </c>
      <c r="AR66" s="111">
        <v>12582.6</v>
      </c>
      <c r="AS66" s="59">
        <v>0.33799999999999997</v>
      </c>
      <c r="AT66" s="55">
        <v>0.53600000000000003</v>
      </c>
      <c r="AU66" s="43"/>
      <c r="AV66" s="109">
        <v>1058.944</v>
      </c>
      <c r="AW66" s="110">
        <v>0.43000008121299732</v>
      </c>
      <c r="AX66" s="109">
        <v>940.53800000000001</v>
      </c>
      <c r="AY66" s="110">
        <v>0.58527566894835092</v>
      </c>
      <c r="AZ66" s="109">
        <v>1121.4780000000001</v>
      </c>
      <c r="BA66" s="110">
        <v>0.5784392407674851</v>
      </c>
      <c r="BB66" s="43"/>
      <c r="BC66" s="112">
        <v>51358.995000000003</v>
      </c>
      <c r="BD66" s="110">
        <v>0.73770491803278682</v>
      </c>
      <c r="BE66" s="43"/>
      <c r="BF66" s="157">
        <v>13494.522999999999</v>
      </c>
      <c r="BG66" s="43">
        <v>0</v>
      </c>
      <c r="BH66" s="113">
        <v>0</v>
      </c>
      <c r="BI66" s="114">
        <v>0.41394242331288339</v>
      </c>
      <c r="BJ66" s="115">
        <v>0</v>
      </c>
      <c r="BK66" s="113">
        <v>0</v>
      </c>
      <c r="BL66" s="113">
        <v>0</v>
      </c>
      <c r="BM66" s="113">
        <v>0</v>
      </c>
      <c r="BN66" s="113">
        <v>5306.1279999999997</v>
      </c>
      <c r="BO66" s="114">
        <v>0.39368808428550228</v>
      </c>
      <c r="BP66" s="115">
        <v>0</v>
      </c>
      <c r="BQ66" s="43">
        <v>7668</v>
      </c>
      <c r="BR66" s="43">
        <v>651.21695723000005</v>
      </c>
      <c r="BS66" s="43"/>
      <c r="BT66" s="116">
        <v>-700</v>
      </c>
      <c r="BU66" s="43">
        <v>0</v>
      </c>
      <c r="BV66" s="43">
        <v>4485</v>
      </c>
      <c r="BW66" s="43">
        <v>4485</v>
      </c>
      <c r="BX66" s="43">
        <v>0</v>
      </c>
      <c r="BY66" s="43">
        <v>0</v>
      </c>
      <c r="BZ66" s="43">
        <v>-5000</v>
      </c>
      <c r="CA66" s="43">
        <v>0</v>
      </c>
      <c r="CB66" s="43">
        <v>1085.00171707</v>
      </c>
      <c r="CC66" s="43">
        <v>1085.00171707</v>
      </c>
      <c r="CD66" s="43">
        <v>-4000</v>
      </c>
      <c r="CE66" s="43">
        <v>0</v>
      </c>
      <c r="CF66" s="43">
        <v>4800</v>
      </c>
      <c r="CG66" s="43">
        <v>4800</v>
      </c>
      <c r="CH66" s="43">
        <v>6282.3735026799995</v>
      </c>
      <c r="CI66" s="43">
        <v>6282.3735026799995</v>
      </c>
      <c r="CJ66" s="114">
        <v>16652.37521975</v>
      </c>
      <c r="CK66" s="43"/>
      <c r="CL66" s="116">
        <v>-700</v>
      </c>
      <c r="CM66" s="43">
        <v>700</v>
      </c>
      <c r="CN66" s="43">
        <v>4485</v>
      </c>
      <c r="CO66" s="43">
        <v>0</v>
      </c>
      <c r="CP66" s="43">
        <v>0</v>
      </c>
      <c r="CQ66" s="43">
        <v>0</v>
      </c>
      <c r="CR66" s="43">
        <v>-5000</v>
      </c>
      <c r="CS66" s="43">
        <v>5000</v>
      </c>
      <c r="CT66" s="43">
        <v>1085.00171707</v>
      </c>
      <c r="CU66" s="43">
        <v>0</v>
      </c>
      <c r="CV66" s="43">
        <v>-4000</v>
      </c>
      <c r="CW66" s="43">
        <v>4000</v>
      </c>
      <c r="CX66" s="43">
        <v>4800</v>
      </c>
      <c r="CY66" s="43">
        <v>0</v>
      </c>
      <c r="CZ66" s="43">
        <v>6282.3735026799995</v>
      </c>
      <c r="DA66" s="43">
        <v>0</v>
      </c>
      <c r="DB66" s="114">
        <v>9700</v>
      </c>
      <c r="DC66" s="43"/>
      <c r="DD66" s="117">
        <v>40450.872000000003</v>
      </c>
      <c r="DE66" s="55">
        <v>1701.982</v>
      </c>
      <c r="DF66" s="59">
        <v>1403.5900764764999</v>
      </c>
      <c r="DG66" s="59">
        <v>43556.44407647651</v>
      </c>
      <c r="DH66" s="117">
        <v>12244.002</v>
      </c>
      <c r="DI66" s="117">
        <v>61758.411</v>
      </c>
      <c r="DJ66" s="55">
        <v>5948</v>
      </c>
      <c r="DK66" s="114">
        <v>67706.410999999993</v>
      </c>
      <c r="DL66" s="43"/>
      <c r="DM66" s="117">
        <v>777.29</v>
      </c>
      <c r="DN66" s="55">
        <v>10571.615847326309</v>
      </c>
      <c r="DO66" s="55">
        <v>11348.90584732631</v>
      </c>
      <c r="DP66" s="59">
        <v>1622.0424233861261</v>
      </c>
      <c r="DQ66" s="59">
        <v>2940.8339741909822</v>
      </c>
      <c r="DR66" s="59">
        <v>0</v>
      </c>
      <c r="DS66" s="55">
        <v>2940.8339741909822</v>
      </c>
      <c r="DT66" s="55">
        <v>163.37966523283239</v>
      </c>
      <c r="DU66" s="55">
        <v>163.37966523283239</v>
      </c>
      <c r="DW66" s="121">
        <v>0</v>
      </c>
      <c r="DX66" s="122">
        <v>5047.9713274599999</v>
      </c>
      <c r="DY66" s="128">
        <v>944.58008299999995</v>
      </c>
      <c r="DZ66" s="128">
        <v>0</v>
      </c>
      <c r="EA66" s="121">
        <v>0</v>
      </c>
      <c r="EB66" s="122">
        <v>1553.672292</v>
      </c>
      <c r="EC66" s="121">
        <v>0</v>
      </c>
      <c r="ED66" s="122">
        <v>462.95839926000002</v>
      </c>
      <c r="EE66" s="121">
        <v>0</v>
      </c>
      <c r="EF66" s="122">
        <v>847.5</v>
      </c>
      <c r="EG66" s="121">
        <v>0</v>
      </c>
      <c r="EH66" s="122">
        <v>7397.5988710000001</v>
      </c>
      <c r="EI66" s="121">
        <v>0</v>
      </c>
      <c r="EJ66" s="122">
        <v>5047.9713274599999</v>
      </c>
      <c r="EK66" s="129">
        <v>1553.672292</v>
      </c>
      <c r="EL66" s="130">
        <v>847.5</v>
      </c>
      <c r="EM66" s="131">
        <v>735.83500000000004</v>
      </c>
      <c r="EN66" s="129">
        <v>0</v>
      </c>
      <c r="EO66" s="129">
        <v>9652.637353260001</v>
      </c>
      <c r="EP66" s="129">
        <v>0</v>
      </c>
      <c r="ER66" s="157">
        <v>1097.9079999999999</v>
      </c>
      <c r="ES66" s="37">
        <v>1591.4646720000001</v>
      </c>
      <c r="ET66" s="55">
        <f t="shared" si="1"/>
        <v>9.348916381655191E-2</v>
      </c>
      <c r="EU66" s="157">
        <v>0</v>
      </c>
      <c r="EV66" s="37">
        <v>0</v>
      </c>
      <c r="EW66" s="55">
        <f t="shared" si="8"/>
        <v>0</v>
      </c>
      <c r="EY66" s="166">
        <v>0</v>
      </c>
      <c r="EZ66" s="37">
        <v>3156.57</v>
      </c>
      <c r="FA66" s="164">
        <f t="shared" si="2"/>
        <v>0.23203283156840868</v>
      </c>
      <c r="FB66" s="5">
        <v>4613</v>
      </c>
      <c r="FC66" s="164">
        <f t="shared" si="3"/>
        <v>1</v>
      </c>
      <c r="FE66" s="5"/>
      <c r="FF66" s="166">
        <v>0</v>
      </c>
      <c r="FG66" s="37">
        <v>10351.18835441</v>
      </c>
      <c r="FH66" s="164">
        <f t="shared" si="4"/>
        <v>0.7770724887420003</v>
      </c>
      <c r="FI66" s="5">
        <v>0</v>
      </c>
      <c r="FJ66" s="164">
        <f t="shared" si="5"/>
        <v>0</v>
      </c>
      <c r="FL66" s="169">
        <v>7873</v>
      </c>
      <c r="FM66" s="170">
        <f t="shared" si="6"/>
        <v>0.68245451314546257</v>
      </c>
      <c r="FN66" s="169">
        <v>2591</v>
      </c>
      <c r="FO66" s="170">
        <f t="shared" si="7"/>
        <v>0.82634348588741824</v>
      </c>
    </row>
    <row r="67" spans="16:171" x14ac:dyDescent="0.35">
      <c r="P67" s="64">
        <v>65</v>
      </c>
      <c r="Q67" s="109">
        <v>20003</v>
      </c>
      <c r="R67" s="110">
        <v>0.24099999999999999</v>
      </c>
      <c r="S67" s="111">
        <v>480.5</v>
      </c>
      <c r="T67" s="110">
        <v>0.1</v>
      </c>
      <c r="U67" s="111">
        <v>6000</v>
      </c>
      <c r="V67" s="110">
        <v>0.2</v>
      </c>
      <c r="W67" s="111">
        <v>4011.5178000000001</v>
      </c>
      <c r="X67" s="110">
        <v>0.27899999999999997</v>
      </c>
      <c r="Y67" s="111">
        <v>1593.8834999999999</v>
      </c>
      <c r="Z67" s="110">
        <v>0.16500000000000001</v>
      </c>
      <c r="AA67" s="111">
        <v>3393.72</v>
      </c>
      <c r="AB67" s="110">
        <v>6.5999999999999989E-2</v>
      </c>
      <c r="AC67" s="111">
        <v>2223.3984</v>
      </c>
      <c r="AD67" s="110">
        <v>4.8000000000000001E-2</v>
      </c>
      <c r="AF67" s="64">
        <v>65</v>
      </c>
      <c r="AG67" s="109">
        <v>889.99800000000005</v>
      </c>
      <c r="AH67" s="111">
        <v>278.3</v>
      </c>
      <c r="AI67" s="109">
        <v>60.5</v>
      </c>
      <c r="AJ67" s="59">
        <v>0.01</v>
      </c>
      <c r="AK67" s="59">
        <v>0.12100000000000001</v>
      </c>
      <c r="AL67" s="59">
        <v>0.121</v>
      </c>
      <c r="AM67" s="110">
        <v>58.14</v>
      </c>
      <c r="AN67" s="111">
        <v>279.44639999999998</v>
      </c>
      <c r="AO67" s="59">
        <v>0.09</v>
      </c>
      <c r="AP67" s="55">
        <v>2.3999999999999997E-2</v>
      </c>
      <c r="AQ67" s="109">
        <v>13424.6</v>
      </c>
      <c r="AR67" s="111">
        <v>12277.424999999999</v>
      </c>
      <c r="AS67" s="59">
        <v>0.30099999999999999</v>
      </c>
      <c r="AT67" s="55">
        <v>0.52300000000000002</v>
      </c>
      <c r="AU67" s="43"/>
      <c r="AV67" s="109">
        <v>1071.2570000000001</v>
      </c>
      <c r="AW67" s="110">
        <v>0.43499995939350139</v>
      </c>
      <c r="AX67" s="109">
        <v>955.12699999999995</v>
      </c>
      <c r="AY67" s="110">
        <v>0.59435407591785938</v>
      </c>
      <c r="AZ67" s="109">
        <v>1121.4780000000001</v>
      </c>
      <c r="BA67" s="110">
        <v>0.5784392407674851</v>
      </c>
      <c r="BB67" s="43"/>
      <c r="BC67" s="112">
        <v>51358.995000000003</v>
      </c>
      <c r="BD67" s="110">
        <v>0.73770491803278682</v>
      </c>
      <c r="BE67" s="43"/>
      <c r="BF67" s="157">
        <v>8757.2540000000008</v>
      </c>
      <c r="BG67" s="43">
        <v>0</v>
      </c>
      <c r="BH67" s="113">
        <v>0</v>
      </c>
      <c r="BI67" s="114">
        <v>0.26862742331288347</v>
      </c>
      <c r="BJ67" s="115">
        <v>0</v>
      </c>
      <c r="BK67" s="113">
        <v>0</v>
      </c>
      <c r="BL67" s="113">
        <v>0</v>
      </c>
      <c r="BM67" s="113">
        <v>0</v>
      </c>
      <c r="BN67" s="113">
        <v>3990.8629999999998</v>
      </c>
      <c r="BO67" s="114">
        <v>0.29610201810357617</v>
      </c>
      <c r="BP67" s="115">
        <v>0</v>
      </c>
      <c r="BQ67" s="43">
        <v>7668</v>
      </c>
      <c r="BR67" s="43">
        <v>651.21695723000005</v>
      </c>
      <c r="BS67" s="43"/>
      <c r="BT67" s="116">
        <v>-700</v>
      </c>
      <c r="BU67" s="43">
        <v>0</v>
      </c>
      <c r="BV67" s="43">
        <v>4485</v>
      </c>
      <c r="BW67" s="43">
        <v>4485</v>
      </c>
      <c r="BX67" s="43">
        <v>0</v>
      </c>
      <c r="BY67" s="43">
        <v>0</v>
      </c>
      <c r="BZ67" s="43">
        <v>-5000</v>
      </c>
      <c r="CA67" s="43">
        <v>0</v>
      </c>
      <c r="CB67" s="43">
        <v>296.32136652000003</v>
      </c>
      <c r="CC67" s="43">
        <v>296.32136652000003</v>
      </c>
      <c r="CD67" s="43">
        <v>-4000</v>
      </c>
      <c r="CE67" s="43">
        <v>0</v>
      </c>
      <c r="CF67" s="43">
        <v>4800</v>
      </c>
      <c r="CG67" s="43">
        <v>4800</v>
      </c>
      <c r="CH67" s="43">
        <v>6718.8256398200001</v>
      </c>
      <c r="CI67" s="43">
        <v>6718.8256398200001</v>
      </c>
      <c r="CJ67" s="114">
        <v>16300.147006340001</v>
      </c>
      <c r="CK67" s="43"/>
      <c r="CL67" s="116">
        <v>-700</v>
      </c>
      <c r="CM67" s="43">
        <v>700</v>
      </c>
      <c r="CN67" s="43">
        <v>4485</v>
      </c>
      <c r="CO67" s="43">
        <v>0</v>
      </c>
      <c r="CP67" s="43">
        <v>0</v>
      </c>
      <c r="CQ67" s="43">
        <v>0</v>
      </c>
      <c r="CR67" s="43">
        <v>-5000</v>
      </c>
      <c r="CS67" s="43">
        <v>5000</v>
      </c>
      <c r="CT67" s="43">
        <v>296.32136652000003</v>
      </c>
      <c r="CU67" s="43">
        <v>0</v>
      </c>
      <c r="CV67" s="43">
        <v>-4000</v>
      </c>
      <c r="CW67" s="43">
        <v>4000</v>
      </c>
      <c r="CX67" s="43">
        <v>4800</v>
      </c>
      <c r="CY67" s="43">
        <v>0</v>
      </c>
      <c r="CZ67" s="43">
        <v>6718.8256398200001</v>
      </c>
      <c r="DA67" s="43">
        <v>0</v>
      </c>
      <c r="DB67" s="114">
        <v>9700</v>
      </c>
      <c r="DC67" s="43"/>
      <c r="DD67" s="117">
        <v>40796.947999999997</v>
      </c>
      <c r="DE67" s="55">
        <v>2043.7380000000001</v>
      </c>
      <c r="DF67" s="59">
        <v>1402.2078902389001</v>
      </c>
      <c r="DG67" s="59">
        <v>44242.893890238891</v>
      </c>
      <c r="DH67" s="117">
        <v>11416.52</v>
      </c>
      <c r="DI67" s="117">
        <v>65278.411</v>
      </c>
      <c r="DJ67" s="55">
        <v>6006</v>
      </c>
      <c r="DK67" s="114">
        <v>71284.410999999993</v>
      </c>
      <c r="DL67" s="43"/>
      <c r="DM67" s="117">
        <v>803.51800000000003</v>
      </c>
      <c r="DN67" s="55">
        <v>10571.615847326309</v>
      </c>
      <c r="DO67" s="55">
        <v>11375.133847326309</v>
      </c>
      <c r="DP67" s="59">
        <v>1622.0424233861261</v>
      </c>
      <c r="DQ67" s="59">
        <v>2940.8339741909822</v>
      </c>
      <c r="DR67" s="59">
        <v>0</v>
      </c>
      <c r="DS67" s="55">
        <v>2940.8339741909822</v>
      </c>
      <c r="DT67" s="55">
        <v>163.37966523283239</v>
      </c>
      <c r="DU67" s="55">
        <v>163.37966523283239</v>
      </c>
      <c r="DW67" s="121">
        <v>0</v>
      </c>
      <c r="DX67" s="122">
        <v>4003.0713274599998</v>
      </c>
      <c r="DY67" s="128">
        <v>819.53302766000002</v>
      </c>
      <c r="DZ67" s="128">
        <v>0</v>
      </c>
      <c r="EA67" s="121">
        <v>0</v>
      </c>
      <c r="EB67" s="122">
        <v>1553.672292</v>
      </c>
      <c r="EC67" s="121">
        <v>0</v>
      </c>
      <c r="ED67" s="122">
        <v>112.03494259</v>
      </c>
      <c r="EE67" s="121">
        <v>0</v>
      </c>
      <c r="EF67" s="122">
        <v>847.5</v>
      </c>
      <c r="EG67" s="121">
        <v>0</v>
      </c>
      <c r="EH67" s="122">
        <v>6828.6693830100003</v>
      </c>
      <c r="EI67" s="121">
        <v>0</v>
      </c>
      <c r="EJ67" s="122">
        <v>4003.0713274599998</v>
      </c>
      <c r="EK67" s="129">
        <v>1553.672292</v>
      </c>
      <c r="EL67" s="130">
        <v>847.5</v>
      </c>
      <c r="EM67" s="131">
        <v>735.83500000000004</v>
      </c>
      <c r="EN67" s="129">
        <v>0</v>
      </c>
      <c r="EO67" s="129">
        <v>8607.7373532599995</v>
      </c>
      <c r="EP67" s="129">
        <v>0</v>
      </c>
      <c r="ER67" s="157">
        <v>1106.5830000000001</v>
      </c>
      <c r="ES67" s="37">
        <v>1591.4646720000001</v>
      </c>
      <c r="ET67" s="55">
        <f t="shared" si="1"/>
        <v>9.379072800828793E-2</v>
      </c>
      <c r="EU67" s="157">
        <v>0</v>
      </c>
      <c r="EV67" s="37">
        <v>0</v>
      </c>
      <c r="EW67" s="55">
        <f t="shared" ref="EW67:EW98" si="9">(EU67+EV67)/($J$2+$J$3)</f>
        <v>0</v>
      </c>
      <c r="EY67" s="166">
        <v>0</v>
      </c>
      <c r="EZ67" s="37">
        <v>3156.57</v>
      </c>
      <c r="FA67" s="164">
        <f t="shared" si="2"/>
        <v>0.23203283156840868</v>
      </c>
      <c r="FB67" s="5">
        <v>4613</v>
      </c>
      <c r="FC67" s="164">
        <f t="shared" si="3"/>
        <v>1</v>
      </c>
      <c r="FE67" s="5"/>
      <c r="FF67" s="166">
        <v>0</v>
      </c>
      <c r="FG67" s="37">
        <v>374.42458929999998</v>
      </c>
      <c r="FH67" s="164">
        <f t="shared" si="4"/>
        <v>2.8108371473077716E-2</v>
      </c>
      <c r="FI67" s="5">
        <v>0</v>
      </c>
      <c r="FJ67" s="164">
        <f t="shared" si="5"/>
        <v>0</v>
      </c>
      <c r="FL67" s="169">
        <v>7873</v>
      </c>
      <c r="FM67" s="170">
        <f t="shared" si="6"/>
        <v>0.68245451314546257</v>
      </c>
      <c r="FN67" s="169">
        <v>2591</v>
      </c>
      <c r="FO67" s="170">
        <f t="shared" si="7"/>
        <v>0.82634348588741824</v>
      </c>
    </row>
    <row r="68" spans="16:171" x14ac:dyDescent="0.35">
      <c r="P68" s="64">
        <v>66</v>
      </c>
      <c r="Q68" s="109">
        <v>4565</v>
      </c>
      <c r="R68" s="110">
        <v>5.5E-2</v>
      </c>
      <c r="S68" s="111">
        <v>0</v>
      </c>
      <c r="T68" s="110">
        <v>0</v>
      </c>
      <c r="U68" s="111">
        <v>1560</v>
      </c>
      <c r="V68" s="110">
        <v>5.1999999999999998E-2</v>
      </c>
      <c r="W68" s="111">
        <v>1768.5186000000001</v>
      </c>
      <c r="X68" s="110">
        <v>0.123</v>
      </c>
      <c r="Y68" s="111">
        <v>579.59400000000005</v>
      </c>
      <c r="Z68" s="110">
        <v>6.0000000000000005E-2</v>
      </c>
      <c r="AA68" s="111">
        <v>0</v>
      </c>
      <c r="AB68" s="110">
        <v>0</v>
      </c>
      <c r="AC68" s="111">
        <v>0</v>
      </c>
      <c r="AD68" s="110">
        <v>0</v>
      </c>
      <c r="AF68" s="64">
        <v>66</v>
      </c>
      <c r="AG68" s="109">
        <v>1601.9964</v>
      </c>
      <c r="AH68" s="111">
        <v>282.89999999999998</v>
      </c>
      <c r="AI68" s="109">
        <v>61.5</v>
      </c>
      <c r="AJ68" s="59">
        <v>1.7999999999999999E-2</v>
      </c>
      <c r="AK68" s="59">
        <v>0.12299999999999998</v>
      </c>
      <c r="AL68" s="59">
        <v>0.123</v>
      </c>
      <c r="AM68" s="110">
        <v>69.122</v>
      </c>
      <c r="AN68" s="111">
        <v>454.10039999999998</v>
      </c>
      <c r="AO68" s="59">
        <v>0.107</v>
      </c>
      <c r="AP68" s="55">
        <v>3.9E-2</v>
      </c>
      <c r="AQ68" s="109">
        <v>11908.2</v>
      </c>
      <c r="AR68" s="111">
        <v>11972.25</v>
      </c>
      <c r="AS68" s="59">
        <v>0.26700000000000002</v>
      </c>
      <c r="AT68" s="55">
        <v>0.51</v>
      </c>
      <c r="AU68" s="43"/>
      <c r="AV68" s="109">
        <v>1083.57</v>
      </c>
      <c r="AW68" s="110">
        <v>0.43999983757400535</v>
      </c>
      <c r="AX68" s="109">
        <v>963.37900000000002</v>
      </c>
      <c r="AY68" s="110">
        <v>0.59948911014312389</v>
      </c>
      <c r="AZ68" s="109">
        <v>1121.4780000000001</v>
      </c>
      <c r="BA68" s="110">
        <v>0.5784392407674851</v>
      </c>
      <c r="BB68" s="43"/>
      <c r="BC68" s="112">
        <v>51358.995000000003</v>
      </c>
      <c r="BD68" s="110">
        <v>0.73770491803278682</v>
      </c>
      <c r="BE68" s="43"/>
      <c r="BF68" s="157">
        <v>2695.768</v>
      </c>
      <c r="BG68" s="43">
        <v>0</v>
      </c>
      <c r="BH68" s="113">
        <v>0</v>
      </c>
      <c r="BI68" s="114">
        <v>8.2692269938650309E-2</v>
      </c>
      <c r="BJ68" s="115">
        <v>0</v>
      </c>
      <c r="BK68" s="113">
        <v>0</v>
      </c>
      <c r="BL68" s="113">
        <v>0</v>
      </c>
      <c r="BM68" s="113">
        <v>0</v>
      </c>
      <c r="BN68" s="113">
        <v>2507.9609999999998</v>
      </c>
      <c r="BO68" s="114">
        <v>0.18607812731859324</v>
      </c>
      <c r="BP68" s="115">
        <v>0</v>
      </c>
      <c r="BQ68" s="43">
        <v>7668</v>
      </c>
      <c r="BR68" s="43">
        <v>651.21695723000005</v>
      </c>
      <c r="BS68" s="43"/>
      <c r="BT68" s="116">
        <v>-700</v>
      </c>
      <c r="BU68" s="43">
        <v>0</v>
      </c>
      <c r="BV68" s="43">
        <v>4485</v>
      </c>
      <c r="BW68" s="43">
        <v>4485</v>
      </c>
      <c r="BX68" s="43">
        <v>0</v>
      </c>
      <c r="BY68" s="43">
        <v>0</v>
      </c>
      <c r="BZ68" s="43">
        <v>-5000</v>
      </c>
      <c r="CA68" s="43">
        <v>0</v>
      </c>
      <c r="CB68" s="43">
        <v>3800</v>
      </c>
      <c r="CC68" s="43">
        <v>3800</v>
      </c>
      <c r="CD68" s="43">
        <v>-4000</v>
      </c>
      <c r="CE68" s="43">
        <v>0</v>
      </c>
      <c r="CF68" s="43">
        <v>4800</v>
      </c>
      <c r="CG68" s="43">
        <v>4800</v>
      </c>
      <c r="CH68" s="43">
        <v>6471.9486094699996</v>
      </c>
      <c r="CI68" s="43">
        <v>6471.9486094699996</v>
      </c>
      <c r="CJ68" s="114">
        <v>19556.948609470001</v>
      </c>
      <c r="CK68" s="43"/>
      <c r="CL68" s="116">
        <v>-700</v>
      </c>
      <c r="CM68" s="43">
        <v>700</v>
      </c>
      <c r="CN68" s="43">
        <v>4485</v>
      </c>
      <c r="CO68" s="43">
        <v>0</v>
      </c>
      <c r="CP68" s="43">
        <v>0</v>
      </c>
      <c r="CQ68" s="43">
        <v>0</v>
      </c>
      <c r="CR68" s="43">
        <v>-5000</v>
      </c>
      <c r="CS68" s="43">
        <v>5000</v>
      </c>
      <c r="CT68" s="43">
        <v>3800</v>
      </c>
      <c r="CU68" s="43">
        <v>0</v>
      </c>
      <c r="CV68" s="43">
        <v>-4000</v>
      </c>
      <c r="CW68" s="43">
        <v>4000</v>
      </c>
      <c r="CX68" s="43">
        <v>4800</v>
      </c>
      <c r="CY68" s="43">
        <v>0</v>
      </c>
      <c r="CZ68" s="43">
        <v>6471.9486094699996</v>
      </c>
      <c r="DA68" s="43">
        <v>0</v>
      </c>
      <c r="DB68" s="114">
        <v>9700</v>
      </c>
      <c r="DC68" s="43"/>
      <c r="DD68" s="117">
        <v>42707.71</v>
      </c>
      <c r="DE68" s="55">
        <v>2261.3470000000002</v>
      </c>
      <c r="DF68" s="59">
        <v>1473.643678124</v>
      </c>
      <c r="DG68" s="59">
        <v>46442.700678123998</v>
      </c>
      <c r="DH68" s="117">
        <v>10732.584999999999</v>
      </c>
      <c r="DI68" s="117">
        <v>70038.410999999993</v>
      </c>
      <c r="DJ68" s="55">
        <v>6350</v>
      </c>
      <c r="DK68" s="114">
        <v>76388.410999999993</v>
      </c>
      <c r="DL68" s="43"/>
      <c r="DM68" s="117">
        <v>819.53200000000004</v>
      </c>
      <c r="DN68" s="55">
        <v>10571.615847326309</v>
      </c>
      <c r="DO68" s="55">
        <v>11391.147847326309</v>
      </c>
      <c r="DP68" s="59">
        <v>1622.0424233861261</v>
      </c>
      <c r="DQ68" s="59">
        <v>2940.8339741909822</v>
      </c>
      <c r="DR68" s="59">
        <v>0</v>
      </c>
      <c r="DS68" s="55">
        <v>2940.8339741909822</v>
      </c>
      <c r="DT68" s="55">
        <v>163.37966523283239</v>
      </c>
      <c r="DU68" s="55">
        <v>163.37966523283239</v>
      </c>
      <c r="DW68" s="121">
        <v>0</v>
      </c>
      <c r="DX68" s="122">
        <v>2958.1713274600002</v>
      </c>
      <c r="DY68" s="128">
        <v>567.95302765999998</v>
      </c>
      <c r="DZ68" s="128">
        <v>0</v>
      </c>
      <c r="EA68" s="121">
        <v>0</v>
      </c>
      <c r="EB68" s="122">
        <v>1553.672292</v>
      </c>
      <c r="EC68" s="121">
        <v>0</v>
      </c>
      <c r="ED68" s="122">
        <v>206.41494259000001</v>
      </c>
      <c r="EE68" s="121">
        <v>0</v>
      </c>
      <c r="EF68" s="122">
        <v>847.5</v>
      </c>
      <c r="EG68" s="121">
        <v>0</v>
      </c>
      <c r="EH68" s="122">
        <v>5940.9693830099995</v>
      </c>
      <c r="EI68" s="121">
        <v>0</v>
      </c>
      <c r="EJ68" s="122">
        <v>2958.1713274600002</v>
      </c>
      <c r="EK68" s="129">
        <v>1553.672292</v>
      </c>
      <c r="EL68" s="130">
        <v>847.5</v>
      </c>
      <c r="EM68" s="131">
        <v>735.83500000000004</v>
      </c>
      <c r="EN68" s="129">
        <v>0</v>
      </c>
      <c r="EO68" s="129">
        <v>7562.8373532599999</v>
      </c>
      <c r="EP68" s="129">
        <v>0</v>
      </c>
      <c r="ER68" s="157">
        <v>1152.7339999999999</v>
      </c>
      <c r="ES68" s="37">
        <v>6195.8310494400002</v>
      </c>
      <c r="ET68" s="55">
        <f t="shared" ref="ET68:ET131" si="10">(ES68+ER68)/($E$2+$E$3)</f>
        <v>0.25545407257104902</v>
      </c>
      <c r="EU68" s="157">
        <v>1357</v>
      </c>
      <c r="EV68" s="37">
        <v>173.976</v>
      </c>
      <c r="EW68" s="55">
        <f t="shared" si="9"/>
        <v>0.83843338101507348</v>
      </c>
      <c r="EY68" s="166">
        <v>10447.41</v>
      </c>
      <c r="EZ68" s="37">
        <v>3156.57</v>
      </c>
      <c r="FA68" s="164">
        <f t="shared" ref="FA68:FA131" si="11">(EY68+EZ68)/($E$12+$E$14)</f>
        <v>1</v>
      </c>
      <c r="FB68" s="5">
        <v>4613</v>
      </c>
      <c r="FC68" s="164">
        <f t="shared" ref="FC68:FC131" si="12">FB68/$J$10</f>
        <v>1</v>
      </c>
      <c r="FE68" s="5"/>
      <c r="FF68" s="166">
        <v>0</v>
      </c>
      <c r="FG68" s="37">
        <v>0</v>
      </c>
      <c r="FH68" s="164">
        <f t="shared" ref="FH68:FH131" si="13">(FF68+FG68)/($E$13+$E$15)</f>
        <v>0</v>
      </c>
      <c r="FI68" s="5">
        <v>0</v>
      </c>
      <c r="FJ68" s="164">
        <f t="shared" ref="FJ68:FJ131" si="14">FI68/$J$11</f>
        <v>0</v>
      </c>
      <c r="FL68" s="169">
        <v>7873</v>
      </c>
      <c r="FM68" s="170">
        <f t="shared" ref="FM68:FM131" si="15">FL68/$E$11</f>
        <v>0.68245451314546257</v>
      </c>
      <c r="FN68" s="169">
        <v>2591</v>
      </c>
      <c r="FO68" s="170">
        <f t="shared" ref="FO68:FO131" si="16">FN68/$J$9</f>
        <v>0.82634348588741824</v>
      </c>
    </row>
    <row r="69" spans="16:171" x14ac:dyDescent="0.35">
      <c r="P69" s="64">
        <v>67</v>
      </c>
      <c r="Q69" s="109">
        <v>0</v>
      </c>
      <c r="R69" s="110">
        <v>0</v>
      </c>
      <c r="S69" s="111">
        <v>0</v>
      </c>
      <c r="T69" s="110">
        <v>0</v>
      </c>
      <c r="U69" s="111">
        <v>0</v>
      </c>
      <c r="V69" s="110">
        <v>0</v>
      </c>
      <c r="W69" s="111">
        <v>0</v>
      </c>
      <c r="X69" s="110">
        <v>0</v>
      </c>
      <c r="Y69" s="111">
        <v>0</v>
      </c>
      <c r="Z69" s="110">
        <v>0</v>
      </c>
      <c r="AA69" s="111">
        <v>0</v>
      </c>
      <c r="AB69" s="110">
        <v>0</v>
      </c>
      <c r="AC69" s="111">
        <v>0</v>
      </c>
      <c r="AD69" s="110">
        <v>0</v>
      </c>
      <c r="AF69" s="64">
        <v>67</v>
      </c>
      <c r="AG69" s="109">
        <v>2847.9935999999998</v>
      </c>
      <c r="AH69" s="111">
        <v>292.10000000000002</v>
      </c>
      <c r="AI69" s="109">
        <v>63.5</v>
      </c>
      <c r="AJ69" s="59">
        <v>3.1999999999999994E-2</v>
      </c>
      <c r="AK69" s="59">
        <v>0.127</v>
      </c>
      <c r="AL69" s="59">
        <v>0.127</v>
      </c>
      <c r="AM69" s="110">
        <v>79.457999999999998</v>
      </c>
      <c r="AN69" s="111">
        <v>803.40840000000003</v>
      </c>
      <c r="AO69" s="59">
        <v>0.123</v>
      </c>
      <c r="AP69" s="55">
        <v>6.9000000000000006E-2</v>
      </c>
      <c r="AQ69" s="109">
        <v>10659.4</v>
      </c>
      <c r="AR69" s="111">
        <v>11784.45</v>
      </c>
      <c r="AS69" s="59">
        <v>0.23899999999999999</v>
      </c>
      <c r="AT69" s="55">
        <v>0.502</v>
      </c>
      <c r="AU69" s="43"/>
      <c r="AV69" s="109">
        <v>1150.0619999999999</v>
      </c>
      <c r="AW69" s="110">
        <v>0.4669999106657029</v>
      </c>
      <c r="AX69" s="109">
        <v>971.005</v>
      </c>
      <c r="AY69" s="110">
        <v>0.60423459863098938</v>
      </c>
      <c r="AZ69" s="109">
        <v>1121.4780000000001</v>
      </c>
      <c r="BA69" s="110">
        <v>0.5784392407674851</v>
      </c>
      <c r="BB69" s="43"/>
      <c r="BC69" s="112">
        <v>51358.995000000003</v>
      </c>
      <c r="BD69" s="110">
        <v>0.73770491803278682</v>
      </c>
      <c r="BE69" s="43"/>
      <c r="BF69" s="157">
        <v>1229.972</v>
      </c>
      <c r="BG69" s="43">
        <v>0</v>
      </c>
      <c r="BH69" s="113">
        <v>0</v>
      </c>
      <c r="BI69" s="114">
        <v>3.7729202453987733E-2</v>
      </c>
      <c r="BJ69" s="115">
        <v>0</v>
      </c>
      <c r="BK69" s="113">
        <v>0</v>
      </c>
      <c r="BL69" s="113">
        <v>0</v>
      </c>
      <c r="BM69" s="113">
        <v>0</v>
      </c>
      <c r="BN69" s="113">
        <v>1544.55</v>
      </c>
      <c r="BO69" s="114">
        <v>0.11459786318444873</v>
      </c>
      <c r="BP69" s="115">
        <v>0</v>
      </c>
      <c r="BQ69" s="43">
        <v>7525.3788426200008</v>
      </c>
      <c r="BR69" s="43">
        <v>0</v>
      </c>
      <c r="BS69" s="43"/>
      <c r="BT69" s="116">
        <v>-700</v>
      </c>
      <c r="BU69" s="43">
        <v>0</v>
      </c>
      <c r="BV69" s="43">
        <v>4485</v>
      </c>
      <c r="BW69" s="43">
        <v>4485</v>
      </c>
      <c r="BX69" s="43">
        <v>0</v>
      </c>
      <c r="BY69" s="43">
        <v>0</v>
      </c>
      <c r="BZ69" s="43">
        <v>-5000</v>
      </c>
      <c r="CA69" s="43">
        <v>0</v>
      </c>
      <c r="CB69" s="43">
        <v>3800</v>
      </c>
      <c r="CC69" s="43">
        <v>3800</v>
      </c>
      <c r="CD69" s="43">
        <v>-4000</v>
      </c>
      <c r="CE69" s="43">
        <v>0</v>
      </c>
      <c r="CF69" s="43">
        <v>4800</v>
      </c>
      <c r="CG69" s="43">
        <v>4800</v>
      </c>
      <c r="CH69" s="43">
        <v>4860.1496099799997</v>
      </c>
      <c r="CI69" s="43">
        <v>4860.1496099799997</v>
      </c>
      <c r="CJ69" s="114">
        <v>17945.149609979999</v>
      </c>
      <c r="CK69" s="43"/>
      <c r="CL69" s="116">
        <v>-700</v>
      </c>
      <c r="CM69" s="43">
        <v>700</v>
      </c>
      <c r="CN69" s="43">
        <v>4485</v>
      </c>
      <c r="CO69" s="43">
        <v>0</v>
      </c>
      <c r="CP69" s="43">
        <v>0</v>
      </c>
      <c r="CQ69" s="43">
        <v>0</v>
      </c>
      <c r="CR69" s="43">
        <v>-5000</v>
      </c>
      <c r="CS69" s="43">
        <v>5000</v>
      </c>
      <c r="CT69" s="43">
        <v>3800</v>
      </c>
      <c r="CU69" s="43">
        <v>0</v>
      </c>
      <c r="CV69" s="43">
        <v>-4000</v>
      </c>
      <c r="CW69" s="43">
        <v>4000</v>
      </c>
      <c r="CX69" s="43">
        <v>4800</v>
      </c>
      <c r="CY69" s="43">
        <v>0</v>
      </c>
      <c r="CZ69" s="43">
        <v>4860.1496099799997</v>
      </c>
      <c r="DA69" s="43">
        <v>0</v>
      </c>
      <c r="DB69" s="114">
        <v>9700</v>
      </c>
      <c r="DC69" s="43"/>
      <c r="DD69" s="117">
        <v>43829.343999999997</v>
      </c>
      <c r="DE69" s="55">
        <v>2318.3209999999999</v>
      </c>
      <c r="DF69" s="59">
        <v>1590.4000349846001</v>
      </c>
      <c r="DG69" s="59">
        <v>47738.065034984596</v>
      </c>
      <c r="DH69" s="117">
        <v>10391.522000000001</v>
      </c>
      <c r="DI69" s="117">
        <v>73190.410999999993</v>
      </c>
      <c r="DJ69" s="55">
        <v>6073</v>
      </c>
      <c r="DK69" s="114">
        <v>79263.410999999993</v>
      </c>
      <c r="DL69" s="43"/>
      <c r="DM69" s="117">
        <v>794.15200000000004</v>
      </c>
      <c r="DN69" s="55">
        <v>10555.905846475949</v>
      </c>
      <c r="DO69" s="55">
        <v>11350.057846475949</v>
      </c>
      <c r="DP69" s="59">
        <v>1622.0424233861261</v>
      </c>
      <c r="DQ69" s="59">
        <v>2932.5560997657399</v>
      </c>
      <c r="DR69" s="59">
        <v>0</v>
      </c>
      <c r="DS69" s="55">
        <v>2932.5560997657399</v>
      </c>
      <c r="DT69" s="55">
        <v>162.91978332031891</v>
      </c>
      <c r="DU69" s="55">
        <v>162.91978332031891</v>
      </c>
      <c r="DW69" s="121">
        <v>0</v>
      </c>
      <c r="DX69" s="122">
        <v>1262.97413405</v>
      </c>
      <c r="DY69" s="128">
        <v>316.37302765999999</v>
      </c>
      <c r="DZ69" s="128">
        <v>0</v>
      </c>
      <c r="EA69" s="121">
        <v>0</v>
      </c>
      <c r="EB69" s="122">
        <v>902.91521667999996</v>
      </c>
      <c r="EC69" s="121">
        <v>483.84553376999997</v>
      </c>
      <c r="ED69" s="122">
        <v>0</v>
      </c>
      <c r="EE69" s="121">
        <v>0</v>
      </c>
      <c r="EF69" s="122">
        <v>847.5</v>
      </c>
      <c r="EG69" s="121">
        <v>0</v>
      </c>
      <c r="EH69" s="122">
        <v>5053.2693830099997</v>
      </c>
      <c r="EI69" s="121">
        <v>0</v>
      </c>
      <c r="EJ69" s="122">
        <v>1262.97413405</v>
      </c>
      <c r="EK69" s="129">
        <v>902.91521667999996</v>
      </c>
      <c r="EL69" s="130">
        <v>847.5</v>
      </c>
      <c r="EM69" s="131">
        <v>735.83500000000004</v>
      </c>
      <c r="EN69" s="129">
        <v>0</v>
      </c>
      <c r="EO69" s="129">
        <v>6217.1424106699997</v>
      </c>
      <c r="EP69" s="129">
        <v>483.84553376999997</v>
      </c>
      <c r="ER69" s="157">
        <v>1178.0650000000001</v>
      </c>
      <c r="ES69" s="37">
        <v>6195.8310494400002</v>
      </c>
      <c r="ET69" s="55">
        <f t="shared" si="10"/>
        <v>0.25633464001091816</v>
      </c>
      <c r="EU69" s="157">
        <v>1357</v>
      </c>
      <c r="EV69" s="37">
        <v>175.428</v>
      </c>
      <c r="EW69" s="55">
        <f t="shared" si="9"/>
        <v>0.83922856347987607</v>
      </c>
      <c r="EY69" s="166">
        <v>10447.41</v>
      </c>
      <c r="EZ69" s="37">
        <v>3156.57</v>
      </c>
      <c r="FA69" s="164">
        <f t="shared" si="11"/>
        <v>1</v>
      </c>
      <c r="FB69" s="5">
        <v>4613</v>
      </c>
      <c r="FC69" s="164">
        <f t="shared" si="12"/>
        <v>1</v>
      </c>
      <c r="FE69" s="5"/>
      <c r="FF69" s="166">
        <v>0</v>
      </c>
      <c r="FG69" s="37">
        <v>0</v>
      </c>
      <c r="FH69" s="164">
        <f t="shared" si="13"/>
        <v>0</v>
      </c>
      <c r="FI69" s="5">
        <v>0</v>
      </c>
      <c r="FJ69" s="164">
        <f t="shared" si="14"/>
        <v>0</v>
      </c>
      <c r="FL69" s="169">
        <v>7873</v>
      </c>
      <c r="FM69" s="170">
        <f t="shared" si="15"/>
        <v>0.68245451314546257</v>
      </c>
      <c r="FN69" s="169">
        <v>2591</v>
      </c>
      <c r="FO69" s="170">
        <f t="shared" si="16"/>
        <v>0.82634348588741824</v>
      </c>
    </row>
    <row r="70" spans="16:171" x14ac:dyDescent="0.35">
      <c r="P70" s="64">
        <v>68</v>
      </c>
      <c r="Q70" s="109">
        <v>0</v>
      </c>
      <c r="R70" s="110">
        <v>0</v>
      </c>
      <c r="S70" s="111">
        <v>0</v>
      </c>
      <c r="T70" s="110">
        <v>0</v>
      </c>
      <c r="U70" s="111">
        <v>0</v>
      </c>
      <c r="V70" s="110">
        <v>0</v>
      </c>
      <c r="W70" s="111">
        <v>0</v>
      </c>
      <c r="X70" s="110">
        <v>0</v>
      </c>
      <c r="Y70" s="111">
        <v>0</v>
      </c>
      <c r="Z70" s="110">
        <v>0</v>
      </c>
      <c r="AA70" s="111">
        <v>0</v>
      </c>
      <c r="AB70" s="110">
        <v>0</v>
      </c>
      <c r="AC70" s="111">
        <v>0</v>
      </c>
      <c r="AD70" s="110">
        <v>0</v>
      </c>
      <c r="AF70" s="64">
        <v>68</v>
      </c>
      <c r="AG70" s="109">
        <v>2936.9933999999998</v>
      </c>
      <c r="AH70" s="111">
        <v>312.8</v>
      </c>
      <c r="AI70" s="109">
        <v>68</v>
      </c>
      <c r="AJ70" s="59">
        <v>3.2999999999999995E-2</v>
      </c>
      <c r="AK70" s="59">
        <v>0.13600000000000001</v>
      </c>
      <c r="AL70" s="59">
        <v>0.13600000000000001</v>
      </c>
      <c r="AM70" s="110">
        <v>85.272000000000006</v>
      </c>
      <c r="AN70" s="111">
        <v>989.70600000000002</v>
      </c>
      <c r="AO70" s="59">
        <v>0.13200000000000001</v>
      </c>
      <c r="AP70" s="55">
        <v>8.4999999999999992E-2</v>
      </c>
      <c r="AQ70" s="109">
        <v>9990.4</v>
      </c>
      <c r="AR70" s="111">
        <v>11549.7</v>
      </c>
      <c r="AS70" s="59">
        <v>0.224</v>
      </c>
      <c r="AT70" s="55">
        <v>0.49200000000000005</v>
      </c>
      <c r="AU70" s="43"/>
      <c r="AV70" s="109">
        <v>1164.838</v>
      </c>
      <c r="AW70" s="110">
        <v>0.47299992690830239</v>
      </c>
      <c r="AX70" s="109">
        <v>969.59500000000003</v>
      </c>
      <c r="AY70" s="110">
        <v>0.60335718730553833</v>
      </c>
      <c r="AZ70" s="109">
        <v>1121.4780000000001</v>
      </c>
      <c r="BA70" s="110">
        <v>0.5784392407674851</v>
      </c>
      <c r="BB70" s="43"/>
      <c r="BC70" s="112">
        <v>51358.995000000003</v>
      </c>
      <c r="BD70" s="110">
        <v>0.73770491803278682</v>
      </c>
      <c r="BE70" s="43"/>
      <c r="BF70" s="157">
        <v>1255.2819999999999</v>
      </c>
      <c r="BG70" s="43">
        <v>0</v>
      </c>
      <c r="BH70" s="113">
        <v>0</v>
      </c>
      <c r="BI70" s="114">
        <v>3.8505582822085889E-2</v>
      </c>
      <c r="BJ70" s="115">
        <v>0</v>
      </c>
      <c r="BK70" s="113">
        <v>0</v>
      </c>
      <c r="BL70" s="113">
        <v>0</v>
      </c>
      <c r="BM70" s="113">
        <v>0</v>
      </c>
      <c r="BN70" s="113">
        <v>1638.6089999999999</v>
      </c>
      <c r="BO70" s="114">
        <v>0.12157656922392046</v>
      </c>
      <c r="BP70" s="115">
        <v>0</v>
      </c>
      <c r="BQ70" s="43">
        <v>7668</v>
      </c>
      <c r="BR70" s="43">
        <v>66.009875670000014</v>
      </c>
      <c r="BS70" s="43"/>
      <c r="BT70" s="116">
        <v>-700</v>
      </c>
      <c r="BU70" s="43">
        <v>0</v>
      </c>
      <c r="BV70" s="43">
        <v>4485</v>
      </c>
      <c r="BW70" s="43">
        <v>4485</v>
      </c>
      <c r="BX70" s="43">
        <v>0</v>
      </c>
      <c r="BY70" s="43">
        <v>0</v>
      </c>
      <c r="BZ70" s="43">
        <v>-5000</v>
      </c>
      <c r="CA70" s="43">
        <v>0</v>
      </c>
      <c r="CB70" s="43">
        <v>3800</v>
      </c>
      <c r="CC70" s="43">
        <v>3800</v>
      </c>
      <c r="CD70" s="43">
        <v>-4000</v>
      </c>
      <c r="CE70" s="43">
        <v>0</v>
      </c>
      <c r="CF70" s="43">
        <v>4800</v>
      </c>
      <c r="CG70" s="43">
        <v>4800</v>
      </c>
      <c r="CH70" s="43">
        <v>4606.77648881</v>
      </c>
      <c r="CI70" s="43">
        <v>4606.77648881</v>
      </c>
      <c r="CJ70" s="114">
        <v>17691.776488809999</v>
      </c>
      <c r="CK70" s="43"/>
      <c r="CL70" s="116">
        <v>-700</v>
      </c>
      <c r="CM70" s="43">
        <v>700</v>
      </c>
      <c r="CN70" s="43">
        <v>4485</v>
      </c>
      <c r="CO70" s="43">
        <v>0</v>
      </c>
      <c r="CP70" s="43">
        <v>0</v>
      </c>
      <c r="CQ70" s="43">
        <v>0</v>
      </c>
      <c r="CR70" s="43">
        <v>-5000</v>
      </c>
      <c r="CS70" s="43">
        <v>5000</v>
      </c>
      <c r="CT70" s="43">
        <v>3800</v>
      </c>
      <c r="CU70" s="43">
        <v>0</v>
      </c>
      <c r="CV70" s="43">
        <v>-4000</v>
      </c>
      <c r="CW70" s="43">
        <v>4000</v>
      </c>
      <c r="CX70" s="43">
        <v>4800</v>
      </c>
      <c r="CY70" s="43">
        <v>0</v>
      </c>
      <c r="CZ70" s="43">
        <v>4606.77648881</v>
      </c>
      <c r="DA70" s="43">
        <v>0</v>
      </c>
      <c r="DB70" s="114">
        <v>9700</v>
      </c>
      <c r="DC70" s="43"/>
      <c r="DD70" s="117">
        <v>43425.197</v>
      </c>
      <c r="DE70" s="55">
        <v>2319.8420000000001</v>
      </c>
      <c r="DF70" s="59">
        <v>1741.9059094183999</v>
      </c>
      <c r="DG70" s="59">
        <v>47486.944909418395</v>
      </c>
      <c r="DH70" s="117">
        <v>10445.103999999999</v>
      </c>
      <c r="DI70" s="117">
        <v>72036.410999999993</v>
      </c>
      <c r="DJ70" s="55">
        <v>5707</v>
      </c>
      <c r="DK70" s="114">
        <v>77743.410999999993</v>
      </c>
      <c r="DL70" s="43"/>
      <c r="DM70" s="117">
        <v>785.529</v>
      </c>
      <c r="DN70" s="55">
        <v>10540.1958456256</v>
      </c>
      <c r="DO70" s="55">
        <v>11325.7248456256</v>
      </c>
      <c r="DP70" s="59">
        <v>1467.3743026331269</v>
      </c>
      <c r="DQ70" s="59">
        <v>2924.2782253404971</v>
      </c>
      <c r="DR70" s="59">
        <v>0</v>
      </c>
      <c r="DS70" s="55">
        <v>2924.2782253404971</v>
      </c>
      <c r="DT70" s="55">
        <v>162.4599014078054</v>
      </c>
      <c r="DU70" s="55">
        <v>162.4599014078054</v>
      </c>
      <c r="DW70" s="121">
        <v>0</v>
      </c>
      <c r="DX70" s="122">
        <v>285.00377354</v>
      </c>
      <c r="DY70" s="128">
        <v>64.793027660000007</v>
      </c>
      <c r="DZ70" s="128">
        <v>0</v>
      </c>
      <c r="EA70" s="121">
        <v>0</v>
      </c>
      <c r="EB70" s="122">
        <v>969.38497426000004</v>
      </c>
      <c r="EC70" s="121">
        <v>171.63686247000001</v>
      </c>
      <c r="ED70" s="122">
        <v>0</v>
      </c>
      <c r="EE70" s="121">
        <v>0</v>
      </c>
      <c r="EF70" s="122">
        <v>847.5</v>
      </c>
      <c r="EG70" s="121">
        <v>0</v>
      </c>
      <c r="EH70" s="122">
        <v>4165.5693830099999</v>
      </c>
      <c r="EI70" s="121">
        <v>0</v>
      </c>
      <c r="EJ70" s="122">
        <v>285.00377354</v>
      </c>
      <c r="EK70" s="129">
        <v>969.38497426000004</v>
      </c>
      <c r="EL70" s="130">
        <v>847.5</v>
      </c>
      <c r="EM70" s="131">
        <v>735.83500000000004</v>
      </c>
      <c r="EN70" s="129">
        <v>0</v>
      </c>
      <c r="EO70" s="129">
        <v>5077.8624106699999</v>
      </c>
      <c r="EP70" s="129">
        <v>171.63686247000001</v>
      </c>
      <c r="ER70" s="157">
        <v>1161.0619999999999</v>
      </c>
      <c r="ES70" s="37">
        <v>6195.8310494400002</v>
      </c>
      <c r="ET70" s="55">
        <f t="shared" si="10"/>
        <v>0.25574357419511562</v>
      </c>
      <c r="EU70" s="157">
        <v>1357</v>
      </c>
      <c r="EV70" s="37">
        <v>175.428</v>
      </c>
      <c r="EW70" s="55">
        <f t="shared" si="9"/>
        <v>0.83922856347987607</v>
      </c>
      <c r="EY70" s="166">
        <v>10447.41</v>
      </c>
      <c r="EZ70" s="37">
        <v>3156.57</v>
      </c>
      <c r="FA70" s="164">
        <f t="shared" si="11"/>
        <v>1</v>
      </c>
      <c r="FB70" s="5">
        <v>4613</v>
      </c>
      <c r="FC70" s="164">
        <f t="shared" si="12"/>
        <v>1</v>
      </c>
      <c r="FE70" s="5"/>
      <c r="FF70" s="166">
        <v>0</v>
      </c>
      <c r="FG70" s="37">
        <v>0</v>
      </c>
      <c r="FH70" s="164">
        <f t="shared" si="13"/>
        <v>0</v>
      </c>
      <c r="FI70" s="5">
        <v>0</v>
      </c>
      <c r="FJ70" s="164">
        <f t="shared" si="14"/>
        <v>0</v>
      </c>
      <c r="FL70" s="169">
        <v>7873</v>
      </c>
      <c r="FM70" s="170">
        <f t="shared" si="15"/>
        <v>0.68245451314546257</v>
      </c>
      <c r="FN70" s="169">
        <v>2591</v>
      </c>
      <c r="FO70" s="170">
        <f t="shared" si="16"/>
        <v>0.82634348588741824</v>
      </c>
    </row>
    <row r="71" spans="16:171" x14ac:dyDescent="0.35">
      <c r="P71" s="64">
        <v>69</v>
      </c>
      <c r="Q71" s="109">
        <v>0</v>
      </c>
      <c r="R71" s="110">
        <v>0</v>
      </c>
      <c r="S71" s="111">
        <v>0</v>
      </c>
      <c r="T71" s="110">
        <v>0</v>
      </c>
      <c r="U71" s="111">
        <v>0</v>
      </c>
      <c r="V71" s="110">
        <v>0</v>
      </c>
      <c r="W71" s="111">
        <v>0</v>
      </c>
      <c r="X71" s="110">
        <v>0</v>
      </c>
      <c r="Y71" s="111">
        <v>0</v>
      </c>
      <c r="Z71" s="110">
        <v>0</v>
      </c>
      <c r="AA71" s="111">
        <v>0</v>
      </c>
      <c r="AB71" s="110">
        <v>0</v>
      </c>
      <c r="AC71" s="111">
        <v>0</v>
      </c>
      <c r="AD71" s="110">
        <v>0</v>
      </c>
      <c r="AF71" s="64">
        <v>69</v>
      </c>
      <c r="AG71" s="109">
        <v>1957.9956</v>
      </c>
      <c r="AH71" s="111">
        <v>349.6</v>
      </c>
      <c r="AI71" s="109">
        <v>76</v>
      </c>
      <c r="AJ71" s="59">
        <v>2.1999999999999999E-2</v>
      </c>
      <c r="AK71" s="59">
        <v>0.152</v>
      </c>
      <c r="AL71" s="59">
        <v>0.152</v>
      </c>
      <c r="AM71" s="110">
        <v>85.918000000000006</v>
      </c>
      <c r="AN71" s="111">
        <v>861.62639999999999</v>
      </c>
      <c r="AO71" s="59">
        <v>0.13300000000000001</v>
      </c>
      <c r="AP71" s="55">
        <v>7.3999999999999996E-2</v>
      </c>
      <c r="AQ71" s="109">
        <v>9633.6</v>
      </c>
      <c r="AR71" s="111">
        <v>11526.225</v>
      </c>
      <c r="AS71" s="59">
        <v>0.216</v>
      </c>
      <c r="AT71" s="55">
        <v>0.49099999999999999</v>
      </c>
      <c r="AU71" s="43"/>
      <c r="AV71" s="109">
        <v>1137.749</v>
      </c>
      <c r="AW71" s="110">
        <v>0.46200003248519894</v>
      </c>
      <c r="AX71" s="109">
        <v>968.63599999999997</v>
      </c>
      <c r="AY71" s="110">
        <v>0.60276042314872436</v>
      </c>
      <c r="AZ71" s="109">
        <v>1121.4780000000001</v>
      </c>
      <c r="BA71" s="110">
        <v>0.5784392407674851</v>
      </c>
      <c r="BB71" s="43"/>
      <c r="BC71" s="112">
        <v>51358.995000000003</v>
      </c>
      <c r="BD71" s="110">
        <v>0.73770491803278682</v>
      </c>
      <c r="BE71" s="43"/>
      <c r="BF71" s="157">
        <v>826.98400000000004</v>
      </c>
      <c r="BG71" s="43">
        <v>0</v>
      </c>
      <c r="BH71" s="113">
        <v>0</v>
      </c>
      <c r="BI71" s="114">
        <v>2.5367607361963192E-2</v>
      </c>
      <c r="BJ71" s="115">
        <v>0</v>
      </c>
      <c r="BK71" s="113">
        <v>0</v>
      </c>
      <c r="BL71" s="113">
        <v>0</v>
      </c>
      <c r="BM71" s="113">
        <v>0</v>
      </c>
      <c r="BN71" s="113">
        <v>1644.817</v>
      </c>
      <c r="BO71" s="114">
        <v>0.12203717168719394</v>
      </c>
      <c r="BP71" s="115">
        <v>0</v>
      </c>
      <c r="BQ71" s="43">
        <v>7668</v>
      </c>
      <c r="BR71" s="43">
        <v>649.83731149999994</v>
      </c>
      <c r="BS71" s="43"/>
      <c r="BT71" s="116">
        <v>-700</v>
      </c>
      <c r="BU71" s="43">
        <v>0</v>
      </c>
      <c r="BV71" s="43">
        <v>4485</v>
      </c>
      <c r="BW71" s="43">
        <v>4485</v>
      </c>
      <c r="BX71" s="43">
        <v>0</v>
      </c>
      <c r="BY71" s="43">
        <v>0</v>
      </c>
      <c r="BZ71" s="43">
        <v>-5000</v>
      </c>
      <c r="CA71" s="43">
        <v>0</v>
      </c>
      <c r="CB71" s="43">
        <v>3800</v>
      </c>
      <c r="CC71" s="43">
        <v>3800</v>
      </c>
      <c r="CD71" s="43">
        <v>-4000</v>
      </c>
      <c r="CE71" s="43">
        <v>0</v>
      </c>
      <c r="CF71" s="43">
        <v>4800</v>
      </c>
      <c r="CG71" s="43">
        <v>4800</v>
      </c>
      <c r="CH71" s="43">
        <v>4787.3901767400002</v>
      </c>
      <c r="CI71" s="43">
        <v>4787.3901767400002</v>
      </c>
      <c r="CJ71" s="114">
        <v>17872.390176740002</v>
      </c>
      <c r="CK71" s="43"/>
      <c r="CL71" s="116">
        <v>-700</v>
      </c>
      <c r="CM71" s="43">
        <v>700</v>
      </c>
      <c r="CN71" s="43">
        <v>4485</v>
      </c>
      <c r="CO71" s="43">
        <v>0</v>
      </c>
      <c r="CP71" s="43">
        <v>0</v>
      </c>
      <c r="CQ71" s="43">
        <v>0</v>
      </c>
      <c r="CR71" s="43">
        <v>-5000</v>
      </c>
      <c r="CS71" s="43">
        <v>5000</v>
      </c>
      <c r="CT71" s="43">
        <v>3800</v>
      </c>
      <c r="CU71" s="43">
        <v>0</v>
      </c>
      <c r="CV71" s="43">
        <v>-4000</v>
      </c>
      <c r="CW71" s="43">
        <v>4000</v>
      </c>
      <c r="CX71" s="43">
        <v>4800</v>
      </c>
      <c r="CY71" s="43">
        <v>0</v>
      </c>
      <c r="CZ71" s="43">
        <v>4787.3901767400002</v>
      </c>
      <c r="DA71" s="43">
        <v>0</v>
      </c>
      <c r="DB71" s="114">
        <v>9700</v>
      </c>
      <c r="DC71" s="43"/>
      <c r="DD71" s="117">
        <v>41835.870999999999</v>
      </c>
      <c r="DE71" s="55">
        <v>2320.1529999999998</v>
      </c>
      <c r="DF71" s="59">
        <v>1744.6248222501999</v>
      </c>
      <c r="DG71" s="59">
        <v>45900.648822250194</v>
      </c>
      <c r="DH71" s="117">
        <v>10074.316999999999</v>
      </c>
      <c r="DI71" s="117">
        <v>67673.410999999993</v>
      </c>
      <c r="DJ71" s="55">
        <v>5772</v>
      </c>
      <c r="DK71" s="114">
        <v>73445.410999999993</v>
      </c>
      <c r="DL71" s="43"/>
      <c r="DM71" s="117">
        <v>773.23599999999999</v>
      </c>
      <c r="DN71" s="55">
        <v>10524.485844775239</v>
      </c>
      <c r="DO71" s="55">
        <v>11297.72184477524</v>
      </c>
      <c r="DP71" s="59">
        <v>1364.2622221311269</v>
      </c>
      <c r="DQ71" s="59">
        <v>2916.0003509152548</v>
      </c>
      <c r="DR71" s="59">
        <v>0</v>
      </c>
      <c r="DS71" s="55">
        <v>2916.0003509152548</v>
      </c>
      <c r="DT71" s="55">
        <v>162.00001949529189</v>
      </c>
      <c r="DU71" s="55">
        <v>162.00001949529189</v>
      </c>
      <c r="DW71" s="121">
        <v>175.14902681000001</v>
      </c>
      <c r="DX71" s="122">
        <v>0</v>
      </c>
      <c r="DY71" s="128">
        <v>316.37302765999999</v>
      </c>
      <c r="DZ71" s="128">
        <v>0</v>
      </c>
      <c r="EA71" s="121">
        <v>0</v>
      </c>
      <c r="EB71" s="122">
        <v>1553.672292</v>
      </c>
      <c r="EC71" s="121">
        <v>0</v>
      </c>
      <c r="ED71" s="122">
        <v>0</v>
      </c>
      <c r="EE71" s="121">
        <v>0</v>
      </c>
      <c r="EF71" s="122">
        <v>847.5</v>
      </c>
      <c r="EG71" s="121">
        <v>0</v>
      </c>
      <c r="EH71" s="122">
        <v>3290.4775946200002</v>
      </c>
      <c r="EI71" s="121">
        <v>175.14902681000001</v>
      </c>
      <c r="EJ71" s="122">
        <v>0</v>
      </c>
      <c r="EK71" s="129">
        <v>1553.672292</v>
      </c>
      <c r="EL71" s="130">
        <v>847.5</v>
      </c>
      <c r="EM71" s="131">
        <v>735.83500000000004</v>
      </c>
      <c r="EN71" s="129">
        <v>0</v>
      </c>
      <c r="EO71" s="129">
        <v>4454.3506222800006</v>
      </c>
      <c r="EP71" s="129">
        <v>0</v>
      </c>
      <c r="ER71" s="157">
        <v>1207.56</v>
      </c>
      <c r="ES71" s="37">
        <v>6195.8310494400002</v>
      </c>
      <c r="ET71" s="55">
        <f t="shared" si="10"/>
        <v>0.25735995826282065</v>
      </c>
      <c r="EU71" s="157">
        <v>1357</v>
      </c>
      <c r="EV71" s="37">
        <v>175.89</v>
      </c>
      <c r="EW71" s="55">
        <f t="shared" si="9"/>
        <v>0.83948157608231333</v>
      </c>
      <c r="EY71" s="166">
        <v>10447.41</v>
      </c>
      <c r="EZ71" s="37">
        <v>3156.57</v>
      </c>
      <c r="FA71" s="164">
        <f t="shared" si="11"/>
        <v>1</v>
      </c>
      <c r="FB71" s="5">
        <v>4613</v>
      </c>
      <c r="FC71" s="164">
        <f t="shared" si="12"/>
        <v>1</v>
      </c>
      <c r="FE71" s="5"/>
      <c r="FF71" s="166">
        <v>0</v>
      </c>
      <c r="FG71" s="37">
        <v>0</v>
      </c>
      <c r="FH71" s="164">
        <f t="shared" si="13"/>
        <v>0</v>
      </c>
      <c r="FI71" s="5">
        <v>0</v>
      </c>
      <c r="FJ71" s="164">
        <f t="shared" si="14"/>
        <v>0</v>
      </c>
      <c r="FL71" s="169">
        <v>7873</v>
      </c>
      <c r="FM71" s="170">
        <f t="shared" si="15"/>
        <v>0.68245451314546257</v>
      </c>
      <c r="FN71" s="169">
        <v>2591</v>
      </c>
      <c r="FO71" s="170">
        <f t="shared" si="16"/>
        <v>0.82634348588741824</v>
      </c>
    </row>
    <row r="72" spans="16:171" x14ac:dyDescent="0.35">
      <c r="P72" s="64">
        <v>70</v>
      </c>
      <c r="Q72" s="109">
        <v>0</v>
      </c>
      <c r="R72" s="110">
        <v>0</v>
      </c>
      <c r="S72" s="111">
        <v>0</v>
      </c>
      <c r="T72" s="110">
        <v>0</v>
      </c>
      <c r="U72" s="111">
        <v>0</v>
      </c>
      <c r="V72" s="110">
        <v>0</v>
      </c>
      <c r="W72" s="111">
        <v>0</v>
      </c>
      <c r="X72" s="110">
        <v>0</v>
      </c>
      <c r="Y72" s="111">
        <v>0</v>
      </c>
      <c r="Z72" s="110">
        <v>0</v>
      </c>
      <c r="AA72" s="111">
        <v>0</v>
      </c>
      <c r="AB72" s="110">
        <v>0</v>
      </c>
      <c r="AC72" s="111">
        <v>0</v>
      </c>
      <c r="AD72" s="110">
        <v>0</v>
      </c>
      <c r="AF72" s="64">
        <v>70</v>
      </c>
      <c r="AG72" s="109">
        <v>1512.9965999999999</v>
      </c>
      <c r="AH72" s="111">
        <v>397.9</v>
      </c>
      <c r="AI72" s="109">
        <v>86.5</v>
      </c>
      <c r="AJ72" s="59">
        <v>1.6999999999999998E-2</v>
      </c>
      <c r="AK72" s="59">
        <v>0.17299999999999999</v>
      </c>
      <c r="AL72" s="59">
        <v>0.17299999999999999</v>
      </c>
      <c r="AM72" s="110">
        <v>80.75</v>
      </c>
      <c r="AN72" s="111">
        <v>733.54679999999996</v>
      </c>
      <c r="AO72" s="59">
        <v>0.125</v>
      </c>
      <c r="AP72" s="55">
        <v>6.3E-2</v>
      </c>
      <c r="AQ72" s="109">
        <v>9321.4</v>
      </c>
      <c r="AR72" s="111">
        <v>11268</v>
      </c>
      <c r="AS72" s="59">
        <v>0.20899999999999999</v>
      </c>
      <c r="AT72" s="55">
        <v>0.48</v>
      </c>
      <c r="AU72" s="43"/>
      <c r="AV72" s="109">
        <v>1142.674</v>
      </c>
      <c r="AW72" s="110">
        <v>0.46399990254440321</v>
      </c>
      <c r="AX72" s="109">
        <v>956.91300000000001</v>
      </c>
      <c r="AY72" s="110">
        <v>0.59546546359676411</v>
      </c>
      <c r="AZ72" s="109">
        <v>1121.4780000000001</v>
      </c>
      <c r="BA72" s="110">
        <v>0.5784392407674851</v>
      </c>
      <c r="BB72" s="43"/>
      <c r="BC72" s="112">
        <v>51358.995000000003</v>
      </c>
      <c r="BD72" s="110">
        <v>0.73770491803278682</v>
      </c>
      <c r="BE72" s="43"/>
      <c r="BF72" s="157">
        <v>664.49900000000002</v>
      </c>
      <c r="BG72" s="43">
        <v>0</v>
      </c>
      <c r="BH72" s="113">
        <v>0</v>
      </c>
      <c r="BI72" s="114">
        <v>2.038340490797546E-2</v>
      </c>
      <c r="BJ72" s="115">
        <v>0</v>
      </c>
      <c r="BK72" s="113">
        <v>0</v>
      </c>
      <c r="BL72" s="113">
        <v>0</v>
      </c>
      <c r="BM72" s="113">
        <v>0</v>
      </c>
      <c r="BN72" s="113">
        <v>1537.12</v>
      </c>
      <c r="BO72" s="114">
        <v>0.11404659445021516</v>
      </c>
      <c r="BP72" s="115">
        <v>0</v>
      </c>
      <c r="BQ72" s="43">
        <v>7668</v>
      </c>
      <c r="BR72" s="43">
        <v>649.3774295799999</v>
      </c>
      <c r="BS72" s="43"/>
      <c r="BT72" s="116">
        <v>-700</v>
      </c>
      <c r="BU72" s="43">
        <v>0</v>
      </c>
      <c r="BV72" s="43">
        <v>4485</v>
      </c>
      <c r="BW72" s="43">
        <v>4485</v>
      </c>
      <c r="BX72" s="43">
        <v>0</v>
      </c>
      <c r="BY72" s="43">
        <v>0</v>
      </c>
      <c r="BZ72" s="43">
        <v>-5000</v>
      </c>
      <c r="CA72" s="43">
        <v>0</v>
      </c>
      <c r="CB72" s="43">
        <v>3800</v>
      </c>
      <c r="CC72" s="43">
        <v>3800</v>
      </c>
      <c r="CD72" s="43">
        <v>-4000</v>
      </c>
      <c r="CE72" s="43">
        <v>0</v>
      </c>
      <c r="CF72" s="43">
        <v>4800</v>
      </c>
      <c r="CG72" s="43">
        <v>4800</v>
      </c>
      <c r="CH72" s="43">
        <v>7088.93204668</v>
      </c>
      <c r="CI72" s="43">
        <v>7088.93204668</v>
      </c>
      <c r="CJ72" s="114">
        <v>20173.932046679998</v>
      </c>
      <c r="CK72" s="43"/>
      <c r="CL72" s="116">
        <v>-700</v>
      </c>
      <c r="CM72" s="43">
        <v>700</v>
      </c>
      <c r="CN72" s="43">
        <v>4485</v>
      </c>
      <c r="CO72" s="43">
        <v>0</v>
      </c>
      <c r="CP72" s="43">
        <v>0</v>
      </c>
      <c r="CQ72" s="43">
        <v>0</v>
      </c>
      <c r="CR72" s="43">
        <v>-5000</v>
      </c>
      <c r="CS72" s="43">
        <v>5000</v>
      </c>
      <c r="CT72" s="43">
        <v>3800</v>
      </c>
      <c r="CU72" s="43">
        <v>0</v>
      </c>
      <c r="CV72" s="43">
        <v>-4000</v>
      </c>
      <c r="CW72" s="43">
        <v>4000</v>
      </c>
      <c r="CX72" s="43">
        <v>4800</v>
      </c>
      <c r="CY72" s="43">
        <v>0</v>
      </c>
      <c r="CZ72" s="43">
        <v>7088.93204668</v>
      </c>
      <c r="DA72" s="43">
        <v>0</v>
      </c>
      <c r="DB72" s="114">
        <v>9700</v>
      </c>
      <c r="DC72" s="43"/>
      <c r="DD72" s="117">
        <v>39266.557000000001</v>
      </c>
      <c r="DE72" s="55">
        <v>2320.4050000000002</v>
      </c>
      <c r="DF72" s="59">
        <v>1694.4395131905001</v>
      </c>
      <c r="DG72" s="59">
        <v>43281.401513190496</v>
      </c>
      <c r="DH72" s="117">
        <v>9552.4509999999991</v>
      </c>
      <c r="DI72" s="117">
        <v>64652.411</v>
      </c>
      <c r="DJ72" s="55">
        <v>5559</v>
      </c>
      <c r="DK72" s="114">
        <v>70211.410999999993</v>
      </c>
      <c r="DL72" s="43"/>
      <c r="DM72" s="117">
        <v>694.82399999999996</v>
      </c>
      <c r="DN72" s="55">
        <v>10508.77584392489</v>
      </c>
      <c r="DO72" s="55">
        <v>11203.599843924891</v>
      </c>
      <c r="DP72" s="59">
        <v>1286.9281617546269</v>
      </c>
      <c r="DQ72" s="59">
        <v>2907.722476490012</v>
      </c>
      <c r="DR72" s="59">
        <v>0</v>
      </c>
      <c r="DS72" s="55">
        <v>2907.722476490012</v>
      </c>
      <c r="DT72" s="55">
        <v>161.54013758277841</v>
      </c>
      <c r="DU72" s="55">
        <v>161.54013758277841</v>
      </c>
      <c r="DW72" s="121">
        <v>1219.5891448899999</v>
      </c>
      <c r="DX72" s="122">
        <v>0</v>
      </c>
      <c r="DY72" s="128">
        <v>167.91078400000001</v>
      </c>
      <c r="DZ72" s="128">
        <v>0</v>
      </c>
      <c r="EA72" s="121">
        <v>0</v>
      </c>
      <c r="EB72" s="122">
        <v>1553.672292</v>
      </c>
      <c r="EC72" s="121">
        <v>0</v>
      </c>
      <c r="ED72" s="122">
        <v>0</v>
      </c>
      <c r="EE72" s="121">
        <v>0</v>
      </c>
      <c r="EF72" s="122">
        <v>847.5</v>
      </c>
      <c r="EG72" s="121">
        <v>0</v>
      </c>
      <c r="EH72" s="122">
        <v>2402.7775946199999</v>
      </c>
      <c r="EI72" s="121">
        <v>1219.5891448899999</v>
      </c>
      <c r="EJ72" s="122">
        <v>0</v>
      </c>
      <c r="EK72" s="129">
        <v>1553.672292</v>
      </c>
      <c r="EL72" s="130">
        <v>847.5</v>
      </c>
      <c r="EM72" s="131">
        <v>735.83500000000004</v>
      </c>
      <c r="EN72" s="129">
        <v>0</v>
      </c>
      <c r="EO72" s="129">
        <v>3418.1883786200001</v>
      </c>
      <c r="EP72" s="129">
        <v>0</v>
      </c>
      <c r="ER72" s="157">
        <v>1207.56</v>
      </c>
      <c r="ES72" s="37">
        <v>6195.8310494400002</v>
      </c>
      <c r="ET72" s="55">
        <f t="shared" si="10"/>
        <v>0.25735995826282065</v>
      </c>
      <c r="EU72" s="157">
        <v>1357</v>
      </c>
      <c r="EV72" s="37">
        <v>173.51400000000001</v>
      </c>
      <c r="EW72" s="55">
        <f t="shared" si="9"/>
        <v>0.83818036841263621</v>
      </c>
      <c r="EY72" s="166">
        <v>10447.41</v>
      </c>
      <c r="EZ72" s="37">
        <v>3156.57</v>
      </c>
      <c r="FA72" s="164">
        <f t="shared" si="11"/>
        <v>1</v>
      </c>
      <c r="FB72" s="5">
        <v>4613</v>
      </c>
      <c r="FC72" s="164">
        <f t="shared" si="12"/>
        <v>1</v>
      </c>
      <c r="FE72" s="5"/>
      <c r="FF72" s="166">
        <v>0</v>
      </c>
      <c r="FG72" s="37">
        <v>0</v>
      </c>
      <c r="FH72" s="164">
        <f t="shared" si="13"/>
        <v>0</v>
      </c>
      <c r="FI72" s="5">
        <v>0</v>
      </c>
      <c r="FJ72" s="164">
        <f t="shared" si="14"/>
        <v>0</v>
      </c>
      <c r="FL72" s="169">
        <v>7873</v>
      </c>
      <c r="FM72" s="170">
        <f t="shared" si="15"/>
        <v>0.68245451314546257</v>
      </c>
      <c r="FN72" s="169">
        <v>2591</v>
      </c>
      <c r="FO72" s="170">
        <f t="shared" si="16"/>
        <v>0.82634348588741824</v>
      </c>
    </row>
    <row r="73" spans="16:171" x14ac:dyDescent="0.35">
      <c r="P73" s="64">
        <v>71</v>
      </c>
      <c r="Q73" s="109">
        <v>0</v>
      </c>
      <c r="R73" s="110">
        <v>0</v>
      </c>
      <c r="S73" s="111">
        <v>0</v>
      </c>
      <c r="T73" s="110">
        <v>0</v>
      </c>
      <c r="U73" s="111">
        <v>0</v>
      </c>
      <c r="V73" s="110">
        <v>0</v>
      </c>
      <c r="W73" s="111">
        <v>0</v>
      </c>
      <c r="X73" s="110">
        <v>0</v>
      </c>
      <c r="Y73" s="111">
        <v>0</v>
      </c>
      <c r="Z73" s="110">
        <v>0</v>
      </c>
      <c r="AA73" s="111">
        <v>0</v>
      </c>
      <c r="AB73" s="110">
        <v>0</v>
      </c>
      <c r="AC73" s="111">
        <v>0</v>
      </c>
      <c r="AD73" s="110">
        <v>0</v>
      </c>
      <c r="AF73" s="64">
        <v>71</v>
      </c>
      <c r="AG73" s="109">
        <v>1690.9962</v>
      </c>
      <c r="AH73" s="111">
        <v>466.9</v>
      </c>
      <c r="AI73" s="109">
        <v>101.5</v>
      </c>
      <c r="AJ73" s="59">
        <v>1.9E-2</v>
      </c>
      <c r="AK73" s="59">
        <v>0.20299999999999999</v>
      </c>
      <c r="AL73" s="59">
        <v>0.20300000000000001</v>
      </c>
      <c r="AM73" s="110">
        <v>77.52</v>
      </c>
      <c r="AN73" s="111">
        <v>652.04160000000002</v>
      </c>
      <c r="AO73" s="59">
        <v>0.12</v>
      </c>
      <c r="AP73" s="55">
        <v>5.6000000000000001E-2</v>
      </c>
      <c r="AQ73" s="109">
        <v>8563.2000000000007</v>
      </c>
      <c r="AR73" s="111">
        <v>10915.875</v>
      </c>
      <c r="AS73" s="59">
        <v>0.192</v>
      </c>
      <c r="AT73" s="55">
        <v>0.46500000000000002</v>
      </c>
      <c r="AU73" s="43"/>
      <c r="AV73" s="109">
        <v>1083.57</v>
      </c>
      <c r="AW73" s="110">
        <v>0.43999983757400535</v>
      </c>
      <c r="AX73" s="109">
        <v>951.15300000000002</v>
      </c>
      <c r="AY73" s="110">
        <v>0.5918811449906658</v>
      </c>
      <c r="AZ73" s="109">
        <v>1121.4780000000001</v>
      </c>
      <c r="BA73" s="110">
        <v>0.5784392407674851</v>
      </c>
      <c r="BB73" s="43"/>
      <c r="BC73" s="112">
        <v>51358.995000000003</v>
      </c>
      <c r="BD73" s="110">
        <v>0.73770491803278682</v>
      </c>
      <c r="BE73" s="43"/>
      <c r="BF73" s="157">
        <v>711.42499999999995</v>
      </c>
      <c r="BG73" s="43">
        <v>0</v>
      </c>
      <c r="BH73" s="113">
        <v>0</v>
      </c>
      <c r="BI73" s="114">
        <v>2.1822852760736196E-2</v>
      </c>
      <c r="BJ73" s="115">
        <v>0</v>
      </c>
      <c r="BK73" s="113">
        <v>0</v>
      </c>
      <c r="BL73" s="113">
        <v>0</v>
      </c>
      <c r="BM73" s="113">
        <v>0</v>
      </c>
      <c r="BN73" s="113">
        <v>1472.2329999999999</v>
      </c>
      <c r="BO73" s="114">
        <v>0.10923230449621606</v>
      </c>
      <c r="BP73" s="115">
        <v>0</v>
      </c>
      <c r="BQ73" s="43">
        <v>7668</v>
      </c>
      <c r="BR73" s="43">
        <v>648.91754766999998</v>
      </c>
      <c r="BS73" s="43"/>
      <c r="BT73" s="116">
        <v>-700</v>
      </c>
      <c r="BU73" s="43">
        <v>0</v>
      </c>
      <c r="BV73" s="43">
        <v>4485</v>
      </c>
      <c r="BW73" s="43">
        <v>4485</v>
      </c>
      <c r="BX73" s="43">
        <v>0</v>
      </c>
      <c r="BY73" s="43">
        <v>0</v>
      </c>
      <c r="BZ73" s="43">
        <v>-5000</v>
      </c>
      <c r="CA73" s="43">
        <v>0</v>
      </c>
      <c r="CB73" s="43">
        <v>3800</v>
      </c>
      <c r="CC73" s="43">
        <v>3800</v>
      </c>
      <c r="CD73" s="43">
        <v>-4000</v>
      </c>
      <c r="CE73" s="43">
        <v>0</v>
      </c>
      <c r="CF73" s="43">
        <v>4800</v>
      </c>
      <c r="CG73" s="43">
        <v>4800</v>
      </c>
      <c r="CH73" s="43">
        <v>6307.0313634300001</v>
      </c>
      <c r="CI73" s="43">
        <v>6307.0313634300001</v>
      </c>
      <c r="CJ73" s="114">
        <v>19392.03136343</v>
      </c>
      <c r="CK73" s="43"/>
      <c r="CL73" s="116">
        <v>-700</v>
      </c>
      <c r="CM73" s="43">
        <v>700</v>
      </c>
      <c r="CN73" s="43">
        <v>4485</v>
      </c>
      <c r="CO73" s="43">
        <v>0</v>
      </c>
      <c r="CP73" s="43">
        <v>0</v>
      </c>
      <c r="CQ73" s="43">
        <v>0</v>
      </c>
      <c r="CR73" s="43">
        <v>-5000</v>
      </c>
      <c r="CS73" s="43">
        <v>5000</v>
      </c>
      <c r="CT73" s="43">
        <v>3800</v>
      </c>
      <c r="CU73" s="43">
        <v>0</v>
      </c>
      <c r="CV73" s="43">
        <v>-4000</v>
      </c>
      <c r="CW73" s="43">
        <v>4000</v>
      </c>
      <c r="CX73" s="43">
        <v>4800</v>
      </c>
      <c r="CY73" s="43">
        <v>0</v>
      </c>
      <c r="CZ73" s="43">
        <v>6307.0313634300001</v>
      </c>
      <c r="DA73" s="43">
        <v>0</v>
      </c>
      <c r="DB73" s="114">
        <v>9700</v>
      </c>
      <c r="DC73" s="43"/>
      <c r="DD73" s="117">
        <v>36728.167999999998</v>
      </c>
      <c r="DE73" s="55">
        <v>2266.5590000000002</v>
      </c>
      <c r="DF73" s="59">
        <v>1721.6488409190999</v>
      </c>
      <c r="DG73" s="59">
        <v>40716.3758409191</v>
      </c>
      <c r="DH73" s="117">
        <v>9466.8449999999993</v>
      </c>
      <c r="DI73" s="117">
        <v>64030.411</v>
      </c>
      <c r="DJ73" s="55">
        <v>5841</v>
      </c>
      <c r="DK73" s="114">
        <v>69871.410999999993</v>
      </c>
      <c r="DL73" s="43"/>
      <c r="DM73" s="117">
        <v>611.86500000000001</v>
      </c>
      <c r="DN73" s="55">
        <v>10493.065843074541</v>
      </c>
      <c r="DO73" s="55">
        <v>11104.93084307454</v>
      </c>
      <c r="DP73" s="59">
        <v>1235.3721215036271</v>
      </c>
      <c r="DQ73" s="59">
        <v>2899.4446020647688</v>
      </c>
      <c r="DR73" s="59">
        <v>0</v>
      </c>
      <c r="DS73" s="55">
        <v>2899.4446020647688</v>
      </c>
      <c r="DT73" s="55">
        <v>161.08025567026499</v>
      </c>
      <c r="DU73" s="55">
        <v>161.08025567026499</v>
      </c>
      <c r="DW73" s="121">
        <v>2264.0292629800001</v>
      </c>
      <c r="DX73" s="122">
        <v>0</v>
      </c>
      <c r="DY73" s="128">
        <v>19.44854033</v>
      </c>
      <c r="DZ73" s="128">
        <v>0</v>
      </c>
      <c r="EA73" s="121">
        <v>0</v>
      </c>
      <c r="EB73" s="122">
        <v>1553.672292</v>
      </c>
      <c r="EC73" s="121">
        <v>0</v>
      </c>
      <c r="ED73" s="122">
        <v>0</v>
      </c>
      <c r="EE73" s="121">
        <v>0</v>
      </c>
      <c r="EF73" s="122">
        <v>847.5</v>
      </c>
      <c r="EG73" s="121">
        <v>0</v>
      </c>
      <c r="EH73" s="122">
        <v>1515.0775946199999</v>
      </c>
      <c r="EI73" s="121">
        <v>2264.0292629800001</v>
      </c>
      <c r="EJ73" s="122">
        <v>0</v>
      </c>
      <c r="EK73" s="129">
        <v>1553.672292</v>
      </c>
      <c r="EL73" s="130">
        <v>847.5</v>
      </c>
      <c r="EM73" s="131">
        <v>735.83500000000004</v>
      </c>
      <c r="EN73" s="129">
        <v>0</v>
      </c>
      <c r="EO73" s="129">
        <v>2382.0261349499997</v>
      </c>
      <c r="EP73" s="129">
        <v>0</v>
      </c>
      <c r="ER73" s="157">
        <v>1190.557</v>
      </c>
      <c r="ES73" s="37">
        <v>6195.8310494400002</v>
      </c>
      <c r="ET73" s="55">
        <f t="shared" si="10"/>
        <v>0.25676889244701806</v>
      </c>
      <c r="EU73" s="157">
        <v>1357</v>
      </c>
      <c r="EV73" s="37">
        <v>172.59</v>
      </c>
      <c r="EW73" s="55">
        <f t="shared" si="9"/>
        <v>0.83767434320776157</v>
      </c>
      <c r="EY73" s="166">
        <v>10447.41</v>
      </c>
      <c r="EZ73" s="37">
        <v>3156.57</v>
      </c>
      <c r="FA73" s="164">
        <f t="shared" si="11"/>
        <v>1</v>
      </c>
      <c r="FB73" s="5">
        <v>4613</v>
      </c>
      <c r="FC73" s="164">
        <f t="shared" si="12"/>
        <v>1</v>
      </c>
      <c r="FE73" s="5"/>
      <c r="FF73" s="166">
        <v>0</v>
      </c>
      <c r="FG73" s="37">
        <v>0</v>
      </c>
      <c r="FH73" s="164">
        <f t="shared" si="13"/>
        <v>0</v>
      </c>
      <c r="FI73" s="5">
        <v>0</v>
      </c>
      <c r="FJ73" s="164">
        <f t="shared" si="14"/>
        <v>0</v>
      </c>
      <c r="FL73" s="169">
        <v>7873</v>
      </c>
      <c r="FM73" s="170">
        <f t="shared" si="15"/>
        <v>0.68245451314546257</v>
      </c>
      <c r="FN73" s="169">
        <v>2591</v>
      </c>
      <c r="FO73" s="170">
        <f t="shared" si="16"/>
        <v>0.82634348588741824</v>
      </c>
    </row>
    <row r="74" spans="16:171" x14ac:dyDescent="0.35">
      <c r="P74" s="64">
        <v>72</v>
      </c>
      <c r="Q74" s="109">
        <v>0</v>
      </c>
      <c r="R74" s="110">
        <v>0</v>
      </c>
      <c r="S74" s="111">
        <v>0</v>
      </c>
      <c r="T74" s="110">
        <v>0</v>
      </c>
      <c r="U74" s="111">
        <v>0</v>
      </c>
      <c r="V74" s="110">
        <v>0</v>
      </c>
      <c r="W74" s="111">
        <v>0</v>
      </c>
      <c r="X74" s="110">
        <v>0</v>
      </c>
      <c r="Y74" s="111">
        <v>0</v>
      </c>
      <c r="Z74" s="110">
        <v>0</v>
      </c>
      <c r="AA74" s="111">
        <v>0</v>
      </c>
      <c r="AB74" s="110">
        <v>0</v>
      </c>
      <c r="AC74" s="111">
        <v>0</v>
      </c>
      <c r="AD74" s="110">
        <v>0</v>
      </c>
      <c r="AF74" s="64">
        <v>72</v>
      </c>
      <c r="AG74" s="109">
        <v>1690.9962</v>
      </c>
      <c r="AH74" s="111">
        <v>552</v>
      </c>
      <c r="AI74" s="109">
        <v>120</v>
      </c>
      <c r="AJ74" s="59">
        <v>1.9E-2</v>
      </c>
      <c r="AK74" s="59">
        <v>0.24</v>
      </c>
      <c r="AL74" s="59">
        <v>0.24</v>
      </c>
      <c r="AM74" s="110">
        <v>70.414000000000001</v>
      </c>
      <c r="AN74" s="111">
        <v>593.82360000000006</v>
      </c>
      <c r="AO74" s="59">
        <v>0.109</v>
      </c>
      <c r="AP74" s="55">
        <v>5.1000000000000004E-2</v>
      </c>
      <c r="AQ74" s="109">
        <v>8251</v>
      </c>
      <c r="AR74" s="111">
        <v>10728.075000000001</v>
      </c>
      <c r="AS74" s="59">
        <v>0.185</v>
      </c>
      <c r="AT74" s="55">
        <v>0.45700000000000002</v>
      </c>
      <c r="AU74" s="43"/>
      <c r="AV74" s="109">
        <v>1063.8689999999999</v>
      </c>
      <c r="AW74" s="110">
        <v>0.43199995127220159</v>
      </c>
      <c r="AX74" s="109">
        <v>945.851</v>
      </c>
      <c r="AY74" s="110">
        <v>0.58858182949595517</v>
      </c>
      <c r="AZ74" s="109">
        <v>1121.4780000000001</v>
      </c>
      <c r="BA74" s="110">
        <v>0.5784392407674851</v>
      </c>
      <c r="BB74" s="43"/>
      <c r="BC74" s="112">
        <v>52500.305999999997</v>
      </c>
      <c r="BD74" s="110">
        <v>0.75409836065573765</v>
      </c>
      <c r="BE74" s="43"/>
      <c r="BF74" s="157">
        <v>738.65300000000002</v>
      </c>
      <c r="BG74" s="43">
        <v>0</v>
      </c>
      <c r="BH74" s="113">
        <v>0</v>
      </c>
      <c r="BI74" s="114">
        <v>2.2658067484662578E-2</v>
      </c>
      <c r="BJ74" s="115">
        <v>0</v>
      </c>
      <c r="BK74" s="113">
        <v>0</v>
      </c>
      <c r="BL74" s="113">
        <v>0</v>
      </c>
      <c r="BM74" s="113">
        <v>0</v>
      </c>
      <c r="BN74" s="113">
        <v>1402.748</v>
      </c>
      <c r="BO74" s="114">
        <v>0.10407686600385814</v>
      </c>
      <c r="BP74" s="115">
        <v>0</v>
      </c>
      <c r="BQ74" s="43">
        <v>7668</v>
      </c>
      <c r="BR74" s="43">
        <v>648.91754766999998</v>
      </c>
      <c r="BS74" s="43"/>
      <c r="BT74" s="116">
        <v>-700</v>
      </c>
      <c r="BU74" s="43">
        <v>0</v>
      </c>
      <c r="BV74" s="43">
        <v>4485</v>
      </c>
      <c r="BW74" s="43">
        <v>4485</v>
      </c>
      <c r="BX74" s="43">
        <v>0</v>
      </c>
      <c r="BY74" s="43">
        <v>0</v>
      </c>
      <c r="BZ74" s="43">
        <v>-5000</v>
      </c>
      <c r="CA74" s="43">
        <v>0</v>
      </c>
      <c r="CB74" s="43">
        <v>3800</v>
      </c>
      <c r="CC74" s="43">
        <v>3800</v>
      </c>
      <c r="CD74" s="43">
        <v>-4000</v>
      </c>
      <c r="CE74" s="43">
        <v>0</v>
      </c>
      <c r="CF74" s="43">
        <v>4800</v>
      </c>
      <c r="CG74" s="43">
        <v>4800</v>
      </c>
      <c r="CH74" s="43">
        <v>9009.3530017199992</v>
      </c>
      <c r="CI74" s="43">
        <v>9009.3530017199992</v>
      </c>
      <c r="CJ74" s="114">
        <v>22094.353001719999</v>
      </c>
      <c r="CK74" s="43"/>
      <c r="CL74" s="116">
        <v>-700</v>
      </c>
      <c r="CM74" s="43">
        <v>700</v>
      </c>
      <c r="CN74" s="43">
        <v>4485</v>
      </c>
      <c r="CO74" s="43">
        <v>0</v>
      </c>
      <c r="CP74" s="43">
        <v>0</v>
      </c>
      <c r="CQ74" s="43">
        <v>0</v>
      </c>
      <c r="CR74" s="43">
        <v>-5000</v>
      </c>
      <c r="CS74" s="43">
        <v>5000</v>
      </c>
      <c r="CT74" s="43">
        <v>3800</v>
      </c>
      <c r="CU74" s="43">
        <v>0</v>
      </c>
      <c r="CV74" s="43">
        <v>-4000</v>
      </c>
      <c r="CW74" s="43">
        <v>4000</v>
      </c>
      <c r="CX74" s="43">
        <v>4800</v>
      </c>
      <c r="CY74" s="43">
        <v>0</v>
      </c>
      <c r="CZ74" s="43">
        <v>9009.3530017199992</v>
      </c>
      <c r="DA74" s="43">
        <v>0</v>
      </c>
      <c r="DB74" s="114">
        <v>9700</v>
      </c>
      <c r="DC74" s="43"/>
      <c r="DD74" s="117">
        <v>34412.786999999997</v>
      </c>
      <c r="DE74" s="55">
        <v>2159.2689999999998</v>
      </c>
      <c r="DF74" s="59">
        <v>1434.8104802531</v>
      </c>
      <c r="DG74" s="59">
        <v>38006.866480253098</v>
      </c>
      <c r="DH74" s="117">
        <v>9017.3680000000004</v>
      </c>
      <c r="DI74" s="117">
        <v>61866.411</v>
      </c>
      <c r="DJ74" s="55">
        <v>6051</v>
      </c>
      <c r="DK74" s="114">
        <v>67917.410999999993</v>
      </c>
      <c r="DL74" s="43"/>
      <c r="DM74" s="117">
        <v>590.39700000000005</v>
      </c>
      <c r="DN74" s="55">
        <v>10493.065843074541</v>
      </c>
      <c r="DO74" s="55">
        <v>11083.462843074542</v>
      </c>
      <c r="DP74" s="59">
        <v>1235.3721215036271</v>
      </c>
      <c r="DQ74" s="59">
        <v>2899.4446020647688</v>
      </c>
      <c r="DR74" s="59">
        <v>0</v>
      </c>
      <c r="DS74" s="55">
        <v>2899.4446020647688</v>
      </c>
      <c r="DT74" s="55">
        <v>161.08025567026499</v>
      </c>
      <c r="DU74" s="55">
        <v>161.08025567026499</v>
      </c>
      <c r="DW74" s="121">
        <v>1982.3732839500001</v>
      </c>
      <c r="DX74" s="122">
        <v>0</v>
      </c>
      <c r="DY74" s="128">
        <v>271.02854033</v>
      </c>
      <c r="DZ74" s="128">
        <v>0</v>
      </c>
      <c r="EA74" s="121">
        <v>0</v>
      </c>
      <c r="EB74" s="122">
        <v>1553.672292</v>
      </c>
      <c r="EC74" s="121">
        <v>0</v>
      </c>
      <c r="ED74" s="122">
        <v>0</v>
      </c>
      <c r="EE74" s="121">
        <v>0</v>
      </c>
      <c r="EF74" s="122">
        <v>847.5</v>
      </c>
      <c r="EG74" s="121">
        <v>0</v>
      </c>
      <c r="EH74" s="122">
        <v>1545.15357365</v>
      </c>
      <c r="EI74" s="121">
        <v>1982.3732839500001</v>
      </c>
      <c r="EJ74" s="122">
        <v>0</v>
      </c>
      <c r="EK74" s="129">
        <v>1553.672292</v>
      </c>
      <c r="EL74" s="130">
        <v>847.5</v>
      </c>
      <c r="EM74" s="131">
        <v>735.83500000000004</v>
      </c>
      <c r="EN74" s="129">
        <v>0</v>
      </c>
      <c r="EO74" s="129">
        <v>2663.6821139799999</v>
      </c>
      <c r="EP74" s="129">
        <v>0</v>
      </c>
      <c r="ER74" s="157">
        <v>1173.9010000000001</v>
      </c>
      <c r="ES74" s="37">
        <v>3837.2917805000002</v>
      </c>
      <c r="ET74" s="55">
        <f t="shared" si="10"/>
        <v>0.17420130264954475</v>
      </c>
      <c r="EU74" s="157">
        <v>500.05599999999998</v>
      </c>
      <c r="EV74" s="37">
        <v>172.12799999999999</v>
      </c>
      <c r="EW74" s="55">
        <f t="shared" si="9"/>
        <v>0.36811909774172558</v>
      </c>
      <c r="EY74" s="166">
        <v>10447.41</v>
      </c>
      <c r="EZ74" s="37">
        <v>3156.57</v>
      </c>
      <c r="FA74" s="164">
        <f t="shared" si="11"/>
        <v>1</v>
      </c>
      <c r="FB74" s="5">
        <v>4613</v>
      </c>
      <c r="FC74" s="164">
        <f t="shared" si="12"/>
        <v>1</v>
      </c>
      <c r="FE74" s="5"/>
      <c r="FF74" s="166">
        <v>0</v>
      </c>
      <c r="FG74" s="37">
        <v>0</v>
      </c>
      <c r="FH74" s="164">
        <f t="shared" si="13"/>
        <v>0</v>
      </c>
      <c r="FI74" s="5">
        <v>0</v>
      </c>
      <c r="FJ74" s="164">
        <f t="shared" si="14"/>
        <v>0</v>
      </c>
      <c r="FL74" s="169">
        <v>7873</v>
      </c>
      <c r="FM74" s="170">
        <f t="shared" si="15"/>
        <v>0.68245451314546257</v>
      </c>
      <c r="FN74" s="169">
        <v>2591</v>
      </c>
      <c r="FO74" s="170">
        <f t="shared" si="16"/>
        <v>0.82634348588741824</v>
      </c>
    </row>
    <row r="75" spans="16:171" x14ac:dyDescent="0.35">
      <c r="P75" s="64">
        <v>73</v>
      </c>
      <c r="Q75" s="109">
        <v>0</v>
      </c>
      <c r="R75" s="110">
        <v>0</v>
      </c>
      <c r="S75" s="111">
        <v>0</v>
      </c>
      <c r="T75" s="110">
        <v>0</v>
      </c>
      <c r="U75" s="111">
        <v>0</v>
      </c>
      <c r="V75" s="110">
        <v>0</v>
      </c>
      <c r="W75" s="111">
        <v>0</v>
      </c>
      <c r="X75" s="110">
        <v>0</v>
      </c>
      <c r="Y75" s="111">
        <v>0</v>
      </c>
      <c r="Z75" s="110">
        <v>0</v>
      </c>
      <c r="AA75" s="111">
        <v>0</v>
      </c>
      <c r="AB75" s="110">
        <v>0</v>
      </c>
      <c r="AC75" s="111">
        <v>0</v>
      </c>
      <c r="AD75" s="110">
        <v>0</v>
      </c>
      <c r="AF75" s="64">
        <v>73</v>
      </c>
      <c r="AG75" s="109">
        <v>2046.9954</v>
      </c>
      <c r="AH75" s="111">
        <v>650.9</v>
      </c>
      <c r="AI75" s="109">
        <v>141.5</v>
      </c>
      <c r="AJ75" s="59">
        <v>2.3E-2</v>
      </c>
      <c r="AK75" s="59">
        <v>0.28299999999999997</v>
      </c>
      <c r="AL75" s="59">
        <v>0.28299999999999997</v>
      </c>
      <c r="AM75" s="110">
        <v>65.891999999999996</v>
      </c>
      <c r="AN75" s="111">
        <v>570.53639999999996</v>
      </c>
      <c r="AO75" s="59">
        <v>0.10199999999999999</v>
      </c>
      <c r="AP75" s="55">
        <v>4.8999999999999995E-2</v>
      </c>
      <c r="AQ75" s="109">
        <v>7403.6</v>
      </c>
      <c r="AR75" s="111">
        <v>10375.950000000001</v>
      </c>
      <c r="AS75" s="59">
        <v>0.16600000000000001</v>
      </c>
      <c r="AT75" s="55">
        <v>0.442</v>
      </c>
      <c r="AU75" s="43"/>
      <c r="AV75" s="109">
        <v>1004.765</v>
      </c>
      <c r="AW75" s="110">
        <v>0.40799988630180378</v>
      </c>
      <c r="AX75" s="109">
        <v>856.40499999999997</v>
      </c>
      <c r="AY75" s="110">
        <v>0.53292159303049158</v>
      </c>
      <c r="AZ75" s="109">
        <v>1121.4780000000001</v>
      </c>
      <c r="BA75" s="110">
        <v>0.5784392407674851</v>
      </c>
      <c r="BB75" s="43"/>
      <c r="BC75" s="112">
        <v>52500.305999999997</v>
      </c>
      <c r="BD75" s="110">
        <v>0.75409836065573765</v>
      </c>
      <c r="BE75" s="43"/>
      <c r="BF75" s="157">
        <v>866.29899999999998</v>
      </c>
      <c r="BG75" s="43">
        <v>0</v>
      </c>
      <c r="BH75" s="113">
        <v>0</v>
      </c>
      <c r="BI75" s="114">
        <v>2.6573588957055215E-2</v>
      </c>
      <c r="BJ75" s="115">
        <v>0</v>
      </c>
      <c r="BK75" s="113">
        <v>0</v>
      </c>
      <c r="BL75" s="113">
        <v>0</v>
      </c>
      <c r="BM75" s="113">
        <v>0</v>
      </c>
      <c r="BN75" s="113">
        <v>1354.944</v>
      </c>
      <c r="BO75" s="114">
        <v>0.10053004896868971</v>
      </c>
      <c r="BP75" s="115">
        <v>0</v>
      </c>
      <c r="BQ75" s="43">
        <v>7668</v>
      </c>
      <c r="BR75" s="43">
        <v>648.91656161999992</v>
      </c>
      <c r="BS75" s="43"/>
      <c r="BT75" s="116">
        <v>-700</v>
      </c>
      <c r="BU75" s="43">
        <v>0</v>
      </c>
      <c r="BV75" s="43">
        <v>4485</v>
      </c>
      <c r="BW75" s="43">
        <v>4485</v>
      </c>
      <c r="BX75" s="43">
        <v>0</v>
      </c>
      <c r="BY75" s="43">
        <v>0</v>
      </c>
      <c r="BZ75" s="43">
        <v>-5000</v>
      </c>
      <c r="CA75" s="43">
        <v>0</v>
      </c>
      <c r="CB75" s="43">
        <v>3800</v>
      </c>
      <c r="CC75" s="43">
        <v>3800</v>
      </c>
      <c r="CD75" s="43">
        <v>-4000</v>
      </c>
      <c r="CE75" s="43">
        <v>0</v>
      </c>
      <c r="CF75" s="43">
        <v>4800</v>
      </c>
      <c r="CG75" s="43">
        <v>4800</v>
      </c>
      <c r="CH75" s="43">
        <v>11018.10151181</v>
      </c>
      <c r="CI75" s="43">
        <v>11018.10151181</v>
      </c>
      <c r="CJ75" s="114">
        <v>24103.10151181</v>
      </c>
      <c r="CK75" s="43"/>
      <c r="CL75" s="116">
        <v>-700</v>
      </c>
      <c r="CM75" s="43">
        <v>700</v>
      </c>
      <c r="CN75" s="43">
        <v>4485</v>
      </c>
      <c r="CO75" s="43">
        <v>0</v>
      </c>
      <c r="CP75" s="43">
        <v>0</v>
      </c>
      <c r="CQ75" s="43">
        <v>0</v>
      </c>
      <c r="CR75" s="43">
        <v>-5000</v>
      </c>
      <c r="CS75" s="43">
        <v>5000</v>
      </c>
      <c r="CT75" s="43">
        <v>3800</v>
      </c>
      <c r="CU75" s="43">
        <v>0</v>
      </c>
      <c r="CV75" s="43">
        <v>-4000</v>
      </c>
      <c r="CW75" s="43">
        <v>4000</v>
      </c>
      <c r="CX75" s="43">
        <v>4800</v>
      </c>
      <c r="CY75" s="43">
        <v>0</v>
      </c>
      <c r="CZ75" s="43">
        <v>11018.10151181</v>
      </c>
      <c r="DA75" s="43">
        <v>0</v>
      </c>
      <c r="DB75" s="114">
        <v>9700</v>
      </c>
      <c r="DC75" s="43"/>
      <c r="DD75" s="117">
        <v>31879.097000000002</v>
      </c>
      <c r="DE75" s="55">
        <v>2071.857</v>
      </c>
      <c r="DF75" s="59">
        <v>1179.3368011982</v>
      </c>
      <c r="DG75" s="59">
        <v>35130.2908011982</v>
      </c>
      <c r="DH75" s="117">
        <v>8306.5280000000002</v>
      </c>
      <c r="DI75" s="117">
        <v>57591.411</v>
      </c>
      <c r="DJ75" s="55">
        <v>6075</v>
      </c>
      <c r="DK75" s="114">
        <v>63666.411</v>
      </c>
      <c r="DL75" s="43"/>
      <c r="DM75" s="117">
        <v>659.68</v>
      </c>
      <c r="DN75" s="55">
        <v>10493.065843074541</v>
      </c>
      <c r="DO75" s="55">
        <v>11152.745843074541</v>
      </c>
      <c r="DP75" s="59">
        <v>1169.3240409390189</v>
      </c>
      <c r="DQ75" s="59">
        <v>2899.4268531643638</v>
      </c>
      <c r="DR75" s="59">
        <v>0</v>
      </c>
      <c r="DS75" s="55">
        <v>2899.4268531643638</v>
      </c>
      <c r="DT75" s="55">
        <v>161.07926962024251</v>
      </c>
      <c r="DU75" s="55">
        <v>161.07926962024251</v>
      </c>
      <c r="DW75" s="121">
        <v>1859.63639734</v>
      </c>
      <c r="DX75" s="122">
        <v>0</v>
      </c>
      <c r="DY75" s="128">
        <v>522.60854032999998</v>
      </c>
      <c r="DZ75" s="128">
        <v>0</v>
      </c>
      <c r="EA75" s="121">
        <v>0</v>
      </c>
      <c r="EB75" s="122">
        <v>1553.672292</v>
      </c>
      <c r="EC75" s="121">
        <v>0</v>
      </c>
      <c r="ED75" s="122">
        <v>0</v>
      </c>
      <c r="EE75" s="121">
        <v>0</v>
      </c>
      <c r="EF75" s="122">
        <v>847.5</v>
      </c>
      <c r="EG75" s="121">
        <v>0</v>
      </c>
      <c r="EH75" s="122">
        <v>1416.3282091599999</v>
      </c>
      <c r="EI75" s="121">
        <v>1859.63639734</v>
      </c>
      <c r="EJ75" s="122">
        <v>0</v>
      </c>
      <c r="EK75" s="129">
        <v>1553.672292</v>
      </c>
      <c r="EL75" s="130">
        <v>847.5</v>
      </c>
      <c r="EM75" s="131">
        <v>735.83500000000004</v>
      </c>
      <c r="EN75" s="129">
        <v>0</v>
      </c>
      <c r="EO75" s="129">
        <v>2786.4367494899998</v>
      </c>
      <c r="EP75" s="129">
        <v>0</v>
      </c>
      <c r="ER75" s="157">
        <v>1152.7339999999999</v>
      </c>
      <c r="ES75" s="37">
        <v>3533.9705572799999</v>
      </c>
      <c r="ET75" s="55">
        <f t="shared" si="10"/>
        <v>0.16292129933390292</v>
      </c>
      <c r="EU75" s="157">
        <v>500.05599999999998</v>
      </c>
      <c r="EV75" s="37">
        <v>152.39400000000001</v>
      </c>
      <c r="EW75" s="55">
        <f t="shared" si="9"/>
        <v>0.35731184515190617</v>
      </c>
      <c r="EY75" s="166">
        <v>7021.1507405900002</v>
      </c>
      <c r="EZ75" s="37">
        <v>3156.57</v>
      </c>
      <c r="FA75" s="164">
        <f t="shared" si="11"/>
        <v>0.74814287734839369</v>
      </c>
      <c r="FB75" s="5">
        <v>4613</v>
      </c>
      <c r="FC75" s="164">
        <f t="shared" si="12"/>
        <v>1</v>
      </c>
      <c r="FE75" s="5"/>
      <c r="FF75" s="166">
        <v>0</v>
      </c>
      <c r="FG75" s="37">
        <v>0</v>
      </c>
      <c r="FH75" s="164">
        <f t="shared" si="13"/>
        <v>0</v>
      </c>
      <c r="FI75" s="5">
        <v>0</v>
      </c>
      <c r="FJ75" s="164">
        <f t="shared" si="14"/>
        <v>0</v>
      </c>
      <c r="FL75" s="169">
        <v>7873</v>
      </c>
      <c r="FM75" s="170">
        <f t="shared" si="15"/>
        <v>0.68245451314546257</v>
      </c>
      <c r="FN75" s="169">
        <v>2591</v>
      </c>
      <c r="FO75" s="170">
        <f t="shared" si="16"/>
        <v>0.82634348588741824</v>
      </c>
    </row>
    <row r="76" spans="16:171" x14ac:dyDescent="0.35">
      <c r="P76" s="64">
        <v>74</v>
      </c>
      <c r="Q76" s="109">
        <v>0</v>
      </c>
      <c r="R76" s="110">
        <v>0</v>
      </c>
      <c r="S76" s="111">
        <v>0</v>
      </c>
      <c r="T76" s="110">
        <v>0</v>
      </c>
      <c r="U76" s="111">
        <v>0</v>
      </c>
      <c r="V76" s="110">
        <v>0</v>
      </c>
      <c r="W76" s="111">
        <v>0</v>
      </c>
      <c r="X76" s="110">
        <v>0</v>
      </c>
      <c r="Y76" s="111">
        <v>0</v>
      </c>
      <c r="Z76" s="110">
        <v>0</v>
      </c>
      <c r="AA76" s="111">
        <v>0</v>
      </c>
      <c r="AB76" s="110">
        <v>0</v>
      </c>
      <c r="AC76" s="111">
        <v>0</v>
      </c>
      <c r="AD76" s="110">
        <v>0</v>
      </c>
      <c r="AF76" s="64">
        <v>74</v>
      </c>
      <c r="AG76" s="109">
        <v>2402.9946</v>
      </c>
      <c r="AH76" s="111">
        <v>759</v>
      </c>
      <c r="AI76" s="109">
        <v>165</v>
      </c>
      <c r="AJ76" s="59">
        <v>2.7E-2</v>
      </c>
      <c r="AK76" s="59">
        <v>0.33</v>
      </c>
      <c r="AL76" s="59">
        <v>0.33</v>
      </c>
      <c r="AM76" s="110">
        <v>61.37</v>
      </c>
      <c r="AN76" s="111">
        <v>558.89279999999997</v>
      </c>
      <c r="AO76" s="59">
        <v>9.5000000000000001E-2</v>
      </c>
      <c r="AP76" s="55">
        <v>4.7999999999999994E-2</v>
      </c>
      <c r="AQ76" s="109">
        <v>7046.8</v>
      </c>
      <c r="AR76" s="111">
        <v>10305.525</v>
      </c>
      <c r="AS76" s="59">
        <v>0.158</v>
      </c>
      <c r="AT76" s="55">
        <v>0.439</v>
      </c>
      <c r="AU76" s="43"/>
      <c r="AV76" s="109">
        <v>982.601</v>
      </c>
      <c r="AW76" s="110">
        <v>0.39899986193790454</v>
      </c>
      <c r="AX76" s="109">
        <v>849.18200000000002</v>
      </c>
      <c r="AY76" s="110">
        <v>0.52842688238954572</v>
      </c>
      <c r="AZ76" s="109">
        <v>1121.4780000000001</v>
      </c>
      <c r="BA76" s="110">
        <v>0.5784392407674851</v>
      </c>
      <c r="BB76" s="43"/>
      <c r="BC76" s="112">
        <v>52500.305999999997</v>
      </c>
      <c r="BD76" s="110">
        <v>0.75409836065573765</v>
      </c>
      <c r="BE76" s="43"/>
      <c r="BF76" s="157">
        <v>1015.79</v>
      </c>
      <c r="BG76" s="43">
        <v>0</v>
      </c>
      <c r="BH76" s="113">
        <v>0</v>
      </c>
      <c r="BI76" s="114">
        <v>3.115920245398773E-2</v>
      </c>
      <c r="BJ76" s="115">
        <v>0</v>
      </c>
      <c r="BK76" s="113">
        <v>0</v>
      </c>
      <c r="BL76" s="113">
        <v>0</v>
      </c>
      <c r="BM76" s="113">
        <v>0</v>
      </c>
      <c r="BN76" s="113">
        <v>1271.5160000000001</v>
      </c>
      <c r="BO76" s="114">
        <v>9.4340109808576947E-2</v>
      </c>
      <c r="BP76" s="115">
        <v>0</v>
      </c>
      <c r="BQ76" s="43">
        <v>7668</v>
      </c>
      <c r="BR76" s="43">
        <v>648.91656161999992</v>
      </c>
      <c r="BS76" s="43"/>
      <c r="BT76" s="116">
        <v>-700</v>
      </c>
      <c r="BU76" s="43">
        <v>0</v>
      </c>
      <c r="BV76" s="43">
        <v>4485</v>
      </c>
      <c r="BW76" s="43">
        <v>4485</v>
      </c>
      <c r="BX76" s="43">
        <v>0</v>
      </c>
      <c r="BY76" s="43">
        <v>0</v>
      </c>
      <c r="BZ76" s="43">
        <v>-5000</v>
      </c>
      <c r="CA76" s="43">
        <v>0</v>
      </c>
      <c r="CB76" s="43">
        <v>3800</v>
      </c>
      <c r="CC76" s="43">
        <v>3800</v>
      </c>
      <c r="CD76" s="43">
        <v>-4000</v>
      </c>
      <c r="CE76" s="43">
        <v>0</v>
      </c>
      <c r="CF76" s="43">
        <v>4800</v>
      </c>
      <c r="CG76" s="43">
        <v>4800</v>
      </c>
      <c r="CH76" s="43">
        <v>11369.140885389999</v>
      </c>
      <c r="CI76" s="43">
        <v>11369.140885389999</v>
      </c>
      <c r="CJ76" s="114">
        <v>24454.140885389999</v>
      </c>
      <c r="CK76" s="43"/>
      <c r="CL76" s="116">
        <v>-700</v>
      </c>
      <c r="CM76" s="43">
        <v>700</v>
      </c>
      <c r="CN76" s="43">
        <v>4485</v>
      </c>
      <c r="CO76" s="43">
        <v>0</v>
      </c>
      <c r="CP76" s="43">
        <v>0</v>
      </c>
      <c r="CQ76" s="43">
        <v>0</v>
      </c>
      <c r="CR76" s="43">
        <v>-5000</v>
      </c>
      <c r="CS76" s="43">
        <v>5000</v>
      </c>
      <c r="CT76" s="43">
        <v>3800</v>
      </c>
      <c r="CU76" s="43">
        <v>0</v>
      </c>
      <c r="CV76" s="43">
        <v>-4000</v>
      </c>
      <c r="CW76" s="43">
        <v>4000</v>
      </c>
      <c r="CX76" s="43">
        <v>4800</v>
      </c>
      <c r="CY76" s="43">
        <v>0</v>
      </c>
      <c r="CZ76" s="43">
        <v>11369.140885389999</v>
      </c>
      <c r="DA76" s="43">
        <v>0</v>
      </c>
      <c r="DB76" s="114">
        <v>9700</v>
      </c>
      <c r="DC76" s="43"/>
      <c r="DD76" s="117">
        <v>30150.97</v>
      </c>
      <c r="DE76" s="55">
        <v>1998.008</v>
      </c>
      <c r="DF76" s="59">
        <v>896.42868943259998</v>
      </c>
      <c r="DG76" s="59">
        <v>33045.406689432602</v>
      </c>
      <c r="DH76" s="117">
        <v>7898.0619999999999</v>
      </c>
      <c r="DI76" s="117">
        <v>55661.411</v>
      </c>
      <c r="DJ76" s="55">
        <v>6145</v>
      </c>
      <c r="DK76" s="114">
        <v>61806.411</v>
      </c>
      <c r="DL76" s="43"/>
      <c r="DM76" s="117">
        <v>624.99900000000002</v>
      </c>
      <c r="DN76" s="55">
        <v>10493.065843074541</v>
      </c>
      <c r="DO76" s="55">
        <v>11118.06484307454</v>
      </c>
      <c r="DP76" s="59">
        <v>1169.3240409390189</v>
      </c>
      <c r="DQ76" s="59">
        <v>2899.4268531643638</v>
      </c>
      <c r="DR76" s="59">
        <v>0</v>
      </c>
      <c r="DS76" s="55">
        <v>2899.4268531643638</v>
      </c>
      <c r="DT76" s="55">
        <v>161.07926962024251</v>
      </c>
      <c r="DU76" s="55">
        <v>161.07926962024251</v>
      </c>
      <c r="DW76" s="121">
        <v>1812.7316673400001</v>
      </c>
      <c r="DX76" s="122">
        <v>0</v>
      </c>
      <c r="DY76" s="128">
        <v>774.18854033000002</v>
      </c>
      <c r="DZ76" s="128">
        <v>0</v>
      </c>
      <c r="EA76" s="121">
        <v>0</v>
      </c>
      <c r="EB76" s="122">
        <v>1553.672292</v>
      </c>
      <c r="EC76" s="121">
        <v>0</v>
      </c>
      <c r="ED76" s="122">
        <v>0</v>
      </c>
      <c r="EE76" s="121">
        <v>0</v>
      </c>
      <c r="EF76" s="122">
        <v>847.5</v>
      </c>
      <c r="EG76" s="121">
        <v>0</v>
      </c>
      <c r="EH76" s="122">
        <v>1211.65293916</v>
      </c>
      <c r="EI76" s="121">
        <v>1812.7316673400001</v>
      </c>
      <c r="EJ76" s="122">
        <v>0</v>
      </c>
      <c r="EK76" s="129">
        <v>1553.672292</v>
      </c>
      <c r="EL76" s="130">
        <v>847.5</v>
      </c>
      <c r="EM76" s="131">
        <v>735.83500000000004</v>
      </c>
      <c r="EN76" s="129">
        <v>0</v>
      </c>
      <c r="EO76" s="129">
        <v>2833.34147949</v>
      </c>
      <c r="EP76" s="129">
        <v>0</v>
      </c>
      <c r="ER76" s="157">
        <v>1148.57</v>
      </c>
      <c r="ES76" s="37">
        <v>2021.79975756</v>
      </c>
      <c r="ET76" s="55">
        <f t="shared" si="10"/>
        <v>0.11020979751502763</v>
      </c>
      <c r="EU76" s="157">
        <v>500.05599999999998</v>
      </c>
      <c r="EV76" s="37">
        <v>150.54599999999999</v>
      </c>
      <c r="EW76" s="55">
        <f t="shared" si="9"/>
        <v>0.35629979474215712</v>
      </c>
      <c r="EY76" s="166">
        <v>5835.16834457</v>
      </c>
      <c r="EZ76" s="37">
        <v>3156.57</v>
      </c>
      <c r="FA76" s="164">
        <f t="shared" si="11"/>
        <v>0.66096380210570727</v>
      </c>
      <c r="FB76" s="5">
        <v>4613</v>
      </c>
      <c r="FC76" s="164">
        <f t="shared" si="12"/>
        <v>1</v>
      </c>
      <c r="FE76" s="5"/>
      <c r="FF76" s="166">
        <v>0</v>
      </c>
      <c r="FG76" s="37">
        <v>0</v>
      </c>
      <c r="FH76" s="164">
        <f t="shared" si="13"/>
        <v>0</v>
      </c>
      <c r="FI76" s="5">
        <v>0</v>
      </c>
      <c r="FJ76" s="164">
        <f t="shared" si="14"/>
        <v>0</v>
      </c>
      <c r="FL76" s="169">
        <v>7873</v>
      </c>
      <c r="FM76" s="170">
        <f t="shared" si="15"/>
        <v>0.68245451314546257</v>
      </c>
      <c r="FN76" s="169">
        <v>2591</v>
      </c>
      <c r="FO76" s="170">
        <f t="shared" si="16"/>
        <v>0.82634348588741824</v>
      </c>
    </row>
    <row r="77" spans="16:171" x14ac:dyDescent="0.35">
      <c r="P77" s="64">
        <v>75</v>
      </c>
      <c r="Q77" s="109">
        <v>0</v>
      </c>
      <c r="R77" s="110">
        <v>0</v>
      </c>
      <c r="S77" s="111">
        <v>0</v>
      </c>
      <c r="T77" s="110">
        <v>0</v>
      </c>
      <c r="U77" s="111">
        <v>0</v>
      </c>
      <c r="V77" s="110">
        <v>0</v>
      </c>
      <c r="W77" s="111">
        <v>0</v>
      </c>
      <c r="X77" s="110">
        <v>0</v>
      </c>
      <c r="Y77" s="111">
        <v>0</v>
      </c>
      <c r="Z77" s="110">
        <v>0</v>
      </c>
      <c r="AA77" s="111">
        <v>0</v>
      </c>
      <c r="AB77" s="110">
        <v>0</v>
      </c>
      <c r="AC77" s="111">
        <v>0</v>
      </c>
      <c r="AD77" s="110">
        <v>0</v>
      </c>
      <c r="AF77" s="64">
        <v>75</v>
      </c>
      <c r="AG77" s="109">
        <v>2936.9933999999998</v>
      </c>
      <c r="AH77" s="111">
        <v>867.1</v>
      </c>
      <c r="AI77" s="109">
        <v>188.5</v>
      </c>
      <c r="AJ77" s="59">
        <v>3.2999999999999995E-2</v>
      </c>
      <c r="AK77" s="59">
        <v>0.377</v>
      </c>
      <c r="AL77" s="59">
        <v>0.377</v>
      </c>
      <c r="AM77" s="110">
        <v>60.078000000000003</v>
      </c>
      <c r="AN77" s="111">
        <v>547.24919999999997</v>
      </c>
      <c r="AO77" s="59">
        <v>9.2999999999999999E-2</v>
      </c>
      <c r="AP77" s="55">
        <v>4.6999999999999993E-2</v>
      </c>
      <c r="AQ77" s="109">
        <v>6645.4</v>
      </c>
      <c r="AR77" s="111">
        <v>10188.15</v>
      </c>
      <c r="AS77" s="59">
        <v>0.14899999999999999</v>
      </c>
      <c r="AT77" s="55">
        <v>0.434</v>
      </c>
      <c r="AU77" s="43"/>
      <c r="AV77" s="109">
        <v>980.13900000000001</v>
      </c>
      <c r="AW77" s="110">
        <v>0.39800012994079575</v>
      </c>
      <c r="AX77" s="109">
        <v>845.53800000000001</v>
      </c>
      <c r="AY77" s="110">
        <v>0.52615930304915992</v>
      </c>
      <c r="AZ77" s="109">
        <v>1121.4780000000001</v>
      </c>
      <c r="BA77" s="110">
        <v>0.5784392407674851</v>
      </c>
      <c r="BB77" s="43"/>
      <c r="BC77" s="112">
        <v>52500.305999999997</v>
      </c>
      <c r="BD77" s="110">
        <v>0.75409836065573765</v>
      </c>
      <c r="BE77" s="43"/>
      <c r="BF77" s="157">
        <v>1240.731</v>
      </c>
      <c r="BG77" s="43">
        <v>0</v>
      </c>
      <c r="BH77" s="113">
        <v>0</v>
      </c>
      <c r="BI77" s="114">
        <v>3.8059233128834358E-2</v>
      </c>
      <c r="BJ77" s="115">
        <v>0</v>
      </c>
      <c r="BK77" s="113">
        <v>0</v>
      </c>
      <c r="BL77" s="113">
        <v>0</v>
      </c>
      <c r="BM77" s="113">
        <v>0</v>
      </c>
      <c r="BN77" s="113">
        <v>1259.7349999999999</v>
      </c>
      <c r="BO77" s="114">
        <v>9.3466018697136069E-2</v>
      </c>
      <c r="BP77" s="115">
        <v>0</v>
      </c>
      <c r="BQ77" s="43">
        <v>7668</v>
      </c>
      <c r="BR77" s="43">
        <v>648.91656161999992</v>
      </c>
      <c r="BS77" s="43"/>
      <c r="BT77" s="116">
        <v>-700</v>
      </c>
      <c r="BU77" s="43">
        <v>0</v>
      </c>
      <c r="BV77" s="43">
        <v>4485</v>
      </c>
      <c r="BW77" s="43">
        <v>4485</v>
      </c>
      <c r="BX77" s="43">
        <v>0</v>
      </c>
      <c r="BY77" s="43">
        <v>0</v>
      </c>
      <c r="BZ77" s="43">
        <v>-5000</v>
      </c>
      <c r="CA77" s="43">
        <v>0</v>
      </c>
      <c r="CB77" s="43">
        <v>3798.7846338999998</v>
      </c>
      <c r="CC77" s="43">
        <v>3798.7846338999998</v>
      </c>
      <c r="CD77" s="43">
        <v>-4000</v>
      </c>
      <c r="CE77" s="43">
        <v>0</v>
      </c>
      <c r="CF77" s="43">
        <v>4800</v>
      </c>
      <c r="CG77" s="43">
        <v>4800</v>
      </c>
      <c r="CH77" s="43">
        <v>10764.868305280001</v>
      </c>
      <c r="CI77" s="43">
        <v>10764.868305280001</v>
      </c>
      <c r="CJ77" s="114">
        <v>23848.65293918</v>
      </c>
      <c r="CK77" s="43"/>
      <c r="CL77" s="116">
        <v>-700</v>
      </c>
      <c r="CM77" s="43">
        <v>700</v>
      </c>
      <c r="CN77" s="43">
        <v>4485</v>
      </c>
      <c r="CO77" s="43">
        <v>0</v>
      </c>
      <c r="CP77" s="43">
        <v>0</v>
      </c>
      <c r="CQ77" s="43">
        <v>0</v>
      </c>
      <c r="CR77" s="43">
        <v>-5000</v>
      </c>
      <c r="CS77" s="43">
        <v>5000</v>
      </c>
      <c r="CT77" s="43">
        <v>3798.7846338999998</v>
      </c>
      <c r="CU77" s="43">
        <v>0</v>
      </c>
      <c r="CV77" s="43">
        <v>-4000</v>
      </c>
      <c r="CW77" s="43">
        <v>4000</v>
      </c>
      <c r="CX77" s="43">
        <v>4800</v>
      </c>
      <c r="CY77" s="43">
        <v>0</v>
      </c>
      <c r="CZ77" s="43">
        <v>10764.868305280001</v>
      </c>
      <c r="DA77" s="43">
        <v>0</v>
      </c>
      <c r="DB77" s="114">
        <v>9700</v>
      </c>
      <c r="DC77" s="43"/>
      <c r="DD77" s="117">
        <v>29181.821</v>
      </c>
      <c r="DE77" s="55">
        <v>1956.6310000000001</v>
      </c>
      <c r="DF77" s="59">
        <v>1480.1251400051999</v>
      </c>
      <c r="DG77" s="59">
        <v>32618.5771400052</v>
      </c>
      <c r="DH77" s="117">
        <v>7535.4129999999996</v>
      </c>
      <c r="DI77" s="117">
        <v>52966.411</v>
      </c>
      <c r="DJ77" s="55">
        <v>6266</v>
      </c>
      <c r="DK77" s="114">
        <v>59232.411</v>
      </c>
      <c r="DL77" s="43"/>
      <c r="DM77" s="117">
        <v>721.03</v>
      </c>
      <c r="DN77" s="55">
        <v>10493.065843074541</v>
      </c>
      <c r="DO77" s="55">
        <v>11214.095843074541</v>
      </c>
      <c r="DP77" s="59">
        <v>1169.3240409390189</v>
      </c>
      <c r="DQ77" s="59">
        <v>2899.4268531643638</v>
      </c>
      <c r="DR77" s="59">
        <v>0</v>
      </c>
      <c r="DS77" s="55">
        <v>2899.4268531643638</v>
      </c>
      <c r="DT77" s="55">
        <v>161.07926962024251</v>
      </c>
      <c r="DU77" s="55">
        <v>161.07926962024251</v>
      </c>
      <c r="DW77" s="121">
        <v>1661.3880673399999</v>
      </c>
      <c r="DX77" s="122">
        <v>0</v>
      </c>
      <c r="DY77" s="128">
        <v>522.60854032999998</v>
      </c>
      <c r="DZ77" s="128">
        <v>0</v>
      </c>
      <c r="EA77" s="121">
        <v>0</v>
      </c>
      <c r="EB77" s="122">
        <v>1553.672292</v>
      </c>
      <c r="EC77" s="121">
        <v>0</v>
      </c>
      <c r="ED77" s="122">
        <v>0</v>
      </c>
      <c r="EE77" s="121">
        <v>0</v>
      </c>
      <c r="EF77" s="122">
        <v>847.5</v>
      </c>
      <c r="EG77" s="121">
        <v>0</v>
      </c>
      <c r="EH77" s="122">
        <v>1614.57653916</v>
      </c>
      <c r="EI77" s="121">
        <v>1661.3880673399999</v>
      </c>
      <c r="EJ77" s="122">
        <v>0</v>
      </c>
      <c r="EK77" s="129">
        <v>1553.672292</v>
      </c>
      <c r="EL77" s="130">
        <v>847.5</v>
      </c>
      <c r="EM77" s="131">
        <v>735.83500000000004</v>
      </c>
      <c r="EN77" s="129">
        <v>0</v>
      </c>
      <c r="EO77" s="129">
        <v>2984.6850794900001</v>
      </c>
      <c r="EP77" s="129">
        <v>0</v>
      </c>
      <c r="ER77" s="157">
        <v>1140.242</v>
      </c>
      <c r="ES77" s="37">
        <v>2021.79975756</v>
      </c>
      <c r="ET77" s="55">
        <f t="shared" si="10"/>
        <v>0.10992029589096106</v>
      </c>
      <c r="EU77" s="157">
        <v>500.05599999999998</v>
      </c>
      <c r="EV77" s="37">
        <v>151.00800000000001</v>
      </c>
      <c r="EW77" s="55">
        <f t="shared" si="9"/>
        <v>0.35655280734459438</v>
      </c>
      <c r="EY77" s="166">
        <v>3784.11065521</v>
      </c>
      <c r="EZ77" s="37">
        <v>3156.57</v>
      </c>
      <c r="FA77" s="164">
        <f t="shared" si="11"/>
        <v>0.51019485879941029</v>
      </c>
      <c r="FB77" s="5">
        <v>4613</v>
      </c>
      <c r="FC77" s="164">
        <f t="shared" si="12"/>
        <v>1</v>
      </c>
      <c r="FE77" s="5"/>
      <c r="FF77" s="166">
        <v>0</v>
      </c>
      <c r="FG77" s="37">
        <v>0</v>
      </c>
      <c r="FH77" s="164">
        <f t="shared" si="13"/>
        <v>0</v>
      </c>
      <c r="FI77" s="5">
        <v>0</v>
      </c>
      <c r="FJ77" s="164">
        <f t="shared" si="14"/>
        <v>0</v>
      </c>
      <c r="FL77" s="169">
        <v>7873</v>
      </c>
      <c r="FM77" s="170">
        <f t="shared" si="15"/>
        <v>0.68245451314546257</v>
      </c>
      <c r="FN77" s="169">
        <v>2591</v>
      </c>
      <c r="FO77" s="170">
        <f t="shared" si="16"/>
        <v>0.82634348588741824</v>
      </c>
    </row>
    <row r="78" spans="16:171" x14ac:dyDescent="0.35">
      <c r="P78" s="64">
        <v>76</v>
      </c>
      <c r="Q78" s="109">
        <v>0</v>
      </c>
      <c r="R78" s="110">
        <v>0</v>
      </c>
      <c r="S78" s="111">
        <v>0</v>
      </c>
      <c r="T78" s="110">
        <v>0</v>
      </c>
      <c r="U78" s="111">
        <v>0</v>
      </c>
      <c r="V78" s="110">
        <v>0</v>
      </c>
      <c r="W78" s="111">
        <v>0</v>
      </c>
      <c r="X78" s="110">
        <v>0</v>
      </c>
      <c r="Y78" s="111">
        <v>0</v>
      </c>
      <c r="Z78" s="110">
        <v>0</v>
      </c>
      <c r="AA78" s="111">
        <v>0</v>
      </c>
      <c r="AB78" s="110">
        <v>0</v>
      </c>
      <c r="AC78" s="111">
        <v>0</v>
      </c>
      <c r="AD78" s="110">
        <v>0</v>
      </c>
      <c r="AF78" s="64">
        <v>76</v>
      </c>
      <c r="AG78" s="109">
        <v>3648.9917999999998</v>
      </c>
      <c r="AH78" s="111">
        <v>959.1</v>
      </c>
      <c r="AI78" s="109">
        <v>208.5</v>
      </c>
      <c r="AJ78" s="59">
        <v>4.0999999999999995E-2</v>
      </c>
      <c r="AK78" s="59">
        <v>0.41700000000000004</v>
      </c>
      <c r="AL78" s="59">
        <v>0.41699999999999998</v>
      </c>
      <c r="AM78" s="110">
        <v>60.078000000000003</v>
      </c>
      <c r="AN78" s="111">
        <v>500.6748</v>
      </c>
      <c r="AO78" s="59">
        <v>9.2999999999999999E-2</v>
      </c>
      <c r="AP78" s="55">
        <v>4.2999999999999997E-2</v>
      </c>
      <c r="AQ78" s="109">
        <v>6467</v>
      </c>
      <c r="AR78" s="111">
        <v>10493.325000000001</v>
      </c>
      <c r="AS78" s="59">
        <v>0.14499999999999999</v>
      </c>
      <c r="AT78" s="55">
        <v>0.44700000000000001</v>
      </c>
      <c r="AU78" s="43"/>
      <c r="AV78" s="109">
        <v>975.21299999999997</v>
      </c>
      <c r="AW78" s="110">
        <v>0.3959998538166048</v>
      </c>
      <c r="AX78" s="109">
        <v>846.03599999999994</v>
      </c>
      <c r="AY78" s="110">
        <v>0.52646919726197883</v>
      </c>
      <c r="AZ78" s="109">
        <v>1121.4780000000001</v>
      </c>
      <c r="BA78" s="110">
        <v>0.5784392407674851</v>
      </c>
      <c r="BB78" s="43"/>
      <c r="BC78" s="112">
        <v>52500.305999999997</v>
      </c>
      <c r="BD78" s="110">
        <v>0.75409836065573765</v>
      </c>
      <c r="BE78" s="43"/>
      <c r="BF78" s="157">
        <v>1542.0930000000001</v>
      </c>
      <c r="BG78" s="43">
        <v>0</v>
      </c>
      <c r="BH78" s="113">
        <v>0</v>
      </c>
      <c r="BI78" s="114">
        <v>4.7303466257668715E-2</v>
      </c>
      <c r="BJ78" s="115">
        <v>0</v>
      </c>
      <c r="BK78" s="113">
        <v>0</v>
      </c>
      <c r="BL78" s="113">
        <v>0</v>
      </c>
      <c r="BM78" s="113">
        <v>0</v>
      </c>
      <c r="BN78" s="113">
        <v>1268.848</v>
      </c>
      <c r="BO78" s="114">
        <v>9.4142157590146908E-2</v>
      </c>
      <c r="BP78" s="115">
        <v>0</v>
      </c>
      <c r="BQ78" s="43">
        <v>7668</v>
      </c>
      <c r="BR78" s="43">
        <v>648.91656161999992</v>
      </c>
      <c r="BS78" s="43"/>
      <c r="BT78" s="116">
        <v>-700</v>
      </c>
      <c r="BU78" s="43">
        <v>0</v>
      </c>
      <c r="BV78" s="43">
        <v>4485</v>
      </c>
      <c r="BW78" s="43">
        <v>4485</v>
      </c>
      <c r="BX78" s="43">
        <v>0</v>
      </c>
      <c r="BY78" s="43">
        <v>0</v>
      </c>
      <c r="BZ78" s="43">
        <v>-5000</v>
      </c>
      <c r="CA78" s="43">
        <v>0</v>
      </c>
      <c r="CB78" s="43">
        <v>1594.56085736</v>
      </c>
      <c r="CC78" s="43">
        <v>1594.56085736</v>
      </c>
      <c r="CD78" s="43">
        <v>-4000</v>
      </c>
      <c r="CE78" s="43">
        <v>0</v>
      </c>
      <c r="CF78" s="43">
        <v>4800</v>
      </c>
      <c r="CG78" s="43">
        <v>4800</v>
      </c>
      <c r="CH78" s="43">
        <v>10379.93016704</v>
      </c>
      <c r="CI78" s="43">
        <v>10379.93016704</v>
      </c>
      <c r="CJ78" s="114">
        <v>21259.491024399998</v>
      </c>
      <c r="CK78" s="43"/>
      <c r="CL78" s="116">
        <v>-700</v>
      </c>
      <c r="CM78" s="43">
        <v>700</v>
      </c>
      <c r="CN78" s="43">
        <v>4485</v>
      </c>
      <c r="CO78" s="43">
        <v>0</v>
      </c>
      <c r="CP78" s="43">
        <v>0</v>
      </c>
      <c r="CQ78" s="43">
        <v>0</v>
      </c>
      <c r="CR78" s="43">
        <v>-5000</v>
      </c>
      <c r="CS78" s="43">
        <v>5000</v>
      </c>
      <c r="CT78" s="43">
        <v>1594.56085736</v>
      </c>
      <c r="CU78" s="43">
        <v>0</v>
      </c>
      <c r="CV78" s="43">
        <v>-4000</v>
      </c>
      <c r="CW78" s="43">
        <v>4000</v>
      </c>
      <c r="CX78" s="43">
        <v>4800</v>
      </c>
      <c r="CY78" s="43">
        <v>0</v>
      </c>
      <c r="CZ78" s="43">
        <v>10379.93016704</v>
      </c>
      <c r="DA78" s="43">
        <v>0</v>
      </c>
      <c r="DB78" s="114">
        <v>9700</v>
      </c>
      <c r="DC78" s="43"/>
      <c r="DD78" s="117">
        <v>28856.415000000001</v>
      </c>
      <c r="DE78" s="55">
        <v>1936.335</v>
      </c>
      <c r="DF78" s="59">
        <v>2351.6052025873</v>
      </c>
      <c r="DG78" s="59">
        <v>33144.3552025873</v>
      </c>
      <c r="DH78" s="117">
        <v>7377.8919999999998</v>
      </c>
      <c r="DI78" s="117">
        <v>51412.411</v>
      </c>
      <c r="DJ78" s="55">
        <v>6202</v>
      </c>
      <c r="DK78" s="114">
        <v>57614.411</v>
      </c>
      <c r="DL78" s="43"/>
      <c r="DM78" s="117">
        <v>887.73900000000003</v>
      </c>
      <c r="DN78" s="55">
        <v>10493.065843074541</v>
      </c>
      <c r="DO78" s="55">
        <v>11380.80484307454</v>
      </c>
      <c r="DP78" s="59">
        <v>1169.3240409390189</v>
      </c>
      <c r="DQ78" s="59">
        <v>2899.4268531643638</v>
      </c>
      <c r="DR78" s="59">
        <v>0</v>
      </c>
      <c r="DS78" s="55">
        <v>2899.4268531643638</v>
      </c>
      <c r="DT78" s="55">
        <v>161.07926962024251</v>
      </c>
      <c r="DU78" s="55">
        <v>161.07926962024251</v>
      </c>
      <c r="DW78" s="121">
        <v>1440.95081734</v>
      </c>
      <c r="DX78" s="122">
        <v>0</v>
      </c>
      <c r="DY78" s="128">
        <v>271.02854033</v>
      </c>
      <c r="DZ78" s="128">
        <v>0</v>
      </c>
      <c r="EA78" s="121">
        <v>0</v>
      </c>
      <c r="EB78" s="122">
        <v>1553.672292</v>
      </c>
      <c r="EC78" s="121">
        <v>0</v>
      </c>
      <c r="ED78" s="122">
        <v>0</v>
      </c>
      <c r="EE78" s="121">
        <v>0</v>
      </c>
      <c r="EF78" s="122">
        <v>847.5</v>
      </c>
      <c r="EG78" s="121">
        <v>0</v>
      </c>
      <c r="EH78" s="122">
        <v>2086.5937891600001</v>
      </c>
      <c r="EI78" s="121">
        <v>1440.95081734</v>
      </c>
      <c r="EJ78" s="122">
        <v>0</v>
      </c>
      <c r="EK78" s="129">
        <v>1553.672292</v>
      </c>
      <c r="EL78" s="130">
        <v>847.5</v>
      </c>
      <c r="EM78" s="131">
        <v>735.83500000000004</v>
      </c>
      <c r="EN78" s="129">
        <v>0</v>
      </c>
      <c r="EO78" s="129">
        <v>3205.1223294900001</v>
      </c>
      <c r="EP78" s="129">
        <v>0</v>
      </c>
      <c r="ER78" s="157">
        <v>1123.239</v>
      </c>
      <c r="ES78" s="37">
        <v>2021.79975756</v>
      </c>
      <c r="ET78" s="55">
        <f t="shared" si="10"/>
        <v>0.10932923007515848</v>
      </c>
      <c r="EU78" s="157">
        <v>500.05599999999998</v>
      </c>
      <c r="EV78" s="37">
        <v>151.00800000000001</v>
      </c>
      <c r="EW78" s="55">
        <f t="shared" si="9"/>
        <v>0.35655280734459438</v>
      </c>
      <c r="EY78" s="166">
        <v>3220.45544561</v>
      </c>
      <c r="EZ78" s="37">
        <v>3156.57</v>
      </c>
      <c r="FA78" s="164">
        <f t="shared" si="11"/>
        <v>0.4687617480774009</v>
      </c>
      <c r="FB78" s="5">
        <v>4613</v>
      </c>
      <c r="FC78" s="164">
        <f t="shared" si="12"/>
        <v>1</v>
      </c>
      <c r="FE78" s="5"/>
      <c r="FF78" s="166">
        <v>0</v>
      </c>
      <c r="FG78" s="37">
        <v>0</v>
      </c>
      <c r="FH78" s="164">
        <f t="shared" si="13"/>
        <v>0</v>
      </c>
      <c r="FI78" s="5">
        <v>0</v>
      </c>
      <c r="FJ78" s="164">
        <f t="shared" si="14"/>
        <v>0</v>
      </c>
      <c r="FL78" s="169">
        <v>7873</v>
      </c>
      <c r="FM78" s="170">
        <f t="shared" si="15"/>
        <v>0.68245451314546257</v>
      </c>
      <c r="FN78" s="169">
        <v>2591</v>
      </c>
      <c r="FO78" s="170">
        <f t="shared" si="16"/>
        <v>0.82634348588741824</v>
      </c>
    </row>
    <row r="79" spans="16:171" x14ac:dyDescent="0.35">
      <c r="P79" s="64">
        <v>77</v>
      </c>
      <c r="Q79" s="109">
        <v>0</v>
      </c>
      <c r="R79" s="110">
        <v>0</v>
      </c>
      <c r="S79" s="111">
        <v>0</v>
      </c>
      <c r="T79" s="110">
        <v>0</v>
      </c>
      <c r="U79" s="111">
        <v>0</v>
      </c>
      <c r="V79" s="110">
        <v>0</v>
      </c>
      <c r="W79" s="111">
        <v>0</v>
      </c>
      <c r="X79" s="110">
        <v>0</v>
      </c>
      <c r="Y79" s="111">
        <v>0</v>
      </c>
      <c r="Z79" s="110">
        <v>0</v>
      </c>
      <c r="AA79" s="111">
        <v>0</v>
      </c>
      <c r="AB79" s="110">
        <v>0</v>
      </c>
      <c r="AC79" s="111">
        <v>0</v>
      </c>
      <c r="AD79" s="110">
        <v>0</v>
      </c>
      <c r="AF79" s="64">
        <v>77</v>
      </c>
      <c r="AG79" s="109">
        <v>4538.9898000000003</v>
      </c>
      <c r="AH79" s="111">
        <v>1014.3</v>
      </c>
      <c r="AI79" s="109">
        <v>220.5</v>
      </c>
      <c r="AJ79" s="59">
        <v>5.1000000000000004E-2</v>
      </c>
      <c r="AK79" s="59">
        <v>0.441</v>
      </c>
      <c r="AL79" s="59">
        <v>0.441</v>
      </c>
      <c r="AM79" s="110">
        <v>63.954000000000001</v>
      </c>
      <c r="AN79" s="111">
        <v>454.10039999999998</v>
      </c>
      <c r="AO79" s="59">
        <v>9.9000000000000005E-2</v>
      </c>
      <c r="AP79" s="55">
        <v>3.9E-2</v>
      </c>
      <c r="AQ79" s="109">
        <v>6600.8</v>
      </c>
      <c r="AR79" s="111">
        <v>11103.674999999999</v>
      </c>
      <c r="AS79" s="59">
        <v>0.14799999999999999</v>
      </c>
      <c r="AT79" s="55">
        <v>0.47299999999999998</v>
      </c>
      <c r="AU79" s="43"/>
      <c r="AV79" s="109">
        <v>989.98900000000003</v>
      </c>
      <c r="AW79" s="110">
        <v>0.40199987005920429</v>
      </c>
      <c r="AX79" s="109">
        <v>848.31799999999998</v>
      </c>
      <c r="AY79" s="110">
        <v>0.52788923459863102</v>
      </c>
      <c r="AZ79" s="109">
        <v>1121.4780000000001</v>
      </c>
      <c r="BA79" s="110">
        <v>0.5784392407674851</v>
      </c>
      <c r="BB79" s="43"/>
      <c r="BC79" s="112">
        <v>52500.305999999997</v>
      </c>
      <c r="BD79" s="110">
        <v>0.75409836065573765</v>
      </c>
      <c r="BE79" s="43"/>
      <c r="BF79" s="157">
        <v>1937.31</v>
      </c>
      <c r="BG79" s="43">
        <v>0</v>
      </c>
      <c r="BH79" s="113">
        <v>0</v>
      </c>
      <c r="BI79" s="114">
        <v>5.9426687116564417E-2</v>
      </c>
      <c r="BJ79" s="115">
        <v>0</v>
      </c>
      <c r="BK79" s="113">
        <v>0</v>
      </c>
      <c r="BL79" s="113">
        <v>0</v>
      </c>
      <c r="BM79" s="113">
        <v>0</v>
      </c>
      <c r="BN79" s="113">
        <v>1309.0920000000001</v>
      </c>
      <c r="BO79" s="114">
        <v>9.7128060543107297E-2</v>
      </c>
      <c r="BP79" s="115">
        <v>0</v>
      </c>
      <c r="BQ79" s="43">
        <v>7668</v>
      </c>
      <c r="BR79" s="43">
        <v>649.37644352999996</v>
      </c>
      <c r="BS79" s="43"/>
      <c r="BT79" s="116">
        <v>-700</v>
      </c>
      <c r="BU79" s="43">
        <v>0</v>
      </c>
      <c r="BV79" s="43">
        <v>4485</v>
      </c>
      <c r="BW79" s="43">
        <v>4485</v>
      </c>
      <c r="BX79" s="43">
        <v>0</v>
      </c>
      <c r="BY79" s="43">
        <v>0</v>
      </c>
      <c r="BZ79" s="43">
        <v>-5000</v>
      </c>
      <c r="CA79" s="43">
        <v>0</v>
      </c>
      <c r="CB79" s="43">
        <v>567.11536215000001</v>
      </c>
      <c r="CC79" s="43">
        <v>567.11536215000001</v>
      </c>
      <c r="CD79" s="43">
        <v>-4000</v>
      </c>
      <c r="CE79" s="43">
        <v>0</v>
      </c>
      <c r="CF79" s="43">
        <v>4800</v>
      </c>
      <c r="CG79" s="43">
        <v>4800</v>
      </c>
      <c r="CH79" s="43">
        <v>9985.9656742299994</v>
      </c>
      <c r="CI79" s="43">
        <v>9985.9656742299994</v>
      </c>
      <c r="CJ79" s="114">
        <v>19838.081036379997</v>
      </c>
      <c r="CK79" s="43"/>
      <c r="CL79" s="116">
        <v>-700</v>
      </c>
      <c r="CM79" s="43">
        <v>700</v>
      </c>
      <c r="CN79" s="43">
        <v>4485</v>
      </c>
      <c r="CO79" s="43">
        <v>0</v>
      </c>
      <c r="CP79" s="43">
        <v>0</v>
      </c>
      <c r="CQ79" s="43">
        <v>0</v>
      </c>
      <c r="CR79" s="43">
        <v>-5000</v>
      </c>
      <c r="CS79" s="43">
        <v>5000</v>
      </c>
      <c r="CT79" s="43">
        <v>567.11536215000001</v>
      </c>
      <c r="CU79" s="43">
        <v>0</v>
      </c>
      <c r="CV79" s="43">
        <v>-4000</v>
      </c>
      <c r="CW79" s="43">
        <v>4000</v>
      </c>
      <c r="CX79" s="43">
        <v>4800</v>
      </c>
      <c r="CY79" s="43">
        <v>0</v>
      </c>
      <c r="CZ79" s="43">
        <v>9985.9656742299994</v>
      </c>
      <c r="DA79" s="43">
        <v>0</v>
      </c>
      <c r="DB79" s="114">
        <v>9700</v>
      </c>
      <c r="DC79" s="43"/>
      <c r="DD79" s="117">
        <v>29612.21</v>
      </c>
      <c r="DE79" s="55">
        <v>1929.404</v>
      </c>
      <c r="DF79" s="59">
        <v>2647.9356198762998</v>
      </c>
      <c r="DG79" s="59">
        <v>34189.549619876299</v>
      </c>
      <c r="DH79" s="117">
        <v>7355.5519999999997</v>
      </c>
      <c r="DI79" s="117">
        <v>51749.411</v>
      </c>
      <c r="DJ79" s="55">
        <v>6327</v>
      </c>
      <c r="DK79" s="114">
        <v>58076.411</v>
      </c>
      <c r="DL79" s="43"/>
      <c r="DM79" s="117">
        <v>1077.923</v>
      </c>
      <c r="DN79" s="55">
        <v>10508.77584392489</v>
      </c>
      <c r="DO79" s="55">
        <v>11586.698843924891</v>
      </c>
      <c r="DP79" s="59">
        <v>1169.3240409390189</v>
      </c>
      <c r="DQ79" s="59">
        <v>2907.704727589607</v>
      </c>
      <c r="DR79" s="59">
        <v>0</v>
      </c>
      <c r="DS79" s="55">
        <v>2907.704727589607</v>
      </c>
      <c r="DT79" s="55">
        <v>161.53915153275599</v>
      </c>
      <c r="DU79" s="55">
        <v>161.53915153275599</v>
      </c>
      <c r="DW79" s="121">
        <v>1147.9433901</v>
      </c>
      <c r="DX79" s="122">
        <v>0</v>
      </c>
      <c r="DY79" s="128">
        <v>159.61015599999999</v>
      </c>
      <c r="DZ79" s="128">
        <v>0</v>
      </c>
      <c r="EA79" s="121">
        <v>0</v>
      </c>
      <c r="EB79" s="122">
        <v>1553.672292</v>
      </c>
      <c r="EC79" s="121">
        <v>0</v>
      </c>
      <c r="ED79" s="122">
        <v>0</v>
      </c>
      <c r="EE79" s="121">
        <v>0</v>
      </c>
      <c r="EF79" s="122">
        <v>847.5</v>
      </c>
      <c r="EG79" s="121">
        <v>0</v>
      </c>
      <c r="EH79" s="122">
        <v>2482.7417263100001</v>
      </c>
      <c r="EI79" s="121">
        <v>1147.9433901</v>
      </c>
      <c r="EJ79" s="122">
        <v>0</v>
      </c>
      <c r="EK79" s="129">
        <v>1553.672292</v>
      </c>
      <c r="EL79" s="130">
        <v>847.5</v>
      </c>
      <c r="EM79" s="131">
        <v>735.83500000000004</v>
      </c>
      <c r="EN79" s="129">
        <v>0</v>
      </c>
      <c r="EO79" s="129">
        <v>3489.8518823100003</v>
      </c>
      <c r="EP79" s="129">
        <v>0</v>
      </c>
      <c r="ER79" s="157">
        <v>1119.075</v>
      </c>
      <c r="ES79" s="37">
        <v>2021.79975756</v>
      </c>
      <c r="ET79" s="55">
        <f t="shared" si="10"/>
        <v>0.1091844792631252</v>
      </c>
      <c r="EU79" s="157">
        <v>500.05599999999998</v>
      </c>
      <c r="EV79" s="37">
        <v>151.00800000000001</v>
      </c>
      <c r="EW79" s="55">
        <f t="shared" si="9"/>
        <v>0.35655280734459438</v>
      </c>
      <c r="EY79" s="166">
        <v>3628.26265229</v>
      </c>
      <c r="EZ79" s="37">
        <v>3156.57</v>
      </c>
      <c r="FA79" s="164">
        <f t="shared" si="11"/>
        <v>0.49873879940208682</v>
      </c>
      <c r="FB79" s="5">
        <v>4613</v>
      </c>
      <c r="FC79" s="164">
        <f t="shared" si="12"/>
        <v>1</v>
      </c>
      <c r="FE79" s="5"/>
      <c r="FF79" s="166">
        <v>0</v>
      </c>
      <c r="FG79" s="37">
        <v>0</v>
      </c>
      <c r="FH79" s="164">
        <f t="shared" si="13"/>
        <v>0</v>
      </c>
      <c r="FI79" s="5">
        <v>0</v>
      </c>
      <c r="FJ79" s="164">
        <f t="shared" si="14"/>
        <v>0</v>
      </c>
      <c r="FL79" s="169">
        <v>7873</v>
      </c>
      <c r="FM79" s="170">
        <f t="shared" si="15"/>
        <v>0.68245451314546257</v>
      </c>
      <c r="FN79" s="169">
        <v>2591</v>
      </c>
      <c r="FO79" s="170">
        <f t="shared" si="16"/>
        <v>0.82634348588741824</v>
      </c>
    </row>
    <row r="80" spans="16:171" x14ac:dyDescent="0.35">
      <c r="P80" s="64">
        <v>78</v>
      </c>
      <c r="Q80" s="109">
        <v>0</v>
      </c>
      <c r="R80" s="110">
        <v>0</v>
      </c>
      <c r="S80" s="111">
        <v>0</v>
      </c>
      <c r="T80" s="110">
        <v>0</v>
      </c>
      <c r="U80" s="111">
        <v>0</v>
      </c>
      <c r="V80" s="110">
        <v>0</v>
      </c>
      <c r="W80" s="111">
        <v>0</v>
      </c>
      <c r="X80" s="110">
        <v>0</v>
      </c>
      <c r="Y80" s="111">
        <v>0</v>
      </c>
      <c r="Z80" s="110">
        <v>0</v>
      </c>
      <c r="AA80" s="111">
        <v>0</v>
      </c>
      <c r="AB80" s="110">
        <v>0</v>
      </c>
      <c r="AC80" s="111">
        <v>0</v>
      </c>
      <c r="AD80" s="110">
        <v>0</v>
      </c>
      <c r="AF80" s="64">
        <v>78</v>
      </c>
      <c r="AG80" s="109">
        <v>5250.9881999999998</v>
      </c>
      <c r="AH80" s="111">
        <v>1048.8</v>
      </c>
      <c r="AI80" s="109">
        <v>228</v>
      </c>
      <c r="AJ80" s="59">
        <v>5.8999999999999997E-2</v>
      </c>
      <c r="AK80" s="59">
        <v>0.45599999999999996</v>
      </c>
      <c r="AL80" s="59">
        <v>0.45600000000000002</v>
      </c>
      <c r="AM80" s="110">
        <v>68.475999999999999</v>
      </c>
      <c r="AN80" s="111">
        <v>454.10039999999998</v>
      </c>
      <c r="AO80" s="59">
        <v>0.106</v>
      </c>
      <c r="AP80" s="55">
        <v>3.9E-2</v>
      </c>
      <c r="AQ80" s="109">
        <v>6957.6</v>
      </c>
      <c r="AR80" s="111">
        <v>11972.25</v>
      </c>
      <c r="AS80" s="59">
        <v>0.156</v>
      </c>
      <c r="AT80" s="55">
        <v>0.51</v>
      </c>
      <c r="AU80" s="43"/>
      <c r="AV80" s="109">
        <v>1004.765</v>
      </c>
      <c r="AW80" s="110">
        <v>0.40799988630180378</v>
      </c>
      <c r="AX80" s="109">
        <v>868.93600000000004</v>
      </c>
      <c r="AY80" s="110">
        <v>0.54071935283136285</v>
      </c>
      <c r="AZ80" s="109">
        <v>1121.4780000000001</v>
      </c>
      <c r="BA80" s="110">
        <v>0.5784392407674851</v>
      </c>
      <c r="BB80" s="43"/>
      <c r="BC80" s="112">
        <v>52500.305999999997</v>
      </c>
      <c r="BD80" s="110">
        <v>0.75409836065573765</v>
      </c>
      <c r="BE80" s="43"/>
      <c r="BF80" s="157">
        <v>2256.1840000000002</v>
      </c>
      <c r="BG80" s="43">
        <v>0</v>
      </c>
      <c r="BH80" s="113">
        <v>0</v>
      </c>
      <c r="BI80" s="114">
        <v>6.9208098159509207E-2</v>
      </c>
      <c r="BJ80" s="115">
        <v>0</v>
      </c>
      <c r="BK80" s="113">
        <v>0</v>
      </c>
      <c r="BL80" s="113">
        <v>0</v>
      </c>
      <c r="BM80" s="113">
        <v>0</v>
      </c>
      <c r="BN80" s="113">
        <v>1367.037</v>
      </c>
      <c r="BO80" s="114">
        <v>0.10142728891526934</v>
      </c>
      <c r="BP80" s="115">
        <v>0</v>
      </c>
      <c r="BQ80" s="43">
        <v>7668</v>
      </c>
      <c r="BR80" s="43">
        <v>650.29620735999993</v>
      </c>
      <c r="BS80" s="43"/>
      <c r="BT80" s="116">
        <v>-700</v>
      </c>
      <c r="BU80" s="43">
        <v>0</v>
      </c>
      <c r="BV80" s="43">
        <v>4485</v>
      </c>
      <c r="BW80" s="43">
        <v>4485</v>
      </c>
      <c r="BX80" s="43">
        <v>0</v>
      </c>
      <c r="BY80" s="43">
        <v>0</v>
      </c>
      <c r="BZ80" s="43">
        <v>-5000</v>
      </c>
      <c r="CA80" s="43">
        <v>0</v>
      </c>
      <c r="CB80" s="43">
        <v>-1553.6763155900001</v>
      </c>
      <c r="CC80" s="43">
        <v>0</v>
      </c>
      <c r="CD80" s="43">
        <v>-4000</v>
      </c>
      <c r="CE80" s="43">
        <v>0</v>
      </c>
      <c r="CF80" s="43">
        <v>4800</v>
      </c>
      <c r="CG80" s="43">
        <v>4800</v>
      </c>
      <c r="CH80" s="43">
        <v>7800.20036299</v>
      </c>
      <c r="CI80" s="43">
        <v>7800.20036299</v>
      </c>
      <c r="CJ80" s="114">
        <v>17085.200362989999</v>
      </c>
      <c r="CK80" s="43"/>
      <c r="CL80" s="116">
        <v>-700</v>
      </c>
      <c r="CM80" s="43">
        <v>700</v>
      </c>
      <c r="CN80" s="43">
        <v>4485</v>
      </c>
      <c r="CO80" s="43">
        <v>0</v>
      </c>
      <c r="CP80" s="43">
        <v>0</v>
      </c>
      <c r="CQ80" s="43">
        <v>0</v>
      </c>
      <c r="CR80" s="43">
        <v>-5000</v>
      </c>
      <c r="CS80" s="43">
        <v>5000</v>
      </c>
      <c r="CT80" s="43">
        <v>-1553.6763155900001</v>
      </c>
      <c r="CU80" s="43">
        <v>1553.6763155900001</v>
      </c>
      <c r="CV80" s="43">
        <v>-4000</v>
      </c>
      <c r="CW80" s="43">
        <v>4000</v>
      </c>
      <c r="CX80" s="43">
        <v>4800</v>
      </c>
      <c r="CY80" s="43">
        <v>0</v>
      </c>
      <c r="CZ80" s="43">
        <v>7800.20036299</v>
      </c>
      <c r="DA80" s="43">
        <v>0</v>
      </c>
      <c r="DB80" s="114">
        <v>11253.676315590001</v>
      </c>
      <c r="DC80" s="43"/>
      <c r="DD80" s="117">
        <v>31739.401999999998</v>
      </c>
      <c r="DE80" s="55">
        <v>1941.3789999999999</v>
      </c>
      <c r="DF80" s="59">
        <v>2859.1121627580001</v>
      </c>
      <c r="DG80" s="59">
        <v>36539.893162757995</v>
      </c>
      <c r="DH80" s="117">
        <v>7492.3559999999998</v>
      </c>
      <c r="DI80" s="117">
        <v>54057.411</v>
      </c>
      <c r="DJ80" s="55">
        <v>6467</v>
      </c>
      <c r="DK80" s="114">
        <v>60524.411</v>
      </c>
      <c r="DL80" s="43"/>
      <c r="DM80" s="117">
        <v>916.45799999999997</v>
      </c>
      <c r="DN80" s="55">
        <v>10540.1958456256</v>
      </c>
      <c r="DO80" s="55">
        <v>11456.6538456256</v>
      </c>
      <c r="DP80" s="59">
        <v>1267.2805174159189</v>
      </c>
      <c r="DQ80" s="59">
        <v>2924.2604764400921</v>
      </c>
      <c r="DR80" s="59">
        <v>0</v>
      </c>
      <c r="DS80" s="55">
        <v>2924.2604764400921</v>
      </c>
      <c r="DT80" s="55">
        <v>162.4589153577829</v>
      </c>
      <c r="DU80" s="55">
        <v>162.4589153577829</v>
      </c>
      <c r="DW80" s="121">
        <v>281.75628548999998</v>
      </c>
      <c r="DX80" s="122">
        <v>0</v>
      </c>
      <c r="DY80" s="128">
        <v>121.54151176000001</v>
      </c>
      <c r="DZ80" s="128">
        <v>0</v>
      </c>
      <c r="EA80" s="121">
        <v>0</v>
      </c>
      <c r="EB80" s="122">
        <v>1553.672292</v>
      </c>
      <c r="EC80" s="121">
        <v>0</v>
      </c>
      <c r="ED80" s="122">
        <v>0</v>
      </c>
      <c r="EE80" s="121">
        <v>0</v>
      </c>
      <c r="EF80" s="122">
        <v>847.5</v>
      </c>
      <c r="EG80" s="121">
        <v>0</v>
      </c>
      <c r="EH80" s="122">
        <v>3370.4417263099999</v>
      </c>
      <c r="EI80" s="121">
        <v>281.75628548999998</v>
      </c>
      <c r="EJ80" s="122">
        <v>0</v>
      </c>
      <c r="EK80" s="129">
        <v>1553.672292</v>
      </c>
      <c r="EL80" s="130">
        <v>847.5</v>
      </c>
      <c r="EM80" s="131">
        <v>735.83500000000004</v>
      </c>
      <c r="EN80" s="129">
        <v>0</v>
      </c>
      <c r="EO80" s="129">
        <v>4339.48323807</v>
      </c>
      <c r="EP80" s="129">
        <v>0</v>
      </c>
      <c r="ER80" s="157">
        <v>1123.239</v>
      </c>
      <c r="ES80" s="37">
        <v>2021.79975756</v>
      </c>
      <c r="ET80" s="55">
        <f t="shared" si="10"/>
        <v>0.10932923007515848</v>
      </c>
      <c r="EU80" s="157">
        <v>500.05599999999998</v>
      </c>
      <c r="EV80" s="37">
        <v>152.39400000000001</v>
      </c>
      <c r="EW80" s="55">
        <f t="shared" si="9"/>
        <v>0.35731184515190617</v>
      </c>
      <c r="EY80" s="166">
        <v>7226.9889529800002</v>
      </c>
      <c r="EZ80" s="37">
        <v>3156.57</v>
      </c>
      <c r="FA80" s="164">
        <f t="shared" si="11"/>
        <v>0.76327361205911803</v>
      </c>
      <c r="FB80" s="5">
        <v>4613</v>
      </c>
      <c r="FC80" s="164">
        <f t="shared" si="12"/>
        <v>1</v>
      </c>
      <c r="FE80" s="5"/>
      <c r="FF80" s="166">
        <v>0</v>
      </c>
      <c r="FG80" s="37">
        <v>0</v>
      </c>
      <c r="FH80" s="164">
        <f t="shared" si="13"/>
        <v>0</v>
      </c>
      <c r="FI80" s="5">
        <v>0</v>
      </c>
      <c r="FJ80" s="164">
        <f t="shared" si="14"/>
        <v>0</v>
      </c>
      <c r="FL80" s="169">
        <v>7873</v>
      </c>
      <c r="FM80" s="170">
        <f t="shared" si="15"/>
        <v>0.68245451314546257</v>
      </c>
      <c r="FN80" s="169">
        <v>2591</v>
      </c>
      <c r="FO80" s="170">
        <f t="shared" si="16"/>
        <v>0.82634348588741824</v>
      </c>
    </row>
    <row r="81" spans="16:171" x14ac:dyDescent="0.35">
      <c r="P81" s="64">
        <v>79</v>
      </c>
      <c r="Q81" s="109">
        <v>0</v>
      </c>
      <c r="R81" s="110">
        <v>0</v>
      </c>
      <c r="S81" s="111">
        <v>0</v>
      </c>
      <c r="T81" s="110">
        <v>0</v>
      </c>
      <c r="U81" s="111">
        <v>0</v>
      </c>
      <c r="V81" s="110">
        <v>0</v>
      </c>
      <c r="W81" s="111">
        <v>0</v>
      </c>
      <c r="X81" s="110">
        <v>0</v>
      </c>
      <c r="Y81" s="111">
        <v>0</v>
      </c>
      <c r="Z81" s="110">
        <v>0</v>
      </c>
      <c r="AA81" s="111">
        <v>0</v>
      </c>
      <c r="AB81" s="110">
        <v>0</v>
      </c>
      <c r="AC81" s="111">
        <v>0</v>
      </c>
      <c r="AD81" s="110">
        <v>0</v>
      </c>
      <c r="AF81" s="64">
        <v>79</v>
      </c>
      <c r="AG81" s="109">
        <v>5873.9867999999997</v>
      </c>
      <c r="AH81" s="111">
        <v>1092.5</v>
      </c>
      <c r="AI81" s="109">
        <v>237.5</v>
      </c>
      <c r="AJ81" s="59">
        <v>6.5999999999999989E-2</v>
      </c>
      <c r="AK81" s="59">
        <v>0.47499999999999998</v>
      </c>
      <c r="AL81" s="59">
        <v>0.47499999999999998</v>
      </c>
      <c r="AM81" s="110">
        <v>74.290000000000006</v>
      </c>
      <c r="AN81" s="111">
        <v>535.60559999999998</v>
      </c>
      <c r="AO81" s="59">
        <v>0.115</v>
      </c>
      <c r="AP81" s="55">
        <v>4.5999999999999999E-2</v>
      </c>
      <c r="AQ81" s="109">
        <v>7537.4</v>
      </c>
      <c r="AR81" s="111">
        <v>13005.15</v>
      </c>
      <c r="AS81" s="59">
        <v>0.16899999999999998</v>
      </c>
      <c r="AT81" s="55">
        <v>0.55399999999999994</v>
      </c>
      <c r="AU81" s="43"/>
      <c r="AV81" s="109">
        <v>1014.616</v>
      </c>
      <c r="AW81" s="110">
        <v>0.41200003248519895</v>
      </c>
      <c r="AX81" s="109">
        <v>871.84100000000001</v>
      </c>
      <c r="AY81" s="110">
        <v>0.54252706907280646</v>
      </c>
      <c r="AZ81" s="109">
        <v>1121.4780000000001</v>
      </c>
      <c r="BA81" s="110">
        <v>0.5784392407674851</v>
      </c>
      <c r="BB81" s="43"/>
      <c r="BC81" s="112">
        <v>52500.305999999997</v>
      </c>
      <c r="BD81" s="110">
        <v>0.75409836065573765</v>
      </c>
      <c r="BE81" s="43"/>
      <c r="BF81" s="157">
        <v>2510.2950000000001</v>
      </c>
      <c r="BG81" s="43">
        <v>0</v>
      </c>
      <c r="BH81" s="113">
        <v>0</v>
      </c>
      <c r="BI81" s="114">
        <v>7.7002914110429449E-2</v>
      </c>
      <c r="BJ81" s="115">
        <v>0</v>
      </c>
      <c r="BK81" s="113">
        <v>0</v>
      </c>
      <c r="BL81" s="113">
        <v>0</v>
      </c>
      <c r="BM81" s="113">
        <v>0</v>
      </c>
      <c r="BN81" s="113">
        <v>1435.5350000000001</v>
      </c>
      <c r="BO81" s="114">
        <v>0.10650949695800564</v>
      </c>
      <c r="BP81" s="115">
        <v>0</v>
      </c>
      <c r="BQ81" s="43">
        <v>7668</v>
      </c>
      <c r="BR81" s="43">
        <v>650.75608927000007</v>
      </c>
      <c r="BS81" s="43"/>
      <c r="BT81" s="116">
        <v>-700</v>
      </c>
      <c r="BU81" s="43">
        <v>0</v>
      </c>
      <c r="BV81" s="43">
        <v>4485</v>
      </c>
      <c r="BW81" s="43">
        <v>4485</v>
      </c>
      <c r="BX81" s="43">
        <v>0</v>
      </c>
      <c r="BY81" s="43">
        <v>0</v>
      </c>
      <c r="BZ81" s="43">
        <v>-5000</v>
      </c>
      <c r="CA81" s="43">
        <v>0</v>
      </c>
      <c r="CB81" s="43">
        <v>1008.36745999</v>
      </c>
      <c r="CC81" s="43">
        <v>1008.36745999</v>
      </c>
      <c r="CD81" s="43">
        <v>-4000</v>
      </c>
      <c r="CE81" s="43">
        <v>0</v>
      </c>
      <c r="CF81" s="43">
        <v>4800</v>
      </c>
      <c r="CG81" s="43">
        <v>4800</v>
      </c>
      <c r="CH81" s="43">
        <v>7690.6581196899997</v>
      </c>
      <c r="CI81" s="43">
        <v>7690.6581196899997</v>
      </c>
      <c r="CJ81" s="114">
        <v>17984.025579680001</v>
      </c>
      <c r="CK81" s="43"/>
      <c r="CL81" s="116">
        <v>-700</v>
      </c>
      <c r="CM81" s="43">
        <v>700</v>
      </c>
      <c r="CN81" s="43">
        <v>4485</v>
      </c>
      <c r="CO81" s="43">
        <v>0</v>
      </c>
      <c r="CP81" s="43">
        <v>0</v>
      </c>
      <c r="CQ81" s="43">
        <v>0</v>
      </c>
      <c r="CR81" s="43">
        <v>-5000</v>
      </c>
      <c r="CS81" s="43">
        <v>5000</v>
      </c>
      <c r="CT81" s="43">
        <v>1008.36745999</v>
      </c>
      <c r="CU81" s="43">
        <v>0</v>
      </c>
      <c r="CV81" s="43">
        <v>-4000</v>
      </c>
      <c r="CW81" s="43">
        <v>4000</v>
      </c>
      <c r="CX81" s="43">
        <v>4800</v>
      </c>
      <c r="CY81" s="43">
        <v>0</v>
      </c>
      <c r="CZ81" s="43">
        <v>7690.6581196899997</v>
      </c>
      <c r="DA81" s="43">
        <v>0</v>
      </c>
      <c r="DB81" s="114">
        <v>9700</v>
      </c>
      <c r="DC81" s="43"/>
      <c r="DD81" s="117">
        <v>34758.542000000001</v>
      </c>
      <c r="DE81" s="55">
        <v>1999.7629999999999</v>
      </c>
      <c r="DF81" s="59">
        <v>3630.2791162924</v>
      </c>
      <c r="DG81" s="59">
        <v>40388.584116292397</v>
      </c>
      <c r="DH81" s="117">
        <v>7856.6260000000002</v>
      </c>
      <c r="DI81" s="117">
        <v>58367.411</v>
      </c>
      <c r="DJ81" s="55">
        <v>6280</v>
      </c>
      <c r="DK81" s="114">
        <v>64647.411</v>
      </c>
      <c r="DL81" s="43"/>
      <c r="DM81" s="117">
        <v>916.37900000000002</v>
      </c>
      <c r="DN81" s="55">
        <v>10555.905846475949</v>
      </c>
      <c r="DO81" s="55">
        <v>11472.28484647595</v>
      </c>
      <c r="DP81" s="59">
        <v>1365.2369938928191</v>
      </c>
      <c r="DQ81" s="59">
        <v>2932.5383508653349</v>
      </c>
      <c r="DR81" s="59">
        <v>0</v>
      </c>
      <c r="DS81" s="55">
        <v>2932.5383508653349</v>
      </c>
      <c r="DT81" s="55">
        <v>162.91879727029641</v>
      </c>
      <c r="DU81" s="55">
        <v>162.91879727029641</v>
      </c>
      <c r="DW81" s="121">
        <v>0</v>
      </c>
      <c r="DX81" s="122">
        <v>762.68383259999996</v>
      </c>
      <c r="DY81" s="128">
        <v>270.00375542</v>
      </c>
      <c r="DZ81" s="128">
        <v>0</v>
      </c>
      <c r="EA81" s="121">
        <v>0</v>
      </c>
      <c r="EB81" s="122">
        <v>1553.672292</v>
      </c>
      <c r="EC81" s="121">
        <v>0</v>
      </c>
      <c r="ED81" s="122">
        <v>0</v>
      </c>
      <c r="EE81" s="121">
        <v>0</v>
      </c>
      <c r="EF81" s="122">
        <v>847.5</v>
      </c>
      <c r="EG81" s="121">
        <v>0</v>
      </c>
      <c r="EH81" s="122">
        <v>4258.1417263100002</v>
      </c>
      <c r="EI81" s="121">
        <v>0</v>
      </c>
      <c r="EJ81" s="122">
        <v>762.68383259999996</v>
      </c>
      <c r="EK81" s="129">
        <v>1553.672292</v>
      </c>
      <c r="EL81" s="130">
        <v>847.5</v>
      </c>
      <c r="EM81" s="131">
        <v>735.83500000000004</v>
      </c>
      <c r="EN81" s="129">
        <v>0</v>
      </c>
      <c r="EO81" s="129">
        <v>5375.64548173</v>
      </c>
      <c r="EP81" s="129">
        <v>0</v>
      </c>
      <c r="ER81" s="157">
        <v>1165.2260000000001</v>
      </c>
      <c r="ES81" s="37">
        <v>4143.4424293000002</v>
      </c>
      <c r="ET81" s="55">
        <f t="shared" si="10"/>
        <v>0.18454228289064173</v>
      </c>
      <c r="EU81" s="157">
        <v>500.05599999999998</v>
      </c>
      <c r="EV81" s="37">
        <v>152.922</v>
      </c>
      <c r="EW81" s="55">
        <f t="shared" si="9"/>
        <v>0.35760100241183435</v>
      </c>
      <c r="EY81" s="166">
        <v>10447.41</v>
      </c>
      <c r="EZ81" s="37">
        <v>3156.57</v>
      </c>
      <c r="FA81" s="164">
        <f t="shared" si="11"/>
        <v>1</v>
      </c>
      <c r="FB81" s="5">
        <v>4613</v>
      </c>
      <c r="FC81" s="164">
        <f t="shared" si="12"/>
        <v>1</v>
      </c>
      <c r="FE81" s="5"/>
      <c r="FF81" s="166">
        <v>0</v>
      </c>
      <c r="FG81" s="37">
        <v>0</v>
      </c>
      <c r="FH81" s="164">
        <f t="shared" si="13"/>
        <v>0</v>
      </c>
      <c r="FI81" s="5">
        <v>0</v>
      </c>
      <c r="FJ81" s="164">
        <f t="shared" si="14"/>
        <v>0</v>
      </c>
      <c r="FL81" s="169">
        <v>7873</v>
      </c>
      <c r="FM81" s="170">
        <f t="shared" si="15"/>
        <v>0.68245451314546257</v>
      </c>
      <c r="FN81" s="169">
        <v>2591</v>
      </c>
      <c r="FO81" s="170">
        <f t="shared" si="16"/>
        <v>0.82634348588741824</v>
      </c>
    </row>
    <row r="82" spans="16:171" x14ac:dyDescent="0.35">
      <c r="P82" s="64">
        <v>80</v>
      </c>
      <c r="Q82" s="109">
        <v>0</v>
      </c>
      <c r="R82" s="110">
        <v>0</v>
      </c>
      <c r="S82" s="111">
        <v>0</v>
      </c>
      <c r="T82" s="110">
        <v>0</v>
      </c>
      <c r="U82" s="111">
        <v>0</v>
      </c>
      <c r="V82" s="110">
        <v>0</v>
      </c>
      <c r="W82" s="111">
        <v>0</v>
      </c>
      <c r="X82" s="110">
        <v>0</v>
      </c>
      <c r="Y82" s="111">
        <v>0</v>
      </c>
      <c r="Z82" s="110">
        <v>0</v>
      </c>
      <c r="AA82" s="111">
        <v>0</v>
      </c>
      <c r="AB82" s="110">
        <v>0</v>
      </c>
      <c r="AC82" s="111">
        <v>0</v>
      </c>
      <c r="AD82" s="110">
        <v>0</v>
      </c>
      <c r="AF82" s="64">
        <v>80</v>
      </c>
      <c r="AG82" s="109">
        <v>6229.9859999999999</v>
      </c>
      <c r="AH82" s="111">
        <v>1145.4000000000001</v>
      </c>
      <c r="AI82" s="109">
        <v>249</v>
      </c>
      <c r="AJ82" s="59">
        <v>6.9999999999999993E-2</v>
      </c>
      <c r="AK82" s="59">
        <v>0.49800000000000005</v>
      </c>
      <c r="AL82" s="59">
        <v>0.498</v>
      </c>
      <c r="AM82" s="110">
        <v>77.52</v>
      </c>
      <c r="AN82" s="111">
        <v>675.3288</v>
      </c>
      <c r="AO82" s="59">
        <v>0.12</v>
      </c>
      <c r="AP82" s="55">
        <v>5.7999999999999996E-2</v>
      </c>
      <c r="AQ82" s="109">
        <v>8072.6</v>
      </c>
      <c r="AR82" s="111">
        <v>14789.25</v>
      </c>
      <c r="AS82" s="59">
        <v>0.18100000000000002</v>
      </c>
      <c r="AT82" s="55">
        <v>0.63</v>
      </c>
      <c r="AU82" s="43"/>
      <c r="AV82" s="109">
        <v>1022.004</v>
      </c>
      <c r="AW82" s="110">
        <v>0.4150000406064987</v>
      </c>
      <c r="AX82" s="109">
        <v>923.83699999999999</v>
      </c>
      <c r="AY82" s="110">
        <v>0.57488301182327317</v>
      </c>
      <c r="AZ82" s="109">
        <v>1121.4780000000001</v>
      </c>
      <c r="BA82" s="110">
        <v>0.5784392407674851</v>
      </c>
      <c r="BB82" s="43"/>
      <c r="BC82" s="112">
        <v>52500.305999999997</v>
      </c>
      <c r="BD82" s="110">
        <v>0.75409836065573765</v>
      </c>
      <c r="BE82" s="43"/>
      <c r="BF82" s="157">
        <v>2658.8310000000001</v>
      </c>
      <c r="BG82" s="43">
        <v>0</v>
      </c>
      <c r="BH82" s="113">
        <v>0</v>
      </c>
      <c r="BI82" s="114">
        <v>8.1559233128834355E-2</v>
      </c>
      <c r="BJ82" s="115">
        <v>0</v>
      </c>
      <c r="BK82" s="113">
        <v>0</v>
      </c>
      <c r="BL82" s="113">
        <v>0</v>
      </c>
      <c r="BM82" s="113">
        <v>0</v>
      </c>
      <c r="BN82" s="113">
        <v>1453.38</v>
      </c>
      <c r="BO82" s="114">
        <v>0.10783350645496365</v>
      </c>
      <c r="BP82" s="115">
        <v>0</v>
      </c>
      <c r="BQ82" s="43">
        <v>7668</v>
      </c>
      <c r="BR82" s="43">
        <v>651.21597118999989</v>
      </c>
      <c r="BS82" s="43"/>
      <c r="BT82" s="116">
        <v>-700</v>
      </c>
      <c r="BU82" s="43">
        <v>0</v>
      </c>
      <c r="BV82" s="43">
        <v>4485</v>
      </c>
      <c r="BW82" s="43">
        <v>4485</v>
      </c>
      <c r="BX82" s="43">
        <v>0</v>
      </c>
      <c r="BY82" s="43">
        <v>0</v>
      </c>
      <c r="BZ82" s="43">
        <v>-5000</v>
      </c>
      <c r="CA82" s="43">
        <v>0</v>
      </c>
      <c r="CB82" s="43">
        <v>1614.51731098</v>
      </c>
      <c r="CC82" s="43">
        <v>1614.51731098</v>
      </c>
      <c r="CD82" s="43">
        <v>-4000</v>
      </c>
      <c r="CE82" s="43">
        <v>0</v>
      </c>
      <c r="CF82" s="43">
        <v>4800</v>
      </c>
      <c r="CG82" s="43">
        <v>4800</v>
      </c>
      <c r="CH82" s="43">
        <v>8240.0985475500001</v>
      </c>
      <c r="CI82" s="43">
        <v>8240.0985475500001</v>
      </c>
      <c r="CJ82" s="114">
        <v>19139.61585853</v>
      </c>
      <c r="CK82" s="43"/>
      <c r="CL82" s="116">
        <v>-700</v>
      </c>
      <c r="CM82" s="43">
        <v>700</v>
      </c>
      <c r="CN82" s="43">
        <v>4485</v>
      </c>
      <c r="CO82" s="43">
        <v>0</v>
      </c>
      <c r="CP82" s="43">
        <v>0</v>
      </c>
      <c r="CQ82" s="43">
        <v>0</v>
      </c>
      <c r="CR82" s="43">
        <v>-5000</v>
      </c>
      <c r="CS82" s="43">
        <v>5000</v>
      </c>
      <c r="CT82" s="43">
        <v>1614.51731098</v>
      </c>
      <c r="CU82" s="43">
        <v>0</v>
      </c>
      <c r="CV82" s="43">
        <v>-4000</v>
      </c>
      <c r="CW82" s="43">
        <v>4000</v>
      </c>
      <c r="CX82" s="43">
        <v>4800</v>
      </c>
      <c r="CY82" s="43">
        <v>0</v>
      </c>
      <c r="CZ82" s="43">
        <v>8240.0985475500001</v>
      </c>
      <c r="DA82" s="43">
        <v>0</v>
      </c>
      <c r="DB82" s="114">
        <v>9700</v>
      </c>
      <c r="DC82" s="43"/>
      <c r="DD82" s="117">
        <v>37452.898999999998</v>
      </c>
      <c r="DE82" s="55">
        <v>2105.3020000000001</v>
      </c>
      <c r="DF82" s="59">
        <v>4067.2652655975999</v>
      </c>
      <c r="DG82" s="59">
        <v>43625.466265597599</v>
      </c>
      <c r="DH82" s="117">
        <v>8405.4380000000001</v>
      </c>
      <c r="DI82" s="117">
        <v>60716.411</v>
      </c>
      <c r="DJ82" s="55">
        <v>6607</v>
      </c>
      <c r="DK82" s="114">
        <v>67323.410999999993</v>
      </c>
      <c r="DL82" s="43"/>
      <c r="DM82" s="117">
        <v>875.30200000000002</v>
      </c>
      <c r="DN82" s="55">
        <v>10571.615847326309</v>
      </c>
      <c r="DO82" s="55">
        <v>11446.917847326309</v>
      </c>
      <c r="DP82" s="59">
        <v>1458.037866344619</v>
      </c>
      <c r="DQ82" s="59">
        <v>2940.8162252905781</v>
      </c>
      <c r="DR82" s="59">
        <v>0</v>
      </c>
      <c r="DS82" s="55">
        <v>2940.8162252905781</v>
      </c>
      <c r="DT82" s="55">
        <v>163.37867918280989</v>
      </c>
      <c r="DU82" s="55">
        <v>163.37867918280989</v>
      </c>
      <c r="DW82" s="121">
        <v>0</v>
      </c>
      <c r="DX82" s="122">
        <v>1807.12395068</v>
      </c>
      <c r="DY82" s="128">
        <v>418.46599908000002</v>
      </c>
      <c r="DZ82" s="128">
        <v>0</v>
      </c>
      <c r="EA82" s="121">
        <v>0</v>
      </c>
      <c r="EB82" s="122">
        <v>1553.672292</v>
      </c>
      <c r="EC82" s="121">
        <v>0</v>
      </c>
      <c r="ED82" s="122">
        <v>0</v>
      </c>
      <c r="EE82" s="121">
        <v>0</v>
      </c>
      <c r="EF82" s="122">
        <v>847.5</v>
      </c>
      <c r="EG82" s="121">
        <v>0</v>
      </c>
      <c r="EH82" s="122">
        <v>5145.84172631</v>
      </c>
      <c r="EI82" s="121">
        <v>0</v>
      </c>
      <c r="EJ82" s="122">
        <v>1807.12395068</v>
      </c>
      <c r="EK82" s="129">
        <v>1553.672292</v>
      </c>
      <c r="EL82" s="130">
        <v>847.5</v>
      </c>
      <c r="EM82" s="131">
        <v>735.83500000000004</v>
      </c>
      <c r="EN82" s="129">
        <v>0</v>
      </c>
      <c r="EO82" s="129">
        <v>6411.8077253900001</v>
      </c>
      <c r="EP82" s="129">
        <v>0</v>
      </c>
      <c r="ER82" s="157">
        <v>1190.557</v>
      </c>
      <c r="ES82" s="37">
        <v>6195.8310494400002</v>
      </c>
      <c r="ET82" s="55">
        <f t="shared" si="10"/>
        <v>0.25676889244701806</v>
      </c>
      <c r="EU82" s="157">
        <v>1357</v>
      </c>
      <c r="EV82" s="37">
        <v>162.756</v>
      </c>
      <c r="EW82" s="55">
        <f t="shared" si="9"/>
        <v>0.83228878924159744</v>
      </c>
      <c r="EY82" s="166">
        <v>10447.41</v>
      </c>
      <c r="EZ82" s="37">
        <v>3156.57</v>
      </c>
      <c r="FA82" s="164">
        <f t="shared" si="11"/>
        <v>1</v>
      </c>
      <c r="FB82" s="5">
        <v>4613</v>
      </c>
      <c r="FC82" s="164">
        <f t="shared" si="12"/>
        <v>1</v>
      </c>
      <c r="FE82" s="5"/>
      <c r="FF82" s="166">
        <v>0</v>
      </c>
      <c r="FG82" s="37">
        <v>0</v>
      </c>
      <c r="FH82" s="164">
        <f t="shared" si="13"/>
        <v>0</v>
      </c>
      <c r="FI82" s="5">
        <v>0</v>
      </c>
      <c r="FJ82" s="164">
        <f t="shared" si="14"/>
        <v>0</v>
      </c>
      <c r="FL82" s="169">
        <v>7873</v>
      </c>
      <c r="FM82" s="170">
        <f t="shared" si="15"/>
        <v>0.68245451314546257</v>
      </c>
      <c r="FN82" s="169">
        <v>2591</v>
      </c>
      <c r="FO82" s="170">
        <f t="shared" si="16"/>
        <v>0.82634348588741824</v>
      </c>
    </row>
    <row r="83" spans="16:171" x14ac:dyDescent="0.35">
      <c r="P83" s="64">
        <v>81</v>
      </c>
      <c r="Q83" s="109">
        <v>0</v>
      </c>
      <c r="R83" s="110">
        <v>0</v>
      </c>
      <c r="S83" s="111">
        <v>0</v>
      </c>
      <c r="T83" s="110">
        <v>0</v>
      </c>
      <c r="U83" s="111">
        <v>0</v>
      </c>
      <c r="V83" s="110">
        <v>0</v>
      </c>
      <c r="W83" s="111">
        <v>0</v>
      </c>
      <c r="X83" s="110">
        <v>0</v>
      </c>
      <c r="Y83" s="111">
        <v>0</v>
      </c>
      <c r="Z83" s="110">
        <v>0</v>
      </c>
      <c r="AA83" s="111">
        <v>0</v>
      </c>
      <c r="AB83" s="110">
        <v>0</v>
      </c>
      <c r="AC83" s="111">
        <v>0</v>
      </c>
      <c r="AD83" s="110">
        <v>0</v>
      </c>
      <c r="AF83" s="64">
        <v>81</v>
      </c>
      <c r="AG83" s="109">
        <v>7030.9841999999999</v>
      </c>
      <c r="AH83" s="111">
        <v>1202.9000000000001</v>
      </c>
      <c r="AI83" s="109">
        <v>261.5</v>
      </c>
      <c r="AJ83" s="59">
        <v>7.9000000000000001E-2</v>
      </c>
      <c r="AK83" s="59">
        <v>0.52300000000000002</v>
      </c>
      <c r="AL83" s="59">
        <v>0.52300000000000002</v>
      </c>
      <c r="AM83" s="110">
        <v>81.396000000000001</v>
      </c>
      <c r="AN83" s="111">
        <v>873.27</v>
      </c>
      <c r="AO83" s="59">
        <v>0.126</v>
      </c>
      <c r="AP83" s="55">
        <v>7.4999999999999997E-2</v>
      </c>
      <c r="AQ83" s="109">
        <v>9187.6</v>
      </c>
      <c r="AR83" s="111">
        <v>17019.375</v>
      </c>
      <c r="AS83" s="59">
        <v>0.20600000000000002</v>
      </c>
      <c r="AT83" s="55">
        <v>0.72499999999999998</v>
      </c>
      <c r="AU83" s="43"/>
      <c r="AV83" s="109">
        <v>1083.57</v>
      </c>
      <c r="AW83" s="110">
        <v>0.43999983757400535</v>
      </c>
      <c r="AX83" s="109">
        <v>937.77200000000005</v>
      </c>
      <c r="AY83" s="110">
        <v>0.58355444928438083</v>
      </c>
      <c r="AZ83" s="109">
        <v>1121.4780000000001</v>
      </c>
      <c r="BA83" s="110">
        <v>0.5784392407674851</v>
      </c>
      <c r="BB83" s="43"/>
      <c r="BC83" s="112">
        <v>52500.305999999997</v>
      </c>
      <c r="BD83" s="110">
        <v>0.75409836065573765</v>
      </c>
      <c r="BE83" s="43"/>
      <c r="BF83" s="157">
        <v>3122.98</v>
      </c>
      <c r="BG83" s="43">
        <v>0</v>
      </c>
      <c r="BH83" s="113">
        <v>0</v>
      </c>
      <c r="BI83" s="114">
        <v>9.5796932515337427E-2</v>
      </c>
      <c r="BJ83" s="115">
        <v>0</v>
      </c>
      <c r="BK83" s="113">
        <v>0</v>
      </c>
      <c r="BL83" s="113">
        <v>0</v>
      </c>
      <c r="BM83" s="113">
        <v>0</v>
      </c>
      <c r="BN83" s="113">
        <v>1487.923</v>
      </c>
      <c r="BO83" s="114">
        <v>0.11039642380175101</v>
      </c>
      <c r="BP83" s="115">
        <v>0</v>
      </c>
      <c r="BQ83" s="43">
        <v>7668</v>
      </c>
      <c r="BR83" s="43">
        <v>651.21597118999989</v>
      </c>
      <c r="BS83" s="43"/>
      <c r="BT83" s="116">
        <v>-700</v>
      </c>
      <c r="BU83" s="43">
        <v>0</v>
      </c>
      <c r="BV83" s="43">
        <v>4485</v>
      </c>
      <c r="BW83" s="43">
        <v>4485</v>
      </c>
      <c r="BX83" s="43">
        <v>0</v>
      </c>
      <c r="BY83" s="43">
        <v>0</v>
      </c>
      <c r="BZ83" s="43">
        <v>-5000</v>
      </c>
      <c r="CA83" s="43">
        <v>0</v>
      </c>
      <c r="CB83" s="43">
        <v>-3369.1975594999999</v>
      </c>
      <c r="CC83" s="43">
        <v>0</v>
      </c>
      <c r="CD83" s="43">
        <v>-4000</v>
      </c>
      <c r="CE83" s="43">
        <v>0</v>
      </c>
      <c r="CF83" s="43">
        <v>4800</v>
      </c>
      <c r="CG83" s="43">
        <v>4800</v>
      </c>
      <c r="CH83" s="43">
        <v>9738.1909303800003</v>
      </c>
      <c r="CI83" s="43">
        <v>9738.1909303800003</v>
      </c>
      <c r="CJ83" s="114">
        <v>19023.190930379998</v>
      </c>
      <c r="CK83" s="43"/>
      <c r="CL83" s="116">
        <v>-700</v>
      </c>
      <c r="CM83" s="43">
        <v>700</v>
      </c>
      <c r="CN83" s="43">
        <v>4485</v>
      </c>
      <c r="CO83" s="43">
        <v>0</v>
      </c>
      <c r="CP83" s="43">
        <v>0</v>
      </c>
      <c r="CQ83" s="43">
        <v>0</v>
      </c>
      <c r="CR83" s="43">
        <v>-5000</v>
      </c>
      <c r="CS83" s="43">
        <v>5000</v>
      </c>
      <c r="CT83" s="43">
        <v>-3369.1975594999999</v>
      </c>
      <c r="CU83" s="43">
        <v>3369.1975594999999</v>
      </c>
      <c r="CV83" s="43">
        <v>-4000</v>
      </c>
      <c r="CW83" s="43">
        <v>4000</v>
      </c>
      <c r="CX83" s="43">
        <v>4800</v>
      </c>
      <c r="CY83" s="43">
        <v>0</v>
      </c>
      <c r="CZ83" s="43">
        <v>9738.1909303800003</v>
      </c>
      <c r="DA83" s="43">
        <v>0</v>
      </c>
      <c r="DB83" s="114">
        <v>13069.1975595</v>
      </c>
      <c r="DC83" s="43"/>
      <c r="DD83" s="117">
        <v>39424.396999999997</v>
      </c>
      <c r="DE83" s="55">
        <v>2162.46</v>
      </c>
      <c r="DF83" s="59">
        <v>3926.2400369482998</v>
      </c>
      <c r="DG83" s="59">
        <v>45513.097036948297</v>
      </c>
      <c r="DH83" s="117">
        <v>8931.36</v>
      </c>
      <c r="DI83" s="117">
        <v>60698.411</v>
      </c>
      <c r="DJ83" s="55">
        <v>7681</v>
      </c>
      <c r="DK83" s="114">
        <v>68379.410999999993</v>
      </c>
      <c r="DL83" s="43"/>
      <c r="DM83" s="117">
        <v>832.85500000000002</v>
      </c>
      <c r="DN83" s="55">
        <v>10571.615847326309</v>
      </c>
      <c r="DO83" s="55">
        <v>11404.470847326309</v>
      </c>
      <c r="DP83" s="59">
        <v>1555.9943428215181</v>
      </c>
      <c r="DQ83" s="59">
        <v>2940.8162252905781</v>
      </c>
      <c r="DR83" s="59">
        <v>0</v>
      </c>
      <c r="DS83" s="55">
        <v>2940.8162252905781</v>
      </c>
      <c r="DT83" s="55">
        <v>163.37867918280989</v>
      </c>
      <c r="DU83" s="55">
        <v>163.37867918280989</v>
      </c>
      <c r="DW83" s="121">
        <v>0</v>
      </c>
      <c r="DX83" s="122">
        <v>2852.0239506799999</v>
      </c>
      <c r="DY83" s="128">
        <v>575.66599908000001</v>
      </c>
      <c r="DZ83" s="128">
        <v>0</v>
      </c>
      <c r="EA83" s="121">
        <v>0</v>
      </c>
      <c r="EB83" s="122">
        <v>1553.672292</v>
      </c>
      <c r="EC83" s="121">
        <v>0</v>
      </c>
      <c r="ED83" s="122">
        <v>0</v>
      </c>
      <c r="EE83" s="121">
        <v>0</v>
      </c>
      <c r="EF83" s="122">
        <v>847.5</v>
      </c>
      <c r="EG83" s="121">
        <v>0</v>
      </c>
      <c r="EH83" s="122">
        <v>6033.5417263099998</v>
      </c>
      <c r="EI83" s="121">
        <v>0</v>
      </c>
      <c r="EJ83" s="122">
        <v>2852.0239506799999</v>
      </c>
      <c r="EK83" s="129">
        <v>1553.672292</v>
      </c>
      <c r="EL83" s="130">
        <v>847.5</v>
      </c>
      <c r="EM83" s="131">
        <v>735.83500000000004</v>
      </c>
      <c r="EN83" s="129">
        <v>0</v>
      </c>
      <c r="EO83" s="129">
        <v>7456.7077253899997</v>
      </c>
      <c r="EP83" s="129">
        <v>0</v>
      </c>
      <c r="ER83" s="157">
        <v>1207.56</v>
      </c>
      <c r="ES83" s="37">
        <v>6195.8310494400002</v>
      </c>
      <c r="ET83" s="55">
        <f t="shared" si="10"/>
        <v>0.25735995826282065</v>
      </c>
      <c r="EU83" s="157">
        <v>1357</v>
      </c>
      <c r="EV83" s="37">
        <v>164.60400000000001</v>
      </c>
      <c r="EW83" s="55">
        <f t="shared" si="9"/>
        <v>0.83330083965134638</v>
      </c>
      <c r="EY83" s="166">
        <v>10447.41</v>
      </c>
      <c r="EZ83" s="37">
        <v>3156.57</v>
      </c>
      <c r="FA83" s="164">
        <f t="shared" si="11"/>
        <v>1</v>
      </c>
      <c r="FB83" s="5">
        <v>4613</v>
      </c>
      <c r="FC83" s="164">
        <f t="shared" si="12"/>
        <v>1</v>
      </c>
      <c r="FE83" s="5"/>
      <c r="FF83" s="166">
        <v>0</v>
      </c>
      <c r="FG83" s="37">
        <v>0</v>
      </c>
      <c r="FH83" s="164">
        <f t="shared" si="13"/>
        <v>0</v>
      </c>
      <c r="FI83" s="5">
        <v>0</v>
      </c>
      <c r="FJ83" s="164">
        <f t="shared" si="14"/>
        <v>0</v>
      </c>
      <c r="FL83" s="169">
        <v>7873</v>
      </c>
      <c r="FM83" s="170">
        <f t="shared" si="15"/>
        <v>0.68245451314546257</v>
      </c>
      <c r="FN83" s="169">
        <v>2591</v>
      </c>
      <c r="FO83" s="170">
        <f t="shared" si="16"/>
        <v>0.82634348588741824</v>
      </c>
    </row>
    <row r="84" spans="16:171" x14ac:dyDescent="0.35">
      <c r="P84" s="64">
        <v>82</v>
      </c>
      <c r="Q84" s="109">
        <v>5561</v>
      </c>
      <c r="R84" s="110">
        <v>6.7000000000000004E-2</v>
      </c>
      <c r="S84" s="111">
        <v>110.515</v>
      </c>
      <c r="T84" s="110">
        <v>2.3E-2</v>
      </c>
      <c r="U84" s="111">
        <v>2460</v>
      </c>
      <c r="V84" s="110">
        <v>8.2000000000000003E-2</v>
      </c>
      <c r="W84" s="111">
        <v>431.346</v>
      </c>
      <c r="X84" s="110">
        <v>0.03</v>
      </c>
      <c r="Y84" s="111">
        <v>241.4975</v>
      </c>
      <c r="Z84" s="110">
        <v>2.5000000000000001E-2</v>
      </c>
      <c r="AA84" s="111">
        <v>3342.3</v>
      </c>
      <c r="AB84" s="110">
        <v>6.5000000000000002E-2</v>
      </c>
      <c r="AC84" s="111">
        <v>2408.6815999999999</v>
      </c>
      <c r="AD84" s="110">
        <v>5.1999999999999998E-2</v>
      </c>
      <c r="AF84" s="64">
        <v>82</v>
      </c>
      <c r="AG84" s="109">
        <v>8098.9817999999996</v>
      </c>
      <c r="AH84" s="111">
        <v>1260.4000000000001</v>
      </c>
      <c r="AI84" s="109">
        <v>274</v>
      </c>
      <c r="AJ84" s="59">
        <v>9.0999999999999998E-2</v>
      </c>
      <c r="AK84" s="59">
        <v>0.54800000000000004</v>
      </c>
      <c r="AL84" s="59">
        <v>0.54800000000000004</v>
      </c>
      <c r="AM84" s="110">
        <v>84.626000000000005</v>
      </c>
      <c r="AN84" s="111">
        <v>873.27</v>
      </c>
      <c r="AO84" s="59">
        <v>0.13100000000000001</v>
      </c>
      <c r="AP84" s="55">
        <v>7.4999999999999997E-2</v>
      </c>
      <c r="AQ84" s="109">
        <v>10035</v>
      </c>
      <c r="AR84" s="111">
        <v>17700.150000000001</v>
      </c>
      <c r="AS84" s="59">
        <v>0.22500000000000001</v>
      </c>
      <c r="AT84" s="55">
        <v>0.75400000000000011</v>
      </c>
      <c r="AU84" s="43"/>
      <c r="AV84" s="109">
        <v>1088.4960000000001</v>
      </c>
      <c r="AW84" s="110">
        <v>0.44200011369819631</v>
      </c>
      <c r="AX84" s="109">
        <v>962.72500000000002</v>
      </c>
      <c r="AY84" s="110">
        <v>0.59908214063472309</v>
      </c>
      <c r="AZ84" s="109">
        <v>1121.4780000000001</v>
      </c>
      <c r="BA84" s="110">
        <v>0.5784392407674851</v>
      </c>
      <c r="BB84" s="43"/>
      <c r="BC84" s="112">
        <v>52500.305999999997</v>
      </c>
      <c r="BD84" s="110">
        <v>0.75409836065573765</v>
      </c>
      <c r="BE84" s="43"/>
      <c r="BF84" s="157">
        <v>6284.8370000000004</v>
      </c>
      <c r="BG84" s="43">
        <v>0</v>
      </c>
      <c r="BH84" s="113">
        <v>0</v>
      </c>
      <c r="BI84" s="114">
        <v>0.19278641104294481</v>
      </c>
      <c r="BJ84" s="115">
        <v>0</v>
      </c>
      <c r="BK84" s="113">
        <v>0</v>
      </c>
      <c r="BL84" s="113">
        <v>0</v>
      </c>
      <c r="BM84" s="113">
        <v>0</v>
      </c>
      <c r="BN84" s="113">
        <v>1814.0229999999999</v>
      </c>
      <c r="BO84" s="114">
        <v>0.13459140822080426</v>
      </c>
      <c r="BP84" s="115">
        <v>0</v>
      </c>
      <c r="BQ84" s="43">
        <v>7668</v>
      </c>
      <c r="BR84" s="43">
        <v>651.21597118999989</v>
      </c>
      <c r="BS84" s="43"/>
      <c r="BT84" s="116">
        <v>-700</v>
      </c>
      <c r="BU84" s="43">
        <v>0</v>
      </c>
      <c r="BV84" s="43">
        <v>4485</v>
      </c>
      <c r="BW84" s="43">
        <v>4485</v>
      </c>
      <c r="BX84" s="43">
        <v>0</v>
      </c>
      <c r="BY84" s="43">
        <v>0</v>
      </c>
      <c r="BZ84" s="43">
        <v>-5000</v>
      </c>
      <c r="CA84" s="43">
        <v>0</v>
      </c>
      <c r="CB84" s="43">
        <v>-5300</v>
      </c>
      <c r="CC84" s="43">
        <v>0</v>
      </c>
      <c r="CD84" s="43">
        <v>-4000</v>
      </c>
      <c r="CE84" s="43">
        <v>0</v>
      </c>
      <c r="CF84" s="43">
        <v>4800</v>
      </c>
      <c r="CG84" s="43">
        <v>4800</v>
      </c>
      <c r="CH84" s="43">
        <v>8958.0819039300004</v>
      </c>
      <c r="CI84" s="43">
        <v>8958.0819039300004</v>
      </c>
      <c r="CJ84" s="114">
        <v>18243.08190393</v>
      </c>
      <c r="CK84" s="43"/>
      <c r="CL84" s="116">
        <v>-700</v>
      </c>
      <c r="CM84" s="43">
        <v>700</v>
      </c>
      <c r="CN84" s="43">
        <v>4485</v>
      </c>
      <c r="CO84" s="43">
        <v>0</v>
      </c>
      <c r="CP84" s="43">
        <v>0</v>
      </c>
      <c r="CQ84" s="43">
        <v>0</v>
      </c>
      <c r="CR84" s="43">
        <v>-5000</v>
      </c>
      <c r="CS84" s="43">
        <v>5000</v>
      </c>
      <c r="CT84" s="43">
        <v>-5300</v>
      </c>
      <c r="CU84" s="43">
        <v>5300</v>
      </c>
      <c r="CV84" s="43">
        <v>-4000</v>
      </c>
      <c r="CW84" s="43">
        <v>4000</v>
      </c>
      <c r="CX84" s="43">
        <v>4800</v>
      </c>
      <c r="CY84" s="43">
        <v>0</v>
      </c>
      <c r="CZ84" s="43">
        <v>8958.0819039300004</v>
      </c>
      <c r="DA84" s="43">
        <v>0</v>
      </c>
      <c r="DB84" s="114">
        <v>15000</v>
      </c>
      <c r="DC84" s="43"/>
      <c r="DD84" s="117">
        <v>41143.180999999997</v>
      </c>
      <c r="DE84" s="55">
        <v>1968.4670000000001</v>
      </c>
      <c r="DF84" s="59">
        <v>2452.9868270898</v>
      </c>
      <c r="DG84" s="59">
        <v>45564.634827089794</v>
      </c>
      <c r="DH84" s="117">
        <v>9390.7790000000005</v>
      </c>
      <c r="DI84" s="117">
        <v>60386.411</v>
      </c>
      <c r="DJ84" s="55">
        <v>8611</v>
      </c>
      <c r="DK84" s="114">
        <v>68997.410999999993</v>
      </c>
      <c r="DL84" s="43"/>
      <c r="DM84" s="117">
        <v>783.19399999999996</v>
      </c>
      <c r="DN84" s="55">
        <v>10571.615847326309</v>
      </c>
      <c r="DO84" s="55">
        <v>11354.809847326309</v>
      </c>
      <c r="DP84" s="59">
        <v>1555.9943428215181</v>
      </c>
      <c r="DQ84" s="59">
        <v>2940.8162252905781</v>
      </c>
      <c r="DR84" s="59">
        <v>0</v>
      </c>
      <c r="DS84" s="55">
        <v>2940.8162252905781</v>
      </c>
      <c r="DT84" s="55">
        <v>163.37867918280989</v>
      </c>
      <c r="DU84" s="55">
        <v>163.37867918280989</v>
      </c>
      <c r="DW84" s="121">
        <v>0</v>
      </c>
      <c r="DX84" s="122">
        <v>3896.92395068</v>
      </c>
      <c r="DY84" s="128">
        <v>827.24599908000005</v>
      </c>
      <c r="DZ84" s="128">
        <v>0</v>
      </c>
      <c r="EA84" s="121">
        <v>0</v>
      </c>
      <c r="EB84" s="122">
        <v>1553.672292</v>
      </c>
      <c r="EC84" s="121">
        <v>0</v>
      </c>
      <c r="ED84" s="122">
        <v>0</v>
      </c>
      <c r="EE84" s="121">
        <v>0</v>
      </c>
      <c r="EF84" s="122">
        <v>847.5</v>
      </c>
      <c r="EG84" s="121">
        <v>0</v>
      </c>
      <c r="EH84" s="122">
        <v>6826.8617263100004</v>
      </c>
      <c r="EI84" s="121">
        <v>0</v>
      </c>
      <c r="EJ84" s="122">
        <v>3896.92395068</v>
      </c>
      <c r="EK84" s="129">
        <v>1553.672292</v>
      </c>
      <c r="EL84" s="130">
        <v>847.5</v>
      </c>
      <c r="EM84" s="131">
        <v>735.83500000000004</v>
      </c>
      <c r="EN84" s="129">
        <v>0</v>
      </c>
      <c r="EO84" s="129">
        <v>8501.6077253900003</v>
      </c>
      <c r="EP84" s="129">
        <v>0</v>
      </c>
      <c r="ER84" s="157">
        <v>1198.885</v>
      </c>
      <c r="ES84" s="37">
        <v>6195.8310494400002</v>
      </c>
      <c r="ET84" s="55">
        <f t="shared" si="10"/>
        <v>0.25705839407108461</v>
      </c>
      <c r="EU84" s="157">
        <v>0</v>
      </c>
      <c r="EV84" s="37">
        <v>169.29</v>
      </c>
      <c r="EW84" s="55">
        <f t="shared" si="9"/>
        <v>9.2711046464504843E-2</v>
      </c>
      <c r="EY84" s="166">
        <v>5458.9873647699997</v>
      </c>
      <c r="EZ84" s="37">
        <v>3156.57</v>
      </c>
      <c r="FA84" s="164">
        <f t="shared" si="11"/>
        <v>0.63331152830054149</v>
      </c>
      <c r="FB84" s="5">
        <v>4613</v>
      </c>
      <c r="FC84" s="164">
        <f t="shared" si="12"/>
        <v>1</v>
      </c>
      <c r="FE84" s="5"/>
      <c r="FF84" s="166">
        <v>0</v>
      </c>
      <c r="FG84" s="37">
        <v>0</v>
      </c>
      <c r="FH84" s="164">
        <f t="shared" si="13"/>
        <v>0</v>
      </c>
      <c r="FI84" s="5">
        <v>0</v>
      </c>
      <c r="FJ84" s="164">
        <f t="shared" si="14"/>
        <v>0</v>
      </c>
      <c r="FL84" s="169">
        <v>7873</v>
      </c>
      <c r="FM84" s="170">
        <f t="shared" si="15"/>
        <v>0.68245451314546257</v>
      </c>
      <c r="FN84" s="169">
        <v>2591</v>
      </c>
      <c r="FO84" s="170">
        <f t="shared" si="16"/>
        <v>0.82634348588741824</v>
      </c>
    </row>
    <row r="85" spans="16:171" x14ac:dyDescent="0.35">
      <c r="P85" s="64">
        <v>83</v>
      </c>
      <c r="Q85" s="109">
        <v>14110</v>
      </c>
      <c r="R85" s="110">
        <v>0.17</v>
      </c>
      <c r="S85" s="111">
        <v>259.47000000000003</v>
      </c>
      <c r="T85" s="110">
        <v>5.4000000000000006E-2</v>
      </c>
      <c r="U85" s="111">
        <v>5820</v>
      </c>
      <c r="V85" s="110">
        <v>0.19400000000000001</v>
      </c>
      <c r="W85" s="111">
        <v>1782.8968</v>
      </c>
      <c r="X85" s="110">
        <v>0.124</v>
      </c>
      <c r="Y85" s="111">
        <v>975.6499</v>
      </c>
      <c r="Z85" s="110">
        <v>0.10100000000000001</v>
      </c>
      <c r="AA85" s="111">
        <v>7661.58</v>
      </c>
      <c r="AB85" s="110">
        <v>0.14899999999999999</v>
      </c>
      <c r="AC85" s="111">
        <v>5651.1376</v>
      </c>
      <c r="AD85" s="110">
        <v>0.122</v>
      </c>
      <c r="AF85" s="64">
        <v>83</v>
      </c>
      <c r="AG85" s="109">
        <v>8988.9797999999992</v>
      </c>
      <c r="AH85" s="111">
        <v>1334</v>
      </c>
      <c r="AI85" s="109">
        <v>290</v>
      </c>
      <c r="AJ85" s="59">
        <v>0.10099999999999999</v>
      </c>
      <c r="AK85" s="59">
        <v>0.57999999999999996</v>
      </c>
      <c r="AL85" s="59">
        <v>0.57999999999999996</v>
      </c>
      <c r="AM85" s="110">
        <v>85.272000000000006</v>
      </c>
      <c r="AN85" s="111">
        <v>500.6748</v>
      </c>
      <c r="AO85" s="59">
        <v>0.13200000000000001</v>
      </c>
      <c r="AP85" s="55">
        <v>4.2999999999999997E-2</v>
      </c>
      <c r="AQ85" s="109">
        <v>10481</v>
      </c>
      <c r="AR85" s="111">
        <v>17465.400000000001</v>
      </c>
      <c r="AS85" s="59">
        <v>0.23499999999999999</v>
      </c>
      <c r="AT85" s="55">
        <v>0.74400000000000011</v>
      </c>
      <c r="AU85" s="43"/>
      <c r="AV85" s="109">
        <v>1044.1679999999999</v>
      </c>
      <c r="AW85" s="110">
        <v>0.42400006497039783</v>
      </c>
      <c r="AX85" s="109">
        <v>963.25099999999998</v>
      </c>
      <c r="AY85" s="110">
        <v>0.59940945861854389</v>
      </c>
      <c r="AZ85" s="109">
        <v>1121.4780000000001</v>
      </c>
      <c r="BA85" s="110">
        <v>0.5784392407674851</v>
      </c>
      <c r="BB85" s="43"/>
      <c r="BC85" s="112">
        <v>52500.305999999997</v>
      </c>
      <c r="BD85" s="110">
        <v>0.75409836065573765</v>
      </c>
      <c r="BE85" s="43"/>
      <c r="BF85" s="157">
        <v>10728.557000000001</v>
      </c>
      <c r="BG85" s="43">
        <v>0</v>
      </c>
      <c r="BH85" s="113">
        <v>0</v>
      </c>
      <c r="BI85" s="114">
        <v>0.32909684049079757</v>
      </c>
      <c r="BJ85" s="115">
        <v>0</v>
      </c>
      <c r="BK85" s="113">
        <v>0</v>
      </c>
      <c r="BL85" s="113">
        <v>0</v>
      </c>
      <c r="BM85" s="113">
        <v>0</v>
      </c>
      <c r="BN85" s="113">
        <v>2846.1219999999998</v>
      </c>
      <c r="BO85" s="114">
        <v>0.21116797744472474</v>
      </c>
      <c r="BP85" s="115">
        <v>0</v>
      </c>
      <c r="BQ85" s="43">
        <v>7668</v>
      </c>
      <c r="BR85" s="43">
        <v>651.21597118999989</v>
      </c>
      <c r="BS85" s="43"/>
      <c r="BT85" s="116">
        <v>-700</v>
      </c>
      <c r="BU85" s="43">
        <v>0</v>
      </c>
      <c r="BV85" s="43">
        <v>4485</v>
      </c>
      <c r="BW85" s="43">
        <v>4485</v>
      </c>
      <c r="BX85" s="43">
        <v>0</v>
      </c>
      <c r="BY85" s="43">
        <v>0</v>
      </c>
      <c r="BZ85" s="43">
        <v>-5000</v>
      </c>
      <c r="CA85" s="43">
        <v>0</v>
      </c>
      <c r="CB85" s="43">
        <v>-5300</v>
      </c>
      <c r="CC85" s="43">
        <v>0</v>
      </c>
      <c r="CD85" s="43">
        <v>-4000</v>
      </c>
      <c r="CE85" s="43">
        <v>0</v>
      </c>
      <c r="CF85" s="43">
        <v>4800</v>
      </c>
      <c r="CG85" s="43">
        <v>4800</v>
      </c>
      <c r="CH85" s="43">
        <v>6588.5784726399997</v>
      </c>
      <c r="CI85" s="43">
        <v>6588.5784726399997</v>
      </c>
      <c r="CJ85" s="114">
        <v>15873.57847264</v>
      </c>
      <c r="CK85" s="43"/>
      <c r="CL85" s="116">
        <v>-700</v>
      </c>
      <c r="CM85" s="43">
        <v>700</v>
      </c>
      <c r="CN85" s="43">
        <v>4485</v>
      </c>
      <c r="CO85" s="43">
        <v>0</v>
      </c>
      <c r="CP85" s="43">
        <v>0</v>
      </c>
      <c r="CQ85" s="43">
        <v>0</v>
      </c>
      <c r="CR85" s="43">
        <v>-5000</v>
      </c>
      <c r="CS85" s="43">
        <v>5000</v>
      </c>
      <c r="CT85" s="43">
        <v>-5300</v>
      </c>
      <c r="CU85" s="43">
        <v>5300</v>
      </c>
      <c r="CV85" s="43">
        <v>-4000</v>
      </c>
      <c r="CW85" s="43">
        <v>4000</v>
      </c>
      <c r="CX85" s="43">
        <v>4800</v>
      </c>
      <c r="CY85" s="43">
        <v>0</v>
      </c>
      <c r="CZ85" s="43">
        <v>6588.5784726399997</v>
      </c>
      <c r="DA85" s="43">
        <v>0</v>
      </c>
      <c r="DB85" s="114">
        <v>15000</v>
      </c>
      <c r="DC85" s="43"/>
      <c r="DD85" s="117">
        <v>41322.707000000002</v>
      </c>
      <c r="DE85" s="55">
        <v>1576.356</v>
      </c>
      <c r="DF85" s="59">
        <v>1954.1065422992001</v>
      </c>
      <c r="DG85" s="59">
        <v>44853.169542299205</v>
      </c>
      <c r="DH85" s="117">
        <v>10080.695</v>
      </c>
      <c r="DI85" s="117">
        <v>60214.411</v>
      </c>
      <c r="DJ85" s="55">
        <v>7933</v>
      </c>
      <c r="DK85" s="114">
        <v>68147.410999999993</v>
      </c>
      <c r="DL85" s="43"/>
      <c r="DM85" s="117">
        <v>767.87699999999995</v>
      </c>
      <c r="DN85" s="55">
        <v>10571.615847326309</v>
      </c>
      <c r="DO85" s="55">
        <v>11339.49284732631</v>
      </c>
      <c r="DP85" s="59">
        <v>1607.5503830725179</v>
      </c>
      <c r="DQ85" s="59">
        <v>2940.8162252905781</v>
      </c>
      <c r="DR85" s="59">
        <v>0</v>
      </c>
      <c r="DS85" s="55">
        <v>2940.8162252905781</v>
      </c>
      <c r="DT85" s="55">
        <v>163.37867918280989</v>
      </c>
      <c r="DU85" s="55">
        <v>163.37867918280989</v>
      </c>
      <c r="DW85" s="121">
        <v>0</v>
      </c>
      <c r="DX85" s="122">
        <v>4941.8239506800001</v>
      </c>
      <c r="DY85" s="128">
        <v>944.58008299999995</v>
      </c>
      <c r="DZ85" s="128">
        <v>0</v>
      </c>
      <c r="EA85" s="121">
        <v>0</v>
      </c>
      <c r="EB85" s="122">
        <v>1553.672292</v>
      </c>
      <c r="EC85" s="121">
        <v>0</v>
      </c>
      <c r="ED85" s="122">
        <v>356.82877138999999</v>
      </c>
      <c r="EE85" s="121">
        <v>0</v>
      </c>
      <c r="EF85" s="122">
        <v>847.5</v>
      </c>
      <c r="EG85" s="121">
        <v>0</v>
      </c>
      <c r="EH85" s="122">
        <v>7397.5988710000001</v>
      </c>
      <c r="EI85" s="121">
        <v>0</v>
      </c>
      <c r="EJ85" s="122">
        <v>4941.8239506800001</v>
      </c>
      <c r="EK85" s="129">
        <v>1553.672292</v>
      </c>
      <c r="EL85" s="130">
        <v>847.5</v>
      </c>
      <c r="EM85" s="131">
        <v>735.83500000000004</v>
      </c>
      <c r="EN85" s="129">
        <v>0</v>
      </c>
      <c r="EO85" s="129">
        <v>9546.5077253899999</v>
      </c>
      <c r="EP85" s="129">
        <v>0</v>
      </c>
      <c r="ER85" s="157">
        <v>0</v>
      </c>
      <c r="ES85" s="37">
        <v>439.68117799999999</v>
      </c>
      <c r="ET85" s="55">
        <f t="shared" si="10"/>
        <v>1.5284391823066953E-2</v>
      </c>
      <c r="EU85" s="157">
        <v>0</v>
      </c>
      <c r="EV85" s="37">
        <v>0</v>
      </c>
      <c r="EW85" s="55">
        <f t="shared" si="9"/>
        <v>0</v>
      </c>
      <c r="EY85" s="166">
        <v>0</v>
      </c>
      <c r="EZ85" s="37">
        <v>3156.57</v>
      </c>
      <c r="FA85" s="164">
        <f t="shared" si="11"/>
        <v>0.23203283156840868</v>
      </c>
      <c r="FB85" s="5">
        <v>4613</v>
      </c>
      <c r="FC85" s="164">
        <f t="shared" si="12"/>
        <v>1</v>
      </c>
      <c r="FE85" s="5"/>
      <c r="FF85" s="166">
        <v>0</v>
      </c>
      <c r="FG85" s="37">
        <v>0</v>
      </c>
      <c r="FH85" s="164">
        <f t="shared" si="13"/>
        <v>0</v>
      </c>
      <c r="FI85" s="5">
        <v>0</v>
      </c>
      <c r="FJ85" s="164">
        <f t="shared" si="14"/>
        <v>0</v>
      </c>
      <c r="FL85" s="169">
        <v>7873</v>
      </c>
      <c r="FM85" s="170">
        <f t="shared" si="15"/>
        <v>0.68245451314546257</v>
      </c>
      <c r="FN85" s="169">
        <v>2591</v>
      </c>
      <c r="FO85" s="170">
        <f t="shared" si="16"/>
        <v>0.82634348588741824</v>
      </c>
    </row>
    <row r="86" spans="16:171" x14ac:dyDescent="0.35">
      <c r="P86" s="64">
        <v>84</v>
      </c>
      <c r="Q86" s="109">
        <v>19671</v>
      </c>
      <c r="R86" s="110">
        <v>0.23699999999999999</v>
      </c>
      <c r="S86" s="111">
        <v>413.23</v>
      </c>
      <c r="T86" s="110">
        <v>8.6000000000000007E-2</v>
      </c>
      <c r="U86" s="111">
        <v>8550</v>
      </c>
      <c r="V86" s="110">
        <v>0.28499999999999998</v>
      </c>
      <c r="W86" s="111">
        <v>3206.3386</v>
      </c>
      <c r="X86" s="110">
        <v>0.223</v>
      </c>
      <c r="Y86" s="111">
        <v>1777.4215999999999</v>
      </c>
      <c r="Z86" s="110">
        <v>0.184</v>
      </c>
      <c r="AA86" s="111">
        <v>11415.24</v>
      </c>
      <c r="AB86" s="110">
        <v>0.222</v>
      </c>
      <c r="AC86" s="111">
        <v>8523.0272000000004</v>
      </c>
      <c r="AD86" s="110">
        <v>0.184</v>
      </c>
      <c r="AF86" s="64">
        <v>84</v>
      </c>
      <c r="AG86" s="109">
        <v>10234.977000000001</v>
      </c>
      <c r="AH86" s="111">
        <v>1412.2</v>
      </c>
      <c r="AI86" s="109">
        <v>307</v>
      </c>
      <c r="AJ86" s="59">
        <v>0.115</v>
      </c>
      <c r="AK86" s="59">
        <v>0.61399999999999999</v>
      </c>
      <c r="AL86" s="59">
        <v>0.61399999999999999</v>
      </c>
      <c r="AM86" s="110">
        <v>83.98</v>
      </c>
      <c r="AN86" s="111">
        <v>326.02080000000001</v>
      </c>
      <c r="AO86" s="59">
        <v>0.13</v>
      </c>
      <c r="AP86" s="55">
        <v>2.8000000000000001E-2</v>
      </c>
      <c r="AQ86" s="109">
        <v>10748.6</v>
      </c>
      <c r="AR86" s="111">
        <v>17207.174999999999</v>
      </c>
      <c r="AS86" s="59">
        <v>0.24100000000000002</v>
      </c>
      <c r="AT86" s="55">
        <v>0.73299999999999998</v>
      </c>
      <c r="AU86" s="43"/>
      <c r="AV86" s="109">
        <v>1068.7940000000001</v>
      </c>
      <c r="AW86" s="110">
        <v>0.43399982133140597</v>
      </c>
      <c r="AX86" s="109">
        <v>965.08900000000006</v>
      </c>
      <c r="AY86" s="110">
        <v>0.60055320472930929</v>
      </c>
      <c r="AZ86" s="109">
        <v>1121.4780000000001</v>
      </c>
      <c r="BA86" s="110">
        <v>0.5784392407674851</v>
      </c>
      <c r="BB86" s="43"/>
      <c r="BC86" s="112">
        <v>52500.305999999997</v>
      </c>
      <c r="BD86" s="110">
        <v>0.75409836065573765</v>
      </c>
      <c r="BE86" s="43"/>
      <c r="BF86" s="157">
        <v>14320.626</v>
      </c>
      <c r="BG86" s="43">
        <v>0</v>
      </c>
      <c r="BH86" s="113">
        <v>0</v>
      </c>
      <c r="BI86" s="114">
        <v>0.43928300613496934</v>
      </c>
      <c r="BJ86" s="115">
        <v>0</v>
      </c>
      <c r="BK86" s="113">
        <v>0</v>
      </c>
      <c r="BL86" s="113">
        <v>0</v>
      </c>
      <c r="BM86" s="113">
        <v>0</v>
      </c>
      <c r="BN86" s="113">
        <v>3933.8969999999999</v>
      </c>
      <c r="BO86" s="114">
        <v>0.29187542662116039</v>
      </c>
      <c r="BP86" s="115">
        <v>0</v>
      </c>
      <c r="BQ86" s="43">
        <v>7668</v>
      </c>
      <c r="BR86" s="43">
        <v>650.75608927000007</v>
      </c>
      <c r="BS86" s="43"/>
      <c r="BT86" s="116">
        <v>-700</v>
      </c>
      <c r="BU86" s="43">
        <v>0</v>
      </c>
      <c r="BV86" s="43">
        <v>4485</v>
      </c>
      <c r="BW86" s="43">
        <v>4485</v>
      </c>
      <c r="BX86" s="43">
        <v>0</v>
      </c>
      <c r="BY86" s="43">
        <v>0</v>
      </c>
      <c r="BZ86" s="43">
        <v>-5000</v>
      </c>
      <c r="CA86" s="43">
        <v>0</v>
      </c>
      <c r="CB86" s="43">
        <v>-5300</v>
      </c>
      <c r="CC86" s="43">
        <v>0</v>
      </c>
      <c r="CD86" s="43">
        <v>-4000</v>
      </c>
      <c r="CE86" s="43">
        <v>0</v>
      </c>
      <c r="CF86" s="43">
        <v>4800</v>
      </c>
      <c r="CG86" s="43">
        <v>4800</v>
      </c>
      <c r="CH86" s="43">
        <v>5474.14883216</v>
      </c>
      <c r="CI86" s="43">
        <v>5474.14883216</v>
      </c>
      <c r="CJ86" s="114">
        <v>14759.148832160001</v>
      </c>
      <c r="CK86" s="43"/>
      <c r="CL86" s="116">
        <v>-700</v>
      </c>
      <c r="CM86" s="43">
        <v>700</v>
      </c>
      <c r="CN86" s="43">
        <v>4485</v>
      </c>
      <c r="CO86" s="43">
        <v>0</v>
      </c>
      <c r="CP86" s="43">
        <v>0</v>
      </c>
      <c r="CQ86" s="43">
        <v>0</v>
      </c>
      <c r="CR86" s="43">
        <v>-5000</v>
      </c>
      <c r="CS86" s="43">
        <v>5000</v>
      </c>
      <c r="CT86" s="43">
        <v>-5300</v>
      </c>
      <c r="CU86" s="43">
        <v>5300</v>
      </c>
      <c r="CV86" s="43">
        <v>-4000</v>
      </c>
      <c r="CW86" s="43">
        <v>4000</v>
      </c>
      <c r="CX86" s="43">
        <v>4800</v>
      </c>
      <c r="CY86" s="43">
        <v>0</v>
      </c>
      <c r="CZ86" s="43">
        <v>5474.14883216</v>
      </c>
      <c r="DA86" s="43">
        <v>0</v>
      </c>
      <c r="DB86" s="114">
        <v>15000</v>
      </c>
      <c r="DC86" s="43"/>
      <c r="DD86" s="117">
        <v>41751.985999999997</v>
      </c>
      <c r="DE86" s="55">
        <v>1577.047</v>
      </c>
      <c r="DF86" s="59">
        <v>2464.8719474283998</v>
      </c>
      <c r="DG86" s="59">
        <v>45793.904947428397</v>
      </c>
      <c r="DH86" s="117">
        <v>11007.325999999999</v>
      </c>
      <c r="DI86" s="117">
        <v>61560.411</v>
      </c>
      <c r="DJ86" s="55">
        <v>7337</v>
      </c>
      <c r="DK86" s="114">
        <v>68897.410999999993</v>
      </c>
      <c r="DL86" s="43"/>
      <c r="DM86" s="117">
        <v>725.95100000000002</v>
      </c>
      <c r="DN86" s="55">
        <v>10555.905846475949</v>
      </c>
      <c r="DO86" s="55">
        <v>11281.856846475948</v>
      </c>
      <c r="DP86" s="59">
        <v>1607.5503830725179</v>
      </c>
      <c r="DQ86" s="59">
        <v>2932.5383508653349</v>
      </c>
      <c r="DR86" s="59">
        <v>0</v>
      </c>
      <c r="DS86" s="55">
        <v>2932.5383508653349</v>
      </c>
      <c r="DT86" s="55">
        <v>162.91879727029641</v>
      </c>
      <c r="DU86" s="55">
        <v>162.91879727029641</v>
      </c>
      <c r="DW86" s="121">
        <v>0</v>
      </c>
      <c r="DX86" s="122">
        <v>5987.1838325999997</v>
      </c>
      <c r="DY86" s="128">
        <v>1196.160083</v>
      </c>
      <c r="DZ86" s="128">
        <v>0</v>
      </c>
      <c r="EA86" s="121">
        <v>0</v>
      </c>
      <c r="EB86" s="122">
        <v>1553.672292</v>
      </c>
      <c r="EC86" s="121">
        <v>0</v>
      </c>
      <c r="ED86" s="122">
        <v>1158.8865277299999</v>
      </c>
      <c r="EE86" s="121">
        <v>0</v>
      </c>
      <c r="EF86" s="122">
        <v>847.5</v>
      </c>
      <c r="EG86" s="121">
        <v>0</v>
      </c>
      <c r="EH86" s="122">
        <v>7397.5988710000001</v>
      </c>
      <c r="EI86" s="121">
        <v>0</v>
      </c>
      <c r="EJ86" s="122">
        <v>5987.1838325999997</v>
      </c>
      <c r="EK86" s="129">
        <v>1553.672292</v>
      </c>
      <c r="EL86" s="130">
        <v>847.5</v>
      </c>
      <c r="EM86" s="131">
        <v>735.83500000000004</v>
      </c>
      <c r="EN86" s="129">
        <v>0</v>
      </c>
      <c r="EO86" s="129">
        <v>10600.14548173</v>
      </c>
      <c r="EP86" s="129">
        <v>0</v>
      </c>
      <c r="ER86" s="157">
        <v>0</v>
      </c>
      <c r="ES86" s="37">
        <v>0</v>
      </c>
      <c r="ET86" s="55">
        <f t="shared" si="10"/>
        <v>0</v>
      </c>
      <c r="EU86" s="157">
        <v>0</v>
      </c>
      <c r="EV86" s="37">
        <v>0</v>
      </c>
      <c r="EW86" s="55">
        <f t="shared" si="9"/>
        <v>0</v>
      </c>
      <c r="EY86" s="166">
        <v>0</v>
      </c>
      <c r="EZ86" s="37">
        <v>0</v>
      </c>
      <c r="FA86" s="164">
        <f t="shared" si="11"/>
        <v>0</v>
      </c>
      <c r="FB86" s="5">
        <v>4613</v>
      </c>
      <c r="FC86" s="164">
        <f t="shared" si="12"/>
        <v>1</v>
      </c>
      <c r="FE86" s="5"/>
      <c r="FF86" s="166">
        <v>0</v>
      </c>
      <c r="FG86" s="37">
        <v>1370.06201962</v>
      </c>
      <c r="FH86" s="164">
        <f t="shared" si="13"/>
        <v>0.10285171778015502</v>
      </c>
      <c r="FI86" s="5">
        <v>0</v>
      </c>
      <c r="FJ86" s="164">
        <f t="shared" si="14"/>
        <v>0</v>
      </c>
      <c r="FL86" s="169">
        <v>7873</v>
      </c>
      <c r="FM86" s="170">
        <f t="shared" si="15"/>
        <v>0.68245451314546257</v>
      </c>
      <c r="FN86" s="169">
        <v>2591</v>
      </c>
      <c r="FO86" s="170">
        <f t="shared" si="16"/>
        <v>0.82634348588741824</v>
      </c>
    </row>
    <row r="87" spans="16:171" x14ac:dyDescent="0.35">
      <c r="P87" s="64">
        <v>85</v>
      </c>
      <c r="Q87" s="109">
        <v>23323</v>
      </c>
      <c r="R87" s="110">
        <v>0.28100000000000003</v>
      </c>
      <c r="S87" s="111">
        <v>538.16</v>
      </c>
      <c r="T87" s="110">
        <v>0.11199999999999999</v>
      </c>
      <c r="U87" s="111">
        <v>10200</v>
      </c>
      <c r="V87" s="110">
        <v>0.34</v>
      </c>
      <c r="W87" s="111">
        <v>4385.3509999999997</v>
      </c>
      <c r="X87" s="110">
        <v>0.30499999999999994</v>
      </c>
      <c r="Y87" s="111">
        <v>2366.6754999999998</v>
      </c>
      <c r="Z87" s="110">
        <v>0.245</v>
      </c>
      <c r="AA87" s="111">
        <v>13214.94</v>
      </c>
      <c r="AB87" s="110">
        <v>0.25700000000000001</v>
      </c>
      <c r="AC87" s="111">
        <v>9866.3304000000007</v>
      </c>
      <c r="AD87" s="110">
        <v>0.21299999999999999</v>
      </c>
      <c r="AF87" s="64">
        <v>85</v>
      </c>
      <c r="AG87" s="109">
        <v>12281.972400000001</v>
      </c>
      <c r="AH87" s="111">
        <v>1476.6</v>
      </c>
      <c r="AI87" s="109">
        <v>321</v>
      </c>
      <c r="AJ87" s="59">
        <v>0.13800000000000001</v>
      </c>
      <c r="AK87" s="59">
        <v>0.64200000000000002</v>
      </c>
      <c r="AL87" s="59">
        <v>0.64200000000000002</v>
      </c>
      <c r="AM87" s="110">
        <v>84.626000000000005</v>
      </c>
      <c r="AN87" s="111">
        <v>500.6748</v>
      </c>
      <c r="AO87" s="59">
        <v>0.13100000000000001</v>
      </c>
      <c r="AP87" s="55">
        <v>4.2999999999999997E-2</v>
      </c>
      <c r="AQ87" s="109">
        <v>12354.2</v>
      </c>
      <c r="AR87" s="111">
        <v>17418.45</v>
      </c>
      <c r="AS87" s="59">
        <v>0.27700000000000002</v>
      </c>
      <c r="AT87" s="55">
        <v>0.74199999999999999</v>
      </c>
      <c r="AU87" s="43"/>
      <c r="AV87" s="109">
        <v>1071.2570000000001</v>
      </c>
      <c r="AW87" s="110">
        <v>0.43499995939350139</v>
      </c>
      <c r="AX87" s="109">
        <v>966.77700000000004</v>
      </c>
      <c r="AY87" s="110">
        <v>0.60160360920970757</v>
      </c>
      <c r="AZ87" s="109">
        <v>1121.4780000000001</v>
      </c>
      <c r="BA87" s="110">
        <v>0.5784392407674851</v>
      </c>
      <c r="BB87" s="43"/>
      <c r="BC87" s="112">
        <v>52500.305999999997</v>
      </c>
      <c r="BD87" s="110">
        <v>0.75409836065573765</v>
      </c>
      <c r="BE87" s="43"/>
      <c r="BF87" s="157">
        <v>17043.322</v>
      </c>
      <c r="BG87" s="43">
        <v>0</v>
      </c>
      <c r="BH87" s="113">
        <v>0</v>
      </c>
      <c r="BI87" s="114">
        <v>0.52280128834355832</v>
      </c>
      <c r="BJ87" s="115">
        <v>0</v>
      </c>
      <c r="BK87" s="113">
        <v>0</v>
      </c>
      <c r="BL87" s="113">
        <v>0</v>
      </c>
      <c r="BM87" s="113">
        <v>0</v>
      </c>
      <c r="BN87" s="113">
        <v>4834.74</v>
      </c>
      <c r="BO87" s="114">
        <v>0.35871345897017359</v>
      </c>
      <c r="BP87" s="115">
        <v>0</v>
      </c>
      <c r="BQ87" s="43">
        <v>7668</v>
      </c>
      <c r="BR87" s="43">
        <v>0</v>
      </c>
      <c r="BS87" s="43"/>
      <c r="BT87" s="116">
        <v>-700</v>
      </c>
      <c r="BU87" s="43">
        <v>0</v>
      </c>
      <c r="BV87" s="43">
        <v>4485</v>
      </c>
      <c r="BW87" s="43">
        <v>4485</v>
      </c>
      <c r="BX87" s="43">
        <v>0</v>
      </c>
      <c r="BY87" s="43">
        <v>0</v>
      </c>
      <c r="BZ87" s="43">
        <v>-5000</v>
      </c>
      <c r="CA87" s="43">
        <v>0</v>
      </c>
      <c r="CB87" s="43">
        <v>-5300</v>
      </c>
      <c r="CC87" s="43">
        <v>0</v>
      </c>
      <c r="CD87" s="43">
        <v>-1604.7777159100001</v>
      </c>
      <c r="CE87" s="43">
        <v>0</v>
      </c>
      <c r="CF87" s="43">
        <v>4800</v>
      </c>
      <c r="CG87" s="43">
        <v>4800</v>
      </c>
      <c r="CH87" s="43">
        <v>7017.5486883499998</v>
      </c>
      <c r="CI87" s="43">
        <v>7017.5486883499998</v>
      </c>
      <c r="CJ87" s="114">
        <v>16302.54868835</v>
      </c>
      <c r="CK87" s="43"/>
      <c r="CL87" s="116">
        <v>-700</v>
      </c>
      <c r="CM87" s="43">
        <v>700</v>
      </c>
      <c r="CN87" s="43">
        <v>4485</v>
      </c>
      <c r="CO87" s="43">
        <v>0</v>
      </c>
      <c r="CP87" s="43">
        <v>0</v>
      </c>
      <c r="CQ87" s="43">
        <v>0</v>
      </c>
      <c r="CR87" s="43">
        <v>-5000</v>
      </c>
      <c r="CS87" s="43">
        <v>5000</v>
      </c>
      <c r="CT87" s="43">
        <v>-5300</v>
      </c>
      <c r="CU87" s="43">
        <v>5300</v>
      </c>
      <c r="CV87" s="43">
        <v>-1604.7777159100001</v>
      </c>
      <c r="CW87" s="43">
        <v>1604.7777159100001</v>
      </c>
      <c r="CX87" s="43">
        <v>4800</v>
      </c>
      <c r="CY87" s="43">
        <v>0</v>
      </c>
      <c r="CZ87" s="43">
        <v>7017.5486883499998</v>
      </c>
      <c r="DA87" s="43">
        <v>0</v>
      </c>
      <c r="DB87" s="114">
        <v>12604.777715910001</v>
      </c>
      <c r="DC87" s="43"/>
      <c r="DD87" s="117">
        <v>42150.303999999996</v>
      </c>
      <c r="DE87" s="55">
        <v>1577.826</v>
      </c>
      <c r="DF87" s="59">
        <v>2692.2592928988001</v>
      </c>
      <c r="DG87" s="59">
        <v>46420.389292898799</v>
      </c>
      <c r="DH87" s="117">
        <v>11847.392</v>
      </c>
      <c r="DI87" s="117">
        <v>62508.411</v>
      </c>
      <c r="DJ87" s="55">
        <v>6638</v>
      </c>
      <c r="DK87" s="114">
        <v>69146.410999999993</v>
      </c>
      <c r="DL87" s="43"/>
      <c r="DM87" s="117">
        <v>695.30499999999995</v>
      </c>
      <c r="DN87" s="55">
        <v>10540.1958456256</v>
      </c>
      <c r="DO87" s="55">
        <v>11235.5008456256</v>
      </c>
      <c r="DP87" s="59">
        <v>1555.9943428215181</v>
      </c>
      <c r="DQ87" s="59">
        <v>2924.2604764400921</v>
      </c>
      <c r="DR87" s="59">
        <v>436.87514556000002</v>
      </c>
      <c r="DS87" s="55">
        <v>3361.1356220000921</v>
      </c>
      <c r="DT87" s="55">
        <v>162.4589153577829</v>
      </c>
      <c r="DU87" s="55">
        <v>162.4589153577829</v>
      </c>
      <c r="DW87" s="121">
        <v>0</v>
      </c>
      <c r="DX87" s="122">
        <v>6779.6610170000004</v>
      </c>
      <c r="DY87" s="128">
        <v>1447.7400829999999</v>
      </c>
      <c r="DZ87" s="128">
        <v>0</v>
      </c>
      <c r="EA87" s="121">
        <v>0</v>
      </c>
      <c r="EB87" s="122">
        <v>1553.672292</v>
      </c>
      <c r="EC87" s="121">
        <v>0</v>
      </c>
      <c r="ED87" s="122">
        <v>1271.1864410000001</v>
      </c>
      <c r="EE87" s="121">
        <v>0</v>
      </c>
      <c r="EF87" s="122">
        <v>847.5</v>
      </c>
      <c r="EG87" s="121">
        <v>0</v>
      </c>
      <c r="EH87" s="122">
        <v>7397.5988710000001</v>
      </c>
      <c r="EI87" s="121">
        <v>0</v>
      </c>
      <c r="EJ87" s="122">
        <v>6779.6610170000004</v>
      </c>
      <c r="EK87" s="129">
        <v>1553.672292</v>
      </c>
      <c r="EL87" s="130">
        <v>847.5</v>
      </c>
      <c r="EM87" s="131">
        <v>735.83500000000004</v>
      </c>
      <c r="EN87" s="129">
        <v>436.87514556000002</v>
      </c>
      <c r="EO87" s="129">
        <v>10964.025395000001</v>
      </c>
      <c r="EP87" s="129">
        <v>0</v>
      </c>
      <c r="ER87" s="157">
        <v>0</v>
      </c>
      <c r="ES87" s="37">
        <v>0</v>
      </c>
      <c r="ET87" s="55">
        <f t="shared" si="10"/>
        <v>0</v>
      </c>
      <c r="EU87" s="157">
        <v>0</v>
      </c>
      <c r="EV87" s="37">
        <v>0</v>
      </c>
      <c r="EW87" s="55">
        <f t="shared" si="9"/>
        <v>0</v>
      </c>
      <c r="EY87" s="166">
        <v>0</v>
      </c>
      <c r="EZ87" s="37">
        <v>2750.8483830800001</v>
      </c>
      <c r="FA87" s="164">
        <f t="shared" si="11"/>
        <v>0.20220908756702083</v>
      </c>
      <c r="FB87" s="5">
        <v>4613</v>
      </c>
      <c r="FC87" s="164">
        <f t="shared" si="12"/>
        <v>1</v>
      </c>
      <c r="FE87" s="5"/>
      <c r="FF87" s="166">
        <v>0</v>
      </c>
      <c r="FG87" s="37">
        <v>0</v>
      </c>
      <c r="FH87" s="164">
        <f t="shared" si="13"/>
        <v>0</v>
      </c>
      <c r="FI87" s="5">
        <v>0</v>
      </c>
      <c r="FJ87" s="164">
        <f t="shared" si="14"/>
        <v>0</v>
      </c>
      <c r="FL87" s="169">
        <v>7873</v>
      </c>
      <c r="FM87" s="170">
        <f t="shared" si="15"/>
        <v>0.68245451314546257</v>
      </c>
      <c r="FN87" s="169">
        <v>2591</v>
      </c>
      <c r="FO87" s="170">
        <f t="shared" si="16"/>
        <v>0.82634348588741824</v>
      </c>
    </row>
    <row r="88" spans="16:171" x14ac:dyDescent="0.35">
      <c r="P88" s="64">
        <v>86</v>
      </c>
      <c r="Q88" s="109">
        <v>24402</v>
      </c>
      <c r="R88" s="110">
        <v>0.29399999999999998</v>
      </c>
      <c r="S88" s="111">
        <v>586.21</v>
      </c>
      <c r="T88" s="110">
        <v>0.12200000000000001</v>
      </c>
      <c r="U88" s="111">
        <v>10380</v>
      </c>
      <c r="V88" s="110">
        <v>0.34599999999999997</v>
      </c>
      <c r="W88" s="111">
        <v>4960.4790000000003</v>
      </c>
      <c r="X88" s="110">
        <v>0.34500000000000003</v>
      </c>
      <c r="Y88" s="111">
        <v>2608.1729999999998</v>
      </c>
      <c r="Z88" s="110">
        <v>0.26999999999999996</v>
      </c>
      <c r="AA88" s="111">
        <v>13009.26</v>
      </c>
      <c r="AB88" s="110">
        <v>0.253</v>
      </c>
      <c r="AC88" s="111">
        <v>9681.0472000000009</v>
      </c>
      <c r="AD88" s="110">
        <v>0.20900000000000002</v>
      </c>
      <c r="AF88" s="64">
        <v>86</v>
      </c>
      <c r="AG88" s="109">
        <v>14506.9674</v>
      </c>
      <c r="AH88" s="111">
        <v>1536.4</v>
      </c>
      <c r="AI88" s="109">
        <v>334</v>
      </c>
      <c r="AJ88" s="59">
        <v>0.16299999999999998</v>
      </c>
      <c r="AK88" s="59">
        <v>0.66800000000000004</v>
      </c>
      <c r="AL88" s="59">
        <v>0.66800000000000004</v>
      </c>
      <c r="AM88" s="110">
        <v>99.483999999999995</v>
      </c>
      <c r="AN88" s="111">
        <v>1339.0139999999999</v>
      </c>
      <c r="AO88" s="59">
        <v>0.154</v>
      </c>
      <c r="AP88" s="55">
        <v>0.11499999999999999</v>
      </c>
      <c r="AQ88" s="109">
        <v>14539.6</v>
      </c>
      <c r="AR88" s="111">
        <v>18404.400000000001</v>
      </c>
      <c r="AS88" s="59">
        <v>0.32600000000000001</v>
      </c>
      <c r="AT88" s="55">
        <v>0.78400000000000003</v>
      </c>
      <c r="AU88" s="43"/>
      <c r="AV88" s="109">
        <v>1058.944</v>
      </c>
      <c r="AW88" s="110">
        <v>0.43000008121299732</v>
      </c>
      <c r="AX88" s="109">
        <v>942.80899999999997</v>
      </c>
      <c r="AY88" s="110">
        <v>0.5866888612321095</v>
      </c>
      <c r="AZ88" s="109">
        <v>1121.4780000000001</v>
      </c>
      <c r="BA88" s="110">
        <v>0.5784392407674851</v>
      </c>
      <c r="BB88" s="43"/>
      <c r="BC88" s="112">
        <v>52500.305999999997</v>
      </c>
      <c r="BD88" s="110">
        <v>0.75409836065573765</v>
      </c>
      <c r="BE88" s="43"/>
      <c r="BF88" s="157">
        <v>18341.349999999999</v>
      </c>
      <c r="BG88" s="43">
        <v>0</v>
      </c>
      <c r="BH88" s="113">
        <v>0</v>
      </c>
      <c r="BI88" s="114">
        <v>0.56261809815950914</v>
      </c>
      <c r="BJ88" s="115">
        <v>0</v>
      </c>
      <c r="BK88" s="113">
        <v>0</v>
      </c>
      <c r="BL88" s="113">
        <v>0</v>
      </c>
      <c r="BM88" s="113">
        <v>0</v>
      </c>
      <c r="BN88" s="113">
        <v>5441.5469999999996</v>
      </c>
      <c r="BO88" s="114">
        <v>0.40373549488054605</v>
      </c>
      <c r="BP88" s="115">
        <v>0</v>
      </c>
      <c r="BQ88" s="43">
        <v>7668</v>
      </c>
      <c r="BR88" s="43">
        <v>0</v>
      </c>
      <c r="BS88" s="43"/>
      <c r="BT88" s="116">
        <v>-700</v>
      </c>
      <c r="BU88" s="43">
        <v>0</v>
      </c>
      <c r="BV88" s="43">
        <v>4485</v>
      </c>
      <c r="BW88" s="43">
        <v>4485</v>
      </c>
      <c r="BX88" s="43">
        <v>0</v>
      </c>
      <c r="BY88" s="43">
        <v>0</v>
      </c>
      <c r="BZ88" s="43">
        <v>-5000</v>
      </c>
      <c r="CA88" s="43">
        <v>0</v>
      </c>
      <c r="CB88" s="43">
        <v>-5300</v>
      </c>
      <c r="CC88" s="43">
        <v>0</v>
      </c>
      <c r="CD88" s="43">
        <v>-1406.0192195100001</v>
      </c>
      <c r="CE88" s="43">
        <v>0</v>
      </c>
      <c r="CF88" s="43">
        <v>4800</v>
      </c>
      <c r="CG88" s="43">
        <v>4800</v>
      </c>
      <c r="CH88" s="43">
        <v>9593.3341387</v>
      </c>
      <c r="CI88" s="43">
        <v>9593.3341387</v>
      </c>
      <c r="CJ88" s="114">
        <v>18878.3341387</v>
      </c>
      <c r="CK88" s="43"/>
      <c r="CL88" s="116">
        <v>-700</v>
      </c>
      <c r="CM88" s="43">
        <v>700</v>
      </c>
      <c r="CN88" s="43">
        <v>4485</v>
      </c>
      <c r="CO88" s="43">
        <v>0</v>
      </c>
      <c r="CP88" s="43">
        <v>0</v>
      </c>
      <c r="CQ88" s="43">
        <v>0</v>
      </c>
      <c r="CR88" s="43">
        <v>-5000</v>
      </c>
      <c r="CS88" s="43">
        <v>5000</v>
      </c>
      <c r="CT88" s="43">
        <v>-5300</v>
      </c>
      <c r="CU88" s="43">
        <v>5300</v>
      </c>
      <c r="CV88" s="43">
        <v>-1406.0192195100001</v>
      </c>
      <c r="CW88" s="43">
        <v>1406.0192195100001</v>
      </c>
      <c r="CX88" s="43">
        <v>4800</v>
      </c>
      <c r="CY88" s="43">
        <v>0</v>
      </c>
      <c r="CZ88" s="43">
        <v>9593.3341387</v>
      </c>
      <c r="DA88" s="43">
        <v>0</v>
      </c>
      <c r="DB88" s="114">
        <v>12406.019219510001</v>
      </c>
      <c r="DC88" s="43"/>
      <c r="DD88" s="117">
        <v>42071.652999999998</v>
      </c>
      <c r="DE88" s="55">
        <v>1578.7850000000001</v>
      </c>
      <c r="DF88" s="59">
        <v>2386.7889066473999</v>
      </c>
      <c r="DG88" s="59">
        <v>46037.226906647404</v>
      </c>
      <c r="DH88" s="117">
        <v>11933.457</v>
      </c>
      <c r="DI88" s="117">
        <v>60575.411</v>
      </c>
      <c r="DJ88" s="55">
        <v>6263</v>
      </c>
      <c r="DK88" s="114">
        <v>66838.410999999993</v>
      </c>
      <c r="DL88" s="43"/>
      <c r="DM88" s="117">
        <v>717.61400000000003</v>
      </c>
      <c r="DN88" s="55">
        <v>10540.1958456256</v>
      </c>
      <c r="DO88" s="55">
        <v>11257.809845625599</v>
      </c>
      <c r="DP88" s="59">
        <v>1581.7723629470181</v>
      </c>
      <c r="DQ88" s="59">
        <v>2924.2604764400921</v>
      </c>
      <c r="DR88" s="59">
        <v>436.87514556000002</v>
      </c>
      <c r="DS88" s="55">
        <v>3361.1356220000921</v>
      </c>
      <c r="DT88" s="55">
        <v>162.4589153577829</v>
      </c>
      <c r="DU88" s="55">
        <v>162.4589153577829</v>
      </c>
      <c r="DW88" s="121">
        <v>0</v>
      </c>
      <c r="DX88" s="122">
        <v>6779.6610170000004</v>
      </c>
      <c r="DY88" s="128">
        <v>1447.7400829999999</v>
      </c>
      <c r="DZ88" s="128">
        <v>0</v>
      </c>
      <c r="EA88" s="121">
        <v>0</v>
      </c>
      <c r="EB88" s="122">
        <v>1495.88959449</v>
      </c>
      <c r="EC88" s="121">
        <v>0</v>
      </c>
      <c r="ED88" s="122">
        <v>1271.1864410000001</v>
      </c>
      <c r="EE88" s="121">
        <v>0</v>
      </c>
      <c r="EF88" s="122">
        <v>847.5</v>
      </c>
      <c r="EG88" s="121">
        <v>0</v>
      </c>
      <c r="EH88" s="122">
        <v>7397.5988710000001</v>
      </c>
      <c r="EI88" s="121">
        <v>0</v>
      </c>
      <c r="EJ88" s="122">
        <v>6779.6610170000004</v>
      </c>
      <c r="EK88" s="129">
        <v>1495.88959449</v>
      </c>
      <c r="EL88" s="130">
        <v>847.5</v>
      </c>
      <c r="EM88" s="131">
        <v>735.83500000000004</v>
      </c>
      <c r="EN88" s="129">
        <v>436.87514556000002</v>
      </c>
      <c r="EO88" s="129">
        <v>10964.025395000001</v>
      </c>
      <c r="EP88" s="129">
        <v>0</v>
      </c>
      <c r="ER88" s="157">
        <v>0</v>
      </c>
      <c r="ES88" s="37">
        <v>0</v>
      </c>
      <c r="ET88" s="55">
        <f t="shared" si="10"/>
        <v>0</v>
      </c>
      <c r="EU88" s="157">
        <v>0</v>
      </c>
      <c r="EV88" s="37">
        <v>0</v>
      </c>
      <c r="EW88" s="55">
        <f t="shared" si="9"/>
        <v>0</v>
      </c>
      <c r="EY88" s="166">
        <v>0</v>
      </c>
      <c r="EZ88" s="37">
        <v>0</v>
      </c>
      <c r="FA88" s="164">
        <f t="shared" si="11"/>
        <v>0</v>
      </c>
      <c r="FB88" s="5">
        <v>4613</v>
      </c>
      <c r="FC88" s="164">
        <f t="shared" si="12"/>
        <v>1</v>
      </c>
      <c r="FE88" s="5"/>
      <c r="FF88" s="166">
        <v>0</v>
      </c>
      <c r="FG88" s="37">
        <v>0</v>
      </c>
      <c r="FH88" s="164">
        <f t="shared" si="13"/>
        <v>0</v>
      </c>
      <c r="FI88" s="5">
        <v>0</v>
      </c>
      <c r="FJ88" s="164">
        <f t="shared" si="14"/>
        <v>0</v>
      </c>
      <c r="FL88" s="169">
        <v>7873</v>
      </c>
      <c r="FM88" s="170">
        <f t="shared" si="15"/>
        <v>0.68245451314546257</v>
      </c>
      <c r="FN88" s="169">
        <v>2591</v>
      </c>
      <c r="FO88" s="170">
        <f t="shared" si="16"/>
        <v>0.82634348588741824</v>
      </c>
    </row>
    <row r="89" spans="16:171" x14ac:dyDescent="0.35">
      <c r="P89" s="64">
        <v>87</v>
      </c>
      <c r="Q89" s="109">
        <v>23406</v>
      </c>
      <c r="R89" s="110">
        <v>0.28199999999999997</v>
      </c>
      <c r="S89" s="111">
        <v>547.77</v>
      </c>
      <c r="T89" s="110">
        <v>0.11399999999999999</v>
      </c>
      <c r="U89" s="111">
        <v>9210</v>
      </c>
      <c r="V89" s="110">
        <v>0.307</v>
      </c>
      <c r="W89" s="111">
        <v>4816.6970000000001</v>
      </c>
      <c r="X89" s="110">
        <v>0.33499999999999996</v>
      </c>
      <c r="Y89" s="111">
        <v>2453.6145999999999</v>
      </c>
      <c r="Z89" s="110">
        <v>0.254</v>
      </c>
      <c r="AA89" s="111">
        <v>10849.62</v>
      </c>
      <c r="AB89" s="110">
        <v>0.21100000000000002</v>
      </c>
      <c r="AC89" s="111">
        <v>7967.1776</v>
      </c>
      <c r="AD89" s="110">
        <v>0.17199999999999999</v>
      </c>
      <c r="AF89" s="64">
        <v>87</v>
      </c>
      <c r="AG89" s="109">
        <v>16731.9624</v>
      </c>
      <c r="AH89" s="111">
        <v>1607.7</v>
      </c>
      <c r="AI89" s="109">
        <v>349.5</v>
      </c>
      <c r="AJ89" s="59">
        <v>0.188</v>
      </c>
      <c r="AK89" s="59">
        <v>0.69900000000000007</v>
      </c>
      <c r="AL89" s="59">
        <v>0.69899999999999995</v>
      </c>
      <c r="AM89" s="110">
        <v>124.678</v>
      </c>
      <c r="AN89" s="111">
        <v>2771.1768000000002</v>
      </c>
      <c r="AO89" s="59">
        <v>0.193</v>
      </c>
      <c r="AP89" s="55">
        <v>0.23800000000000002</v>
      </c>
      <c r="AQ89" s="109">
        <v>17126.400000000001</v>
      </c>
      <c r="AR89" s="111">
        <v>19179.075000000001</v>
      </c>
      <c r="AS89" s="59">
        <v>0.38400000000000001</v>
      </c>
      <c r="AT89" s="55">
        <v>0.81700000000000006</v>
      </c>
      <c r="AU89" s="43"/>
      <c r="AV89" s="109">
        <v>1063.8689999999999</v>
      </c>
      <c r="AW89" s="110">
        <v>0.43199995127220159</v>
      </c>
      <c r="AX89" s="109">
        <v>938.899</v>
      </c>
      <c r="AY89" s="110">
        <v>0.58425575606720592</v>
      </c>
      <c r="AZ89" s="109">
        <v>1121.4780000000001</v>
      </c>
      <c r="BA89" s="110">
        <v>0.5784392407674851</v>
      </c>
      <c r="BB89" s="43"/>
      <c r="BC89" s="112">
        <v>52500.305999999997</v>
      </c>
      <c r="BD89" s="110">
        <v>0.75409836065573765</v>
      </c>
      <c r="BE89" s="43"/>
      <c r="BF89" s="157">
        <v>18336.964</v>
      </c>
      <c r="BG89" s="43">
        <v>0</v>
      </c>
      <c r="BH89" s="113">
        <v>0</v>
      </c>
      <c r="BI89" s="114">
        <v>0.56248355828220864</v>
      </c>
      <c r="BJ89" s="115">
        <v>0</v>
      </c>
      <c r="BK89" s="113">
        <v>0</v>
      </c>
      <c r="BL89" s="113">
        <v>0</v>
      </c>
      <c r="BM89" s="113">
        <v>0</v>
      </c>
      <c r="BN89" s="113">
        <v>5619.7259999999997</v>
      </c>
      <c r="BO89" s="114">
        <v>0.41695548300934854</v>
      </c>
      <c r="BP89" s="115">
        <v>0</v>
      </c>
      <c r="BQ89" s="43">
        <v>7668</v>
      </c>
      <c r="BR89" s="43">
        <v>0</v>
      </c>
      <c r="BS89" s="43"/>
      <c r="BT89" s="116">
        <v>-700</v>
      </c>
      <c r="BU89" s="43">
        <v>0</v>
      </c>
      <c r="BV89" s="43">
        <v>4485</v>
      </c>
      <c r="BW89" s="43">
        <v>4485</v>
      </c>
      <c r="BX89" s="43">
        <v>0</v>
      </c>
      <c r="BY89" s="43">
        <v>0</v>
      </c>
      <c r="BZ89" s="43">
        <v>-5000</v>
      </c>
      <c r="CA89" s="43">
        <v>0</v>
      </c>
      <c r="CB89" s="43">
        <v>-5300</v>
      </c>
      <c r="CC89" s="43">
        <v>0</v>
      </c>
      <c r="CD89" s="43">
        <v>-4000</v>
      </c>
      <c r="CE89" s="43">
        <v>0</v>
      </c>
      <c r="CF89" s="43">
        <v>4800</v>
      </c>
      <c r="CG89" s="43">
        <v>4800</v>
      </c>
      <c r="CH89" s="43">
        <v>9244.1269337800004</v>
      </c>
      <c r="CI89" s="43">
        <v>9244.1269337800004</v>
      </c>
      <c r="CJ89" s="114">
        <v>18529.12693378</v>
      </c>
      <c r="CK89" s="43"/>
      <c r="CL89" s="116">
        <v>-700</v>
      </c>
      <c r="CM89" s="43">
        <v>700</v>
      </c>
      <c r="CN89" s="43">
        <v>4485</v>
      </c>
      <c r="CO89" s="43">
        <v>0</v>
      </c>
      <c r="CP89" s="43">
        <v>0</v>
      </c>
      <c r="CQ89" s="43">
        <v>0</v>
      </c>
      <c r="CR89" s="43">
        <v>-5000</v>
      </c>
      <c r="CS89" s="43">
        <v>5000</v>
      </c>
      <c r="CT89" s="43">
        <v>-5300</v>
      </c>
      <c r="CU89" s="43">
        <v>5300</v>
      </c>
      <c r="CV89" s="43">
        <v>-4000</v>
      </c>
      <c r="CW89" s="43">
        <v>4000</v>
      </c>
      <c r="CX89" s="43">
        <v>4800</v>
      </c>
      <c r="CY89" s="43">
        <v>0</v>
      </c>
      <c r="CZ89" s="43">
        <v>9244.1269337800004</v>
      </c>
      <c r="DA89" s="43">
        <v>0</v>
      </c>
      <c r="DB89" s="114">
        <v>15000</v>
      </c>
      <c r="DC89" s="43"/>
      <c r="DD89" s="117">
        <v>41364.531000000003</v>
      </c>
      <c r="DE89" s="55">
        <v>1578.509</v>
      </c>
      <c r="DF89" s="59">
        <v>1780.5198930878</v>
      </c>
      <c r="DG89" s="59">
        <v>44723.559893087804</v>
      </c>
      <c r="DH89" s="117">
        <v>11761.205</v>
      </c>
      <c r="DI89" s="117">
        <v>60662.411</v>
      </c>
      <c r="DJ89" s="55">
        <v>6061</v>
      </c>
      <c r="DK89" s="114">
        <v>66723.410999999993</v>
      </c>
      <c r="DL89" s="43"/>
      <c r="DM89" s="117">
        <v>705.69100000000003</v>
      </c>
      <c r="DN89" s="55">
        <v>10555.905846475949</v>
      </c>
      <c r="DO89" s="55">
        <v>11261.59684647595</v>
      </c>
      <c r="DP89" s="59">
        <v>1555.9943428215181</v>
      </c>
      <c r="DQ89" s="59">
        <v>2932.5383508653349</v>
      </c>
      <c r="DR89" s="59">
        <v>428.59727113000002</v>
      </c>
      <c r="DS89" s="55">
        <v>3361.135621995335</v>
      </c>
      <c r="DT89" s="55">
        <v>162.91879727029641</v>
      </c>
      <c r="DU89" s="55">
        <v>162.91879727029641</v>
      </c>
      <c r="DW89" s="121">
        <v>0</v>
      </c>
      <c r="DX89" s="122">
        <v>6779.6610170000004</v>
      </c>
      <c r="DY89" s="128">
        <v>1447.7400829999999</v>
      </c>
      <c r="DZ89" s="128">
        <v>0</v>
      </c>
      <c r="EA89" s="121">
        <v>0</v>
      </c>
      <c r="EB89" s="122">
        <v>902.91620273000001</v>
      </c>
      <c r="EC89" s="121">
        <v>0</v>
      </c>
      <c r="ED89" s="122">
        <v>1271.1864410000001</v>
      </c>
      <c r="EE89" s="121">
        <v>0</v>
      </c>
      <c r="EF89" s="122">
        <v>847.5</v>
      </c>
      <c r="EG89" s="121">
        <v>0</v>
      </c>
      <c r="EH89" s="122">
        <v>7397.5988710000001</v>
      </c>
      <c r="EI89" s="121">
        <v>0</v>
      </c>
      <c r="EJ89" s="122">
        <v>6779.6610170000004</v>
      </c>
      <c r="EK89" s="129">
        <v>902.91620273000001</v>
      </c>
      <c r="EL89" s="130">
        <v>847.5</v>
      </c>
      <c r="EM89" s="131">
        <v>735.83500000000004</v>
      </c>
      <c r="EN89" s="129">
        <v>428.59727113000002</v>
      </c>
      <c r="EO89" s="129">
        <v>10964.025395000001</v>
      </c>
      <c r="EP89" s="129">
        <v>0</v>
      </c>
      <c r="ER89" s="157">
        <v>0</v>
      </c>
      <c r="ES89" s="37">
        <v>0</v>
      </c>
      <c r="ET89" s="55">
        <f t="shared" si="10"/>
        <v>0</v>
      </c>
      <c r="EU89" s="157">
        <v>0</v>
      </c>
      <c r="EV89" s="37">
        <v>0</v>
      </c>
      <c r="EW89" s="55">
        <f t="shared" si="9"/>
        <v>0</v>
      </c>
      <c r="EY89" s="166">
        <v>0</v>
      </c>
      <c r="EZ89" s="37">
        <v>0</v>
      </c>
      <c r="FA89" s="164">
        <f t="shared" si="11"/>
        <v>0</v>
      </c>
      <c r="FB89" s="5">
        <v>4613</v>
      </c>
      <c r="FC89" s="164">
        <f t="shared" si="12"/>
        <v>1</v>
      </c>
      <c r="FE89" s="5"/>
      <c r="FF89" s="166">
        <v>0</v>
      </c>
      <c r="FG89" s="37">
        <v>0</v>
      </c>
      <c r="FH89" s="164">
        <f t="shared" si="13"/>
        <v>0</v>
      </c>
      <c r="FI89" s="5">
        <v>0</v>
      </c>
      <c r="FJ89" s="164">
        <f t="shared" si="14"/>
        <v>0</v>
      </c>
      <c r="FL89" s="169">
        <v>7873</v>
      </c>
      <c r="FM89" s="170">
        <f t="shared" si="15"/>
        <v>0.68245451314546257</v>
      </c>
      <c r="FN89" s="169">
        <v>2591</v>
      </c>
      <c r="FO89" s="170">
        <f t="shared" si="16"/>
        <v>0.82634348588741824</v>
      </c>
    </row>
    <row r="90" spans="16:171" x14ac:dyDescent="0.35">
      <c r="P90" s="64">
        <v>88</v>
      </c>
      <c r="Q90" s="109">
        <v>21165</v>
      </c>
      <c r="R90" s="110">
        <v>0.255</v>
      </c>
      <c r="S90" s="111">
        <v>432.45</v>
      </c>
      <c r="T90" s="110">
        <v>0.09</v>
      </c>
      <c r="U90" s="111">
        <v>7350</v>
      </c>
      <c r="V90" s="110">
        <v>0.245</v>
      </c>
      <c r="W90" s="111">
        <v>3695.1974</v>
      </c>
      <c r="X90" s="110">
        <v>0.25700000000000001</v>
      </c>
      <c r="Y90" s="111">
        <v>1854.7008000000001</v>
      </c>
      <c r="Z90" s="110">
        <v>0.192</v>
      </c>
      <c r="AA90" s="111">
        <v>7095.96</v>
      </c>
      <c r="AB90" s="110">
        <v>0.13800000000000001</v>
      </c>
      <c r="AC90" s="111">
        <v>5048.9672</v>
      </c>
      <c r="AD90" s="110">
        <v>0.109</v>
      </c>
      <c r="AF90" s="64">
        <v>88</v>
      </c>
      <c r="AG90" s="109">
        <v>18511.9584</v>
      </c>
      <c r="AH90" s="111">
        <v>1688.2</v>
      </c>
      <c r="AI90" s="109">
        <v>367</v>
      </c>
      <c r="AJ90" s="59">
        <v>0.20799999999999999</v>
      </c>
      <c r="AK90" s="59">
        <v>0.73399999999999999</v>
      </c>
      <c r="AL90" s="59">
        <v>0.73399999999999999</v>
      </c>
      <c r="AM90" s="110">
        <v>151.16399999999999</v>
      </c>
      <c r="AN90" s="111">
        <v>3854.0315999999998</v>
      </c>
      <c r="AO90" s="59">
        <v>0.23399999999999999</v>
      </c>
      <c r="AP90" s="55">
        <v>0.33099999999999996</v>
      </c>
      <c r="AQ90" s="109">
        <v>21185</v>
      </c>
      <c r="AR90" s="111">
        <v>19437.3</v>
      </c>
      <c r="AS90" s="59">
        <v>0.47499999999999998</v>
      </c>
      <c r="AT90" s="55">
        <v>0.82799999999999996</v>
      </c>
      <c r="AU90" s="43"/>
      <c r="AV90" s="109">
        <v>1044.1679999999999</v>
      </c>
      <c r="AW90" s="110">
        <v>0.42400006497039783</v>
      </c>
      <c r="AX90" s="109">
        <v>948.59900000000005</v>
      </c>
      <c r="AY90" s="110">
        <v>0.59029184816428126</v>
      </c>
      <c r="AZ90" s="109">
        <v>1121.4780000000001</v>
      </c>
      <c r="BA90" s="110">
        <v>0.5784392407674851</v>
      </c>
      <c r="BB90" s="43"/>
      <c r="BC90" s="112">
        <v>52500.305999999997</v>
      </c>
      <c r="BD90" s="110">
        <v>0.75409836065573765</v>
      </c>
      <c r="BE90" s="43"/>
      <c r="BF90" s="157">
        <v>17374.166000000001</v>
      </c>
      <c r="BG90" s="43">
        <v>0</v>
      </c>
      <c r="BH90" s="113">
        <v>0</v>
      </c>
      <c r="BI90" s="114">
        <v>0.53294987730061349</v>
      </c>
      <c r="BJ90" s="115">
        <v>0</v>
      </c>
      <c r="BK90" s="113">
        <v>0</v>
      </c>
      <c r="BL90" s="113">
        <v>0</v>
      </c>
      <c r="BM90" s="113">
        <v>0</v>
      </c>
      <c r="BN90" s="113">
        <v>5106.0630000000001</v>
      </c>
      <c r="BO90" s="114">
        <v>0.37884426472770444</v>
      </c>
      <c r="BP90" s="115">
        <v>0</v>
      </c>
      <c r="BQ90" s="43">
        <v>7668</v>
      </c>
      <c r="BR90" s="43">
        <v>0</v>
      </c>
      <c r="BS90" s="43"/>
      <c r="BT90" s="116">
        <v>-700</v>
      </c>
      <c r="BU90" s="43">
        <v>0</v>
      </c>
      <c r="BV90" s="43">
        <v>4485</v>
      </c>
      <c r="BW90" s="43">
        <v>4485</v>
      </c>
      <c r="BX90" s="43">
        <v>0</v>
      </c>
      <c r="BY90" s="43">
        <v>0</v>
      </c>
      <c r="BZ90" s="43">
        <v>-5000</v>
      </c>
      <c r="CA90" s="43">
        <v>0</v>
      </c>
      <c r="CB90" s="43">
        <v>-5300</v>
      </c>
      <c r="CC90" s="43">
        <v>0</v>
      </c>
      <c r="CD90" s="43">
        <v>-4000</v>
      </c>
      <c r="CE90" s="43">
        <v>0</v>
      </c>
      <c r="CF90" s="43">
        <v>4800</v>
      </c>
      <c r="CG90" s="43">
        <v>4800</v>
      </c>
      <c r="CH90" s="43">
        <v>7324.3135545300001</v>
      </c>
      <c r="CI90" s="43">
        <v>7324.3135545300001</v>
      </c>
      <c r="CJ90" s="114">
        <v>16609.313554529999</v>
      </c>
      <c r="CK90" s="43"/>
      <c r="CL90" s="116">
        <v>-700</v>
      </c>
      <c r="CM90" s="43">
        <v>700</v>
      </c>
      <c r="CN90" s="43">
        <v>4485</v>
      </c>
      <c r="CO90" s="43">
        <v>0</v>
      </c>
      <c r="CP90" s="43">
        <v>0</v>
      </c>
      <c r="CQ90" s="43">
        <v>0</v>
      </c>
      <c r="CR90" s="43">
        <v>-5000</v>
      </c>
      <c r="CS90" s="43">
        <v>5000</v>
      </c>
      <c r="CT90" s="43">
        <v>-5300</v>
      </c>
      <c r="CU90" s="43">
        <v>5300</v>
      </c>
      <c r="CV90" s="43">
        <v>-4000</v>
      </c>
      <c r="CW90" s="43">
        <v>4000</v>
      </c>
      <c r="CX90" s="43">
        <v>4800</v>
      </c>
      <c r="CY90" s="43">
        <v>0</v>
      </c>
      <c r="CZ90" s="43">
        <v>7324.3135545300001</v>
      </c>
      <c r="DA90" s="43">
        <v>0</v>
      </c>
      <c r="DB90" s="114">
        <v>15000</v>
      </c>
      <c r="DC90" s="43"/>
      <c r="DD90" s="117">
        <v>41250.39</v>
      </c>
      <c r="DE90" s="55">
        <v>1575.8710000000001</v>
      </c>
      <c r="DF90" s="59">
        <v>1510.9504346511001</v>
      </c>
      <c r="DG90" s="59">
        <v>44337.211434651101</v>
      </c>
      <c r="DH90" s="117">
        <v>11129.707</v>
      </c>
      <c r="DI90" s="117">
        <v>62290.411</v>
      </c>
      <c r="DJ90" s="55">
        <v>6368</v>
      </c>
      <c r="DK90" s="114">
        <v>68658.410999999993</v>
      </c>
      <c r="DL90" s="43"/>
      <c r="DM90" s="117">
        <v>731.93799999999999</v>
      </c>
      <c r="DN90" s="55">
        <v>10571.615847326309</v>
      </c>
      <c r="DO90" s="55">
        <v>11303.55384732631</v>
      </c>
      <c r="DP90" s="59">
        <v>1555.9943428215181</v>
      </c>
      <c r="DQ90" s="59">
        <v>2940.8162252905781</v>
      </c>
      <c r="DR90" s="59">
        <v>420.31939670999998</v>
      </c>
      <c r="DS90" s="55">
        <v>3361.1356220005782</v>
      </c>
      <c r="DT90" s="55">
        <v>163.37867918280989</v>
      </c>
      <c r="DU90" s="55">
        <v>163.37867918280989</v>
      </c>
      <c r="DW90" s="121">
        <v>0</v>
      </c>
      <c r="DX90" s="122">
        <v>6779.6610170000004</v>
      </c>
      <c r="DY90" s="128">
        <v>1447.7400829999999</v>
      </c>
      <c r="DZ90" s="128">
        <v>0</v>
      </c>
      <c r="EA90" s="121">
        <v>0</v>
      </c>
      <c r="EB90" s="122">
        <v>902.45632081999997</v>
      </c>
      <c r="EC90" s="121">
        <v>0</v>
      </c>
      <c r="ED90" s="122">
        <v>1271.1864410000001</v>
      </c>
      <c r="EE90" s="121">
        <v>0</v>
      </c>
      <c r="EF90" s="122">
        <v>847.5</v>
      </c>
      <c r="EG90" s="121">
        <v>0</v>
      </c>
      <c r="EH90" s="122">
        <v>7397.5988710000001</v>
      </c>
      <c r="EI90" s="121">
        <v>0</v>
      </c>
      <c r="EJ90" s="122">
        <v>6779.6610170000004</v>
      </c>
      <c r="EK90" s="129">
        <v>902.45632081999997</v>
      </c>
      <c r="EL90" s="130">
        <v>847.5</v>
      </c>
      <c r="EM90" s="131">
        <v>735.83500000000004</v>
      </c>
      <c r="EN90" s="129">
        <v>420.31939670999998</v>
      </c>
      <c r="EO90" s="129">
        <v>10964.025395000001</v>
      </c>
      <c r="EP90" s="129">
        <v>0</v>
      </c>
      <c r="ER90" s="157">
        <v>0</v>
      </c>
      <c r="ES90" s="37">
        <v>0</v>
      </c>
      <c r="ET90" s="55">
        <f t="shared" si="10"/>
        <v>0</v>
      </c>
      <c r="EU90" s="157">
        <v>0</v>
      </c>
      <c r="EV90" s="37">
        <v>0</v>
      </c>
      <c r="EW90" s="55">
        <f t="shared" si="9"/>
        <v>0</v>
      </c>
      <c r="EY90" s="166">
        <v>0</v>
      </c>
      <c r="EZ90" s="37">
        <v>0</v>
      </c>
      <c r="FA90" s="164">
        <f t="shared" si="11"/>
        <v>0</v>
      </c>
      <c r="FB90" s="5">
        <v>4613</v>
      </c>
      <c r="FC90" s="164">
        <f t="shared" si="12"/>
        <v>1</v>
      </c>
      <c r="FE90" s="5"/>
      <c r="FF90" s="166">
        <v>0</v>
      </c>
      <c r="FG90" s="37">
        <v>0</v>
      </c>
      <c r="FH90" s="164">
        <f t="shared" si="13"/>
        <v>0</v>
      </c>
      <c r="FI90" s="5">
        <v>0</v>
      </c>
      <c r="FJ90" s="164">
        <f t="shared" si="14"/>
        <v>0</v>
      </c>
      <c r="FL90" s="169">
        <v>7873</v>
      </c>
      <c r="FM90" s="170">
        <f t="shared" si="15"/>
        <v>0.68245451314546257</v>
      </c>
      <c r="FN90" s="169">
        <v>2591</v>
      </c>
      <c r="FO90" s="170">
        <f t="shared" si="16"/>
        <v>0.82634348588741824</v>
      </c>
    </row>
    <row r="91" spans="16:171" x14ac:dyDescent="0.35">
      <c r="P91" s="64">
        <v>89</v>
      </c>
      <c r="Q91" s="109">
        <v>15687</v>
      </c>
      <c r="R91" s="110">
        <v>0.189</v>
      </c>
      <c r="S91" s="111">
        <v>245.05500000000001</v>
      </c>
      <c r="T91" s="110">
        <v>5.1000000000000004E-2</v>
      </c>
      <c r="U91" s="111">
        <v>4710</v>
      </c>
      <c r="V91" s="110">
        <v>0.157</v>
      </c>
      <c r="W91" s="111">
        <v>2257.3773999999999</v>
      </c>
      <c r="X91" s="110">
        <v>0.15699999999999997</v>
      </c>
      <c r="Y91" s="111">
        <v>1072.2489</v>
      </c>
      <c r="Z91" s="110">
        <v>0.11100000000000002</v>
      </c>
      <c r="AA91" s="111">
        <v>2982.36</v>
      </c>
      <c r="AB91" s="110">
        <v>5.8000000000000003E-2</v>
      </c>
      <c r="AC91" s="111">
        <v>1945.4736</v>
      </c>
      <c r="AD91" s="110">
        <v>4.1999999999999996E-2</v>
      </c>
      <c r="AF91" s="64">
        <v>89</v>
      </c>
      <c r="AG91" s="109">
        <v>18867.957600000002</v>
      </c>
      <c r="AH91" s="111">
        <v>1761.8</v>
      </c>
      <c r="AI91" s="109">
        <v>383</v>
      </c>
      <c r="AJ91" s="59">
        <v>0.21200000000000002</v>
      </c>
      <c r="AK91" s="59">
        <v>0.76600000000000001</v>
      </c>
      <c r="AL91" s="59">
        <v>0.76600000000000001</v>
      </c>
      <c r="AM91" s="110">
        <v>172.482</v>
      </c>
      <c r="AN91" s="111">
        <v>4145.1216000000004</v>
      </c>
      <c r="AO91" s="59">
        <v>0.26700000000000002</v>
      </c>
      <c r="AP91" s="55">
        <v>0.35600000000000004</v>
      </c>
      <c r="AQ91" s="109">
        <v>25957.200000000001</v>
      </c>
      <c r="AR91" s="111">
        <v>19390.349999999999</v>
      </c>
      <c r="AS91" s="59">
        <v>0.58199999999999996</v>
      </c>
      <c r="AT91" s="55">
        <v>0.82599999999999996</v>
      </c>
      <c r="AU91" s="43"/>
      <c r="AV91" s="109">
        <v>1046.6300000000001</v>
      </c>
      <c r="AW91" s="110">
        <v>0.42499979696750673</v>
      </c>
      <c r="AX91" s="109">
        <v>956.87599999999998</v>
      </c>
      <c r="AY91" s="110">
        <v>0.59544243932794028</v>
      </c>
      <c r="AZ91" s="109">
        <v>1121.4780000000001</v>
      </c>
      <c r="BA91" s="110">
        <v>0.5784392407674851</v>
      </c>
      <c r="BB91" s="43"/>
      <c r="BC91" s="112">
        <v>52500.305999999997</v>
      </c>
      <c r="BD91" s="110">
        <v>0.75409836065573765</v>
      </c>
      <c r="BE91" s="43"/>
      <c r="BF91" s="157">
        <v>14653.295</v>
      </c>
      <c r="BG91" s="43">
        <v>0</v>
      </c>
      <c r="BH91" s="113">
        <v>0</v>
      </c>
      <c r="BI91" s="114">
        <v>0.44948757668711659</v>
      </c>
      <c r="BJ91" s="115">
        <v>0</v>
      </c>
      <c r="BK91" s="113">
        <v>0</v>
      </c>
      <c r="BL91" s="113">
        <v>0</v>
      </c>
      <c r="BM91" s="113">
        <v>0</v>
      </c>
      <c r="BN91" s="113">
        <v>4271.7520000000004</v>
      </c>
      <c r="BO91" s="114">
        <v>0.3169425730820597</v>
      </c>
      <c r="BP91" s="115">
        <v>0</v>
      </c>
      <c r="BQ91" s="43">
        <v>7668</v>
      </c>
      <c r="BR91" s="43">
        <v>651.21597118999989</v>
      </c>
      <c r="BS91" s="43"/>
      <c r="BT91" s="116">
        <v>-700</v>
      </c>
      <c r="BU91" s="43">
        <v>0</v>
      </c>
      <c r="BV91" s="43">
        <v>4485</v>
      </c>
      <c r="BW91" s="43">
        <v>4485</v>
      </c>
      <c r="BX91" s="43">
        <v>0</v>
      </c>
      <c r="BY91" s="43">
        <v>0</v>
      </c>
      <c r="BZ91" s="43">
        <v>-5000</v>
      </c>
      <c r="CA91" s="43">
        <v>0</v>
      </c>
      <c r="CB91" s="43">
        <v>-5300</v>
      </c>
      <c r="CC91" s="43">
        <v>0</v>
      </c>
      <c r="CD91" s="43">
        <v>-4000</v>
      </c>
      <c r="CE91" s="43">
        <v>0</v>
      </c>
      <c r="CF91" s="43">
        <v>-4800</v>
      </c>
      <c r="CG91" s="43">
        <v>0</v>
      </c>
      <c r="CH91" s="43">
        <v>7495.7129475299998</v>
      </c>
      <c r="CI91" s="43">
        <v>7495.7129475299998</v>
      </c>
      <c r="CJ91" s="114">
        <v>11980.712947529999</v>
      </c>
      <c r="CK91" s="43"/>
      <c r="CL91" s="116">
        <v>-700</v>
      </c>
      <c r="CM91" s="43">
        <v>700</v>
      </c>
      <c r="CN91" s="43">
        <v>4485</v>
      </c>
      <c r="CO91" s="43">
        <v>0</v>
      </c>
      <c r="CP91" s="43">
        <v>0</v>
      </c>
      <c r="CQ91" s="43">
        <v>0</v>
      </c>
      <c r="CR91" s="43">
        <v>-5000</v>
      </c>
      <c r="CS91" s="43">
        <v>5000</v>
      </c>
      <c r="CT91" s="43">
        <v>-5300</v>
      </c>
      <c r="CU91" s="43">
        <v>5300</v>
      </c>
      <c r="CV91" s="43">
        <v>-4000</v>
      </c>
      <c r="CW91" s="43">
        <v>4000</v>
      </c>
      <c r="CX91" s="43">
        <v>-4800</v>
      </c>
      <c r="CY91" s="43">
        <v>4800</v>
      </c>
      <c r="CZ91" s="43">
        <v>7495.7129475299998</v>
      </c>
      <c r="DA91" s="43">
        <v>0</v>
      </c>
      <c r="DB91" s="114">
        <v>19800</v>
      </c>
      <c r="DC91" s="43"/>
      <c r="DD91" s="117">
        <v>41582.906000000003</v>
      </c>
      <c r="DE91" s="55">
        <v>2017.23</v>
      </c>
      <c r="DF91" s="59">
        <v>1519.2347412628001</v>
      </c>
      <c r="DG91" s="59">
        <v>45119.370741262806</v>
      </c>
      <c r="DH91" s="117">
        <v>10524.421</v>
      </c>
      <c r="DI91" s="117">
        <v>66152.410999999993</v>
      </c>
      <c r="DJ91" s="55">
        <v>6340</v>
      </c>
      <c r="DK91" s="114">
        <v>72492.410999999993</v>
      </c>
      <c r="DL91" s="43"/>
      <c r="DM91" s="117">
        <v>769.64099999999996</v>
      </c>
      <c r="DN91" s="55">
        <v>10571.615847326309</v>
      </c>
      <c r="DO91" s="55">
        <v>11341.256847326309</v>
      </c>
      <c r="DP91" s="59">
        <v>1555.9943428215181</v>
      </c>
      <c r="DQ91" s="59">
        <v>2940.8162252905781</v>
      </c>
      <c r="DR91" s="59">
        <v>420.31939670999998</v>
      </c>
      <c r="DS91" s="55">
        <v>3361.1356220005782</v>
      </c>
      <c r="DT91" s="55">
        <v>163.37867918280989</v>
      </c>
      <c r="DU91" s="55">
        <v>163.37867918280989</v>
      </c>
      <c r="DW91" s="121">
        <v>0</v>
      </c>
      <c r="DX91" s="122">
        <v>6779.6610170000004</v>
      </c>
      <c r="DY91" s="128">
        <v>1447.7400829999999</v>
      </c>
      <c r="DZ91" s="128">
        <v>0</v>
      </c>
      <c r="EA91" s="121">
        <v>0</v>
      </c>
      <c r="EB91" s="122">
        <v>1553.672292</v>
      </c>
      <c r="EC91" s="121">
        <v>0</v>
      </c>
      <c r="ED91" s="122">
        <v>1271.1864410000001</v>
      </c>
      <c r="EE91" s="121">
        <v>0</v>
      </c>
      <c r="EF91" s="122">
        <v>847.5</v>
      </c>
      <c r="EG91" s="121">
        <v>0</v>
      </c>
      <c r="EH91" s="122">
        <v>7397.5988710000001</v>
      </c>
      <c r="EI91" s="121">
        <v>0</v>
      </c>
      <c r="EJ91" s="122">
        <v>6779.6610170000004</v>
      </c>
      <c r="EK91" s="129">
        <v>1553.672292</v>
      </c>
      <c r="EL91" s="130">
        <v>847.5</v>
      </c>
      <c r="EM91" s="131">
        <v>735.83500000000004</v>
      </c>
      <c r="EN91" s="129">
        <v>420.31939670999998</v>
      </c>
      <c r="EO91" s="129">
        <v>10964.025395000001</v>
      </c>
      <c r="EP91" s="129">
        <v>0</v>
      </c>
      <c r="ER91" s="157">
        <v>0</v>
      </c>
      <c r="ES91" s="37">
        <v>0</v>
      </c>
      <c r="ET91" s="55">
        <f t="shared" si="10"/>
        <v>0</v>
      </c>
      <c r="EU91" s="157">
        <v>0</v>
      </c>
      <c r="EV91" s="37">
        <v>0</v>
      </c>
      <c r="EW91" s="55">
        <f t="shared" si="9"/>
        <v>0</v>
      </c>
      <c r="EY91" s="166">
        <v>0</v>
      </c>
      <c r="EZ91" s="37">
        <v>0</v>
      </c>
      <c r="FA91" s="164">
        <f t="shared" si="11"/>
        <v>0</v>
      </c>
      <c r="FB91" s="5">
        <v>4613</v>
      </c>
      <c r="FC91" s="164">
        <f t="shared" si="12"/>
        <v>1</v>
      </c>
      <c r="FE91" s="5"/>
      <c r="FF91" s="166">
        <v>0</v>
      </c>
      <c r="FG91" s="37">
        <v>0</v>
      </c>
      <c r="FH91" s="164">
        <f t="shared" si="13"/>
        <v>0</v>
      </c>
      <c r="FI91" s="5">
        <v>0</v>
      </c>
      <c r="FJ91" s="164">
        <f t="shared" si="14"/>
        <v>0</v>
      </c>
      <c r="FL91" s="169">
        <v>7873</v>
      </c>
      <c r="FM91" s="170">
        <f t="shared" si="15"/>
        <v>0.68245451314546257</v>
      </c>
      <c r="FN91" s="169">
        <v>2591</v>
      </c>
      <c r="FO91" s="170">
        <f t="shared" si="16"/>
        <v>0.82634348588741824</v>
      </c>
    </row>
    <row r="92" spans="16:171" x14ac:dyDescent="0.35">
      <c r="P92" s="64">
        <v>90</v>
      </c>
      <c r="Q92" s="109">
        <v>4316</v>
      </c>
      <c r="R92" s="110">
        <v>5.1999999999999998E-2</v>
      </c>
      <c r="S92" s="111">
        <v>0</v>
      </c>
      <c r="T92" s="110">
        <v>0</v>
      </c>
      <c r="U92" s="111">
        <v>1530</v>
      </c>
      <c r="V92" s="110">
        <v>5.0999999999999997E-2</v>
      </c>
      <c r="W92" s="111">
        <v>920.20479999999998</v>
      </c>
      <c r="X92" s="110">
        <v>6.4000000000000001E-2</v>
      </c>
      <c r="Y92" s="111">
        <v>357.41629999999998</v>
      </c>
      <c r="Z92" s="110">
        <v>3.6999999999999998E-2</v>
      </c>
      <c r="AA92" s="111">
        <v>0</v>
      </c>
      <c r="AB92" s="110">
        <v>0</v>
      </c>
      <c r="AC92" s="111">
        <v>0</v>
      </c>
      <c r="AD92" s="110">
        <v>0</v>
      </c>
      <c r="AF92" s="64">
        <v>90</v>
      </c>
      <c r="AG92" s="109">
        <v>18244.958999999999</v>
      </c>
      <c r="AH92" s="111">
        <v>1814.7</v>
      </c>
      <c r="AI92" s="109">
        <v>394.5</v>
      </c>
      <c r="AJ92" s="59">
        <v>0.20499999999999999</v>
      </c>
      <c r="AK92" s="59">
        <v>0.78900000000000003</v>
      </c>
      <c r="AL92" s="59">
        <v>0.78900000000000003</v>
      </c>
      <c r="AM92" s="110">
        <v>204.136</v>
      </c>
      <c r="AN92" s="111">
        <v>2561.5920000000001</v>
      </c>
      <c r="AO92" s="59">
        <v>0.316</v>
      </c>
      <c r="AP92" s="55">
        <v>0.22</v>
      </c>
      <c r="AQ92" s="109">
        <v>29302.2</v>
      </c>
      <c r="AR92" s="111">
        <v>19132.125</v>
      </c>
      <c r="AS92" s="59">
        <v>0.65700000000000003</v>
      </c>
      <c r="AT92" s="55">
        <v>0.81499999999999995</v>
      </c>
      <c r="AU92" s="43"/>
      <c r="AV92" s="109">
        <v>1105.7339999999999</v>
      </c>
      <c r="AW92" s="110">
        <v>0.44899986193790453</v>
      </c>
      <c r="AX92" s="109">
        <v>967.40800000000002</v>
      </c>
      <c r="AY92" s="110">
        <v>0.60199626633478531</v>
      </c>
      <c r="AZ92" s="109">
        <v>1121.4780000000001</v>
      </c>
      <c r="BA92" s="110">
        <v>0.5784392407674851</v>
      </c>
      <c r="BB92" s="43"/>
      <c r="BC92" s="112">
        <v>52500.305999999997</v>
      </c>
      <c r="BD92" s="110">
        <v>0.75409836065573765</v>
      </c>
      <c r="BE92" s="43"/>
      <c r="BF92" s="157">
        <v>9738.6059999999998</v>
      </c>
      <c r="BG92" s="43">
        <v>0</v>
      </c>
      <c r="BH92" s="113">
        <v>0</v>
      </c>
      <c r="BI92" s="114">
        <v>0.29873024539877302</v>
      </c>
      <c r="BJ92" s="115">
        <v>0</v>
      </c>
      <c r="BK92" s="113">
        <v>0</v>
      </c>
      <c r="BL92" s="113">
        <v>0</v>
      </c>
      <c r="BM92" s="113">
        <v>0</v>
      </c>
      <c r="BN92" s="113">
        <v>3747.6970000000001</v>
      </c>
      <c r="BO92" s="114">
        <v>0.2780603205223327</v>
      </c>
      <c r="BP92" s="115">
        <v>0</v>
      </c>
      <c r="BQ92" s="43">
        <v>7668</v>
      </c>
      <c r="BR92" s="43">
        <v>456.11597117999997</v>
      </c>
      <c r="BS92" s="43"/>
      <c r="BT92" s="116">
        <v>-700</v>
      </c>
      <c r="BU92" s="43">
        <v>0</v>
      </c>
      <c r="BV92" s="43">
        <v>4485</v>
      </c>
      <c r="BW92" s="43">
        <v>4485</v>
      </c>
      <c r="BX92" s="43">
        <v>0</v>
      </c>
      <c r="BY92" s="43">
        <v>0</v>
      </c>
      <c r="BZ92" s="43">
        <v>-5000</v>
      </c>
      <c r="CA92" s="43">
        <v>0</v>
      </c>
      <c r="CB92" s="43">
        <v>-5300</v>
      </c>
      <c r="CC92" s="43">
        <v>0</v>
      </c>
      <c r="CD92" s="43">
        <v>-4000</v>
      </c>
      <c r="CE92" s="43">
        <v>0</v>
      </c>
      <c r="CF92" s="43">
        <v>-4800</v>
      </c>
      <c r="CG92" s="43">
        <v>0</v>
      </c>
      <c r="CH92" s="43">
        <v>9416.23659787</v>
      </c>
      <c r="CI92" s="43">
        <v>9416.23659787</v>
      </c>
      <c r="CJ92" s="114">
        <v>13901.23659787</v>
      </c>
      <c r="CK92" s="43"/>
      <c r="CL92" s="116">
        <v>-700</v>
      </c>
      <c r="CM92" s="43">
        <v>700</v>
      </c>
      <c r="CN92" s="43">
        <v>4485</v>
      </c>
      <c r="CO92" s="43">
        <v>0</v>
      </c>
      <c r="CP92" s="43">
        <v>0</v>
      </c>
      <c r="CQ92" s="43">
        <v>0</v>
      </c>
      <c r="CR92" s="43">
        <v>-5000</v>
      </c>
      <c r="CS92" s="43">
        <v>5000</v>
      </c>
      <c r="CT92" s="43">
        <v>-5300</v>
      </c>
      <c r="CU92" s="43">
        <v>5300</v>
      </c>
      <c r="CV92" s="43">
        <v>-4000</v>
      </c>
      <c r="CW92" s="43">
        <v>4000</v>
      </c>
      <c r="CX92" s="43">
        <v>-4800</v>
      </c>
      <c r="CY92" s="43">
        <v>4800</v>
      </c>
      <c r="CZ92" s="43">
        <v>9416.23659787</v>
      </c>
      <c r="DA92" s="43">
        <v>0</v>
      </c>
      <c r="DB92" s="114">
        <v>19800</v>
      </c>
      <c r="DC92" s="43"/>
      <c r="DD92" s="117">
        <v>43504.919000000002</v>
      </c>
      <c r="DE92" s="55">
        <v>2269.1930000000002</v>
      </c>
      <c r="DF92" s="59">
        <v>1612.3495110371</v>
      </c>
      <c r="DG92" s="59">
        <v>47386.461511037101</v>
      </c>
      <c r="DH92" s="117">
        <v>10307.888000000001</v>
      </c>
      <c r="DI92" s="117">
        <v>70268.410999999993</v>
      </c>
      <c r="DJ92" s="55">
        <v>6215</v>
      </c>
      <c r="DK92" s="114">
        <v>76483.410999999993</v>
      </c>
      <c r="DL92" s="43"/>
      <c r="DM92" s="117">
        <v>779.31799999999998</v>
      </c>
      <c r="DN92" s="55">
        <v>10571.615847326309</v>
      </c>
      <c r="DO92" s="55">
        <v>11350.933847326309</v>
      </c>
      <c r="DP92" s="59">
        <v>1555.9943428215181</v>
      </c>
      <c r="DQ92" s="59">
        <v>2940.8162252905781</v>
      </c>
      <c r="DR92" s="59">
        <v>420.31939670999998</v>
      </c>
      <c r="DS92" s="55">
        <v>3361.1356220005782</v>
      </c>
      <c r="DT92" s="55">
        <v>163.37867918280989</v>
      </c>
      <c r="DU92" s="55">
        <v>163.37867918280989</v>
      </c>
      <c r="DW92" s="121">
        <v>0</v>
      </c>
      <c r="DX92" s="122">
        <v>6779.6610170000004</v>
      </c>
      <c r="DY92" s="128">
        <v>1447.7400829999999</v>
      </c>
      <c r="DZ92" s="128">
        <v>0</v>
      </c>
      <c r="EA92" s="121">
        <v>0</v>
      </c>
      <c r="EB92" s="122">
        <v>1358.5722920000001</v>
      </c>
      <c r="EC92" s="121">
        <v>0</v>
      </c>
      <c r="ED92" s="122">
        <v>1271.1864410000001</v>
      </c>
      <c r="EE92" s="121">
        <v>0</v>
      </c>
      <c r="EF92" s="122">
        <v>847.5</v>
      </c>
      <c r="EG92" s="121">
        <v>0</v>
      </c>
      <c r="EH92" s="122">
        <v>7397.5988710000001</v>
      </c>
      <c r="EI92" s="121">
        <v>0</v>
      </c>
      <c r="EJ92" s="122">
        <v>6779.6610170000004</v>
      </c>
      <c r="EK92" s="129">
        <v>1358.5722920000001</v>
      </c>
      <c r="EL92" s="130">
        <v>847.5</v>
      </c>
      <c r="EM92" s="131">
        <v>735.83500000000004</v>
      </c>
      <c r="EN92" s="129">
        <v>420.31939670999998</v>
      </c>
      <c r="EO92" s="129">
        <v>10964.025395000001</v>
      </c>
      <c r="EP92" s="129">
        <v>0</v>
      </c>
      <c r="ER92" s="157">
        <v>0</v>
      </c>
      <c r="ES92" s="37">
        <v>0</v>
      </c>
      <c r="ET92" s="55">
        <f t="shared" si="10"/>
        <v>0</v>
      </c>
      <c r="EU92" s="157">
        <v>0</v>
      </c>
      <c r="EV92" s="37">
        <v>0</v>
      </c>
      <c r="EW92" s="55">
        <f t="shared" si="9"/>
        <v>0</v>
      </c>
      <c r="EY92" s="166">
        <v>0</v>
      </c>
      <c r="EZ92" s="37">
        <v>3156.57</v>
      </c>
      <c r="FA92" s="164">
        <f t="shared" si="11"/>
        <v>0.23203283156840868</v>
      </c>
      <c r="FB92" s="5">
        <v>4613</v>
      </c>
      <c r="FC92" s="164">
        <f t="shared" si="12"/>
        <v>1</v>
      </c>
      <c r="FE92" s="5"/>
      <c r="FF92" s="166">
        <v>0</v>
      </c>
      <c r="FG92" s="37">
        <v>0</v>
      </c>
      <c r="FH92" s="164">
        <f t="shared" si="13"/>
        <v>0</v>
      </c>
      <c r="FI92" s="5">
        <v>0</v>
      </c>
      <c r="FJ92" s="164">
        <f t="shared" si="14"/>
        <v>0</v>
      </c>
      <c r="FL92" s="169">
        <v>7873</v>
      </c>
      <c r="FM92" s="170">
        <f t="shared" si="15"/>
        <v>0.68245451314546257</v>
      </c>
      <c r="FN92" s="169">
        <v>2591</v>
      </c>
      <c r="FO92" s="170">
        <f t="shared" si="16"/>
        <v>0.82634348588741824</v>
      </c>
    </row>
    <row r="93" spans="16:171" x14ac:dyDescent="0.35">
      <c r="P93" s="64">
        <v>91</v>
      </c>
      <c r="Q93" s="109">
        <v>0</v>
      </c>
      <c r="R93" s="110">
        <v>0</v>
      </c>
      <c r="S93" s="111">
        <v>0</v>
      </c>
      <c r="T93" s="110">
        <v>0</v>
      </c>
      <c r="U93" s="111">
        <v>0</v>
      </c>
      <c r="V93" s="110">
        <v>0</v>
      </c>
      <c r="W93" s="111">
        <v>0</v>
      </c>
      <c r="X93" s="110">
        <v>0</v>
      </c>
      <c r="Y93" s="111">
        <v>0</v>
      </c>
      <c r="Z93" s="110">
        <v>0</v>
      </c>
      <c r="AA93" s="111">
        <v>0</v>
      </c>
      <c r="AB93" s="110">
        <v>0</v>
      </c>
      <c r="AC93" s="111">
        <v>0</v>
      </c>
      <c r="AD93" s="110">
        <v>0</v>
      </c>
      <c r="AF93" s="64">
        <v>91</v>
      </c>
      <c r="AG93" s="109">
        <v>19846.955399999999</v>
      </c>
      <c r="AH93" s="111">
        <v>1846.9</v>
      </c>
      <c r="AI93" s="109">
        <v>401.5</v>
      </c>
      <c r="AJ93" s="59">
        <v>0.22299999999999998</v>
      </c>
      <c r="AK93" s="59">
        <v>0.80300000000000005</v>
      </c>
      <c r="AL93" s="59">
        <v>0.80300000000000005</v>
      </c>
      <c r="AM93" s="110">
        <v>235.14400000000001</v>
      </c>
      <c r="AN93" s="111">
        <v>1921.194</v>
      </c>
      <c r="AO93" s="59">
        <v>0.36399999999999999</v>
      </c>
      <c r="AP93" s="55">
        <v>0.16499999999999998</v>
      </c>
      <c r="AQ93" s="109">
        <v>31666</v>
      </c>
      <c r="AR93" s="111">
        <v>18920.849999999999</v>
      </c>
      <c r="AS93" s="59">
        <v>0.71</v>
      </c>
      <c r="AT93" s="55">
        <v>0.80599999999999994</v>
      </c>
      <c r="AU93" s="43"/>
      <c r="AV93" s="109">
        <v>1120.51</v>
      </c>
      <c r="AW93" s="110">
        <v>0.45499987818050402</v>
      </c>
      <c r="AX93" s="109">
        <v>981.17399999999998</v>
      </c>
      <c r="AY93" s="110">
        <v>0.61056253889234602</v>
      </c>
      <c r="AZ93" s="109">
        <v>1121.4780000000001</v>
      </c>
      <c r="BA93" s="110">
        <v>0.5784392407674851</v>
      </c>
      <c r="BB93" s="43"/>
      <c r="BC93" s="112">
        <v>52500.305999999997</v>
      </c>
      <c r="BD93" s="110">
        <v>0.75409836065573765</v>
      </c>
      <c r="BE93" s="43"/>
      <c r="BF93" s="157">
        <v>8463.0460000000003</v>
      </c>
      <c r="BG93" s="43">
        <v>0</v>
      </c>
      <c r="BH93" s="113">
        <v>0</v>
      </c>
      <c r="BI93" s="114">
        <v>0.25960263803680983</v>
      </c>
      <c r="BJ93" s="115">
        <v>0</v>
      </c>
      <c r="BK93" s="113">
        <v>0</v>
      </c>
      <c r="BL93" s="113">
        <v>0</v>
      </c>
      <c r="BM93" s="113">
        <v>0</v>
      </c>
      <c r="BN93" s="113">
        <v>3656.56</v>
      </c>
      <c r="BO93" s="114">
        <v>0.27129841222733342</v>
      </c>
      <c r="BP93" s="115">
        <v>0</v>
      </c>
      <c r="BQ93" s="43">
        <v>7668</v>
      </c>
      <c r="BR93" s="43">
        <v>650.75608927000007</v>
      </c>
      <c r="BS93" s="43"/>
      <c r="BT93" s="116">
        <v>-700</v>
      </c>
      <c r="BU93" s="43">
        <v>0</v>
      </c>
      <c r="BV93" s="43">
        <v>4485</v>
      </c>
      <c r="BW93" s="43">
        <v>4485</v>
      </c>
      <c r="BX93" s="43">
        <v>0</v>
      </c>
      <c r="BY93" s="43">
        <v>0</v>
      </c>
      <c r="BZ93" s="43">
        <v>-5000</v>
      </c>
      <c r="CA93" s="43">
        <v>0</v>
      </c>
      <c r="CB93" s="43">
        <v>-5300</v>
      </c>
      <c r="CC93" s="43">
        <v>0</v>
      </c>
      <c r="CD93" s="43">
        <v>-4000</v>
      </c>
      <c r="CE93" s="43">
        <v>0</v>
      </c>
      <c r="CF93" s="43">
        <v>-4800</v>
      </c>
      <c r="CG93" s="43">
        <v>0</v>
      </c>
      <c r="CH93" s="43">
        <v>9686.1022140200002</v>
      </c>
      <c r="CI93" s="43">
        <v>9686.1022140200002</v>
      </c>
      <c r="CJ93" s="114">
        <v>14171.10221402</v>
      </c>
      <c r="CK93" s="43"/>
      <c r="CL93" s="116">
        <v>-700</v>
      </c>
      <c r="CM93" s="43">
        <v>700</v>
      </c>
      <c r="CN93" s="43">
        <v>4485</v>
      </c>
      <c r="CO93" s="43">
        <v>0</v>
      </c>
      <c r="CP93" s="43">
        <v>0</v>
      </c>
      <c r="CQ93" s="43">
        <v>0</v>
      </c>
      <c r="CR93" s="43">
        <v>-5000</v>
      </c>
      <c r="CS93" s="43">
        <v>5000</v>
      </c>
      <c r="CT93" s="43">
        <v>-5300</v>
      </c>
      <c r="CU93" s="43">
        <v>5300</v>
      </c>
      <c r="CV93" s="43">
        <v>-4000</v>
      </c>
      <c r="CW93" s="43">
        <v>4000</v>
      </c>
      <c r="CX93" s="43">
        <v>-4800</v>
      </c>
      <c r="CY93" s="43">
        <v>4800</v>
      </c>
      <c r="CZ93" s="43">
        <v>9686.1022140200002</v>
      </c>
      <c r="DA93" s="43">
        <v>0</v>
      </c>
      <c r="DB93" s="114">
        <v>19800</v>
      </c>
      <c r="DC93" s="43"/>
      <c r="DD93" s="117">
        <v>44667.610999999997</v>
      </c>
      <c r="DE93" s="55">
        <v>2317.518</v>
      </c>
      <c r="DF93" s="59">
        <v>1737.9622809990999</v>
      </c>
      <c r="DG93" s="59">
        <v>48723.091280999099</v>
      </c>
      <c r="DH93" s="117">
        <v>10366.234</v>
      </c>
      <c r="DI93" s="117">
        <v>73128.410999999993</v>
      </c>
      <c r="DJ93" s="55">
        <v>5735</v>
      </c>
      <c r="DK93" s="114">
        <v>78863.410999999993</v>
      </c>
      <c r="DL93" s="43"/>
      <c r="DM93" s="117">
        <v>778.64400000000001</v>
      </c>
      <c r="DN93" s="55">
        <v>10555.905846475949</v>
      </c>
      <c r="DO93" s="55">
        <v>11334.549846475949</v>
      </c>
      <c r="DP93" s="59">
        <v>1555.9943428215181</v>
      </c>
      <c r="DQ93" s="59">
        <v>2932.5383508653349</v>
      </c>
      <c r="DR93" s="59">
        <v>428.59727113000002</v>
      </c>
      <c r="DS93" s="55">
        <v>3361.135621995335</v>
      </c>
      <c r="DT93" s="55">
        <v>162.91879727029641</v>
      </c>
      <c r="DU93" s="55">
        <v>162.91879727029641</v>
      </c>
      <c r="DW93" s="121">
        <v>0</v>
      </c>
      <c r="DX93" s="122">
        <v>6779.6610170000004</v>
      </c>
      <c r="DY93" s="128">
        <v>1447.7400829999999</v>
      </c>
      <c r="DZ93" s="128">
        <v>0</v>
      </c>
      <c r="EA93" s="121">
        <v>0</v>
      </c>
      <c r="EB93" s="122">
        <v>1553.672292</v>
      </c>
      <c r="EC93" s="121">
        <v>0</v>
      </c>
      <c r="ED93" s="122">
        <v>1271.1864410000001</v>
      </c>
      <c r="EE93" s="121">
        <v>0</v>
      </c>
      <c r="EF93" s="122">
        <v>847.5</v>
      </c>
      <c r="EG93" s="121">
        <v>0</v>
      </c>
      <c r="EH93" s="122">
        <v>7397.5988710000001</v>
      </c>
      <c r="EI93" s="121">
        <v>0</v>
      </c>
      <c r="EJ93" s="122">
        <v>6779.6610170000004</v>
      </c>
      <c r="EK93" s="129">
        <v>1553.672292</v>
      </c>
      <c r="EL93" s="130">
        <v>847.5</v>
      </c>
      <c r="EM93" s="131">
        <v>735.83500000000004</v>
      </c>
      <c r="EN93" s="129">
        <v>428.59727113000002</v>
      </c>
      <c r="EO93" s="129">
        <v>10964.025395000001</v>
      </c>
      <c r="EP93" s="129">
        <v>0</v>
      </c>
      <c r="ER93" s="157">
        <v>0</v>
      </c>
      <c r="ES93" s="37">
        <v>0</v>
      </c>
      <c r="ET93" s="55">
        <f t="shared" si="10"/>
        <v>0</v>
      </c>
      <c r="EU93" s="157">
        <v>0</v>
      </c>
      <c r="EV93" s="37">
        <v>0</v>
      </c>
      <c r="EW93" s="55">
        <f t="shared" si="9"/>
        <v>0</v>
      </c>
      <c r="EY93" s="166">
        <v>0</v>
      </c>
      <c r="EZ93" s="37">
        <v>3156.57</v>
      </c>
      <c r="FA93" s="164">
        <f t="shared" si="11"/>
        <v>0.23203283156840868</v>
      </c>
      <c r="FB93" s="5">
        <v>4613</v>
      </c>
      <c r="FC93" s="164">
        <f t="shared" si="12"/>
        <v>1</v>
      </c>
      <c r="FE93" s="5"/>
      <c r="FF93" s="166">
        <v>0</v>
      </c>
      <c r="FG93" s="37">
        <v>0</v>
      </c>
      <c r="FH93" s="164">
        <f t="shared" si="13"/>
        <v>0</v>
      </c>
      <c r="FI93" s="5">
        <v>0</v>
      </c>
      <c r="FJ93" s="164">
        <f t="shared" si="14"/>
        <v>0</v>
      </c>
      <c r="FL93" s="169">
        <v>7873</v>
      </c>
      <c r="FM93" s="170">
        <f t="shared" si="15"/>
        <v>0.68245451314546257</v>
      </c>
      <c r="FN93" s="169">
        <v>2591</v>
      </c>
      <c r="FO93" s="170">
        <f t="shared" si="16"/>
        <v>0.82634348588741824</v>
      </c>
    </row>
    <row r="94" spans="16:171" x14ac:dyDescent="0.35">
      <c r="P94" s="64">
        <v>92</v>
      </c>
      <c r="Q94" s="109">
        <v>0</v>
      </c>
      <c r="R94" s="110">
        <v>0</v>
      </c>
      <c r="S94" s="111">
        <v>0</v>
      </c>
      <c r="T94" s="110">
        <v>0</v>
      </c>
      <c r="U94" s="111">
        <v>0</v>
      </c>
      <c r="V94" s="110">
        <v>0</v>
      </c>
      <c r="W94" s="111">
        <v>0</v>
      </c>
      <c r="X94" s="110">
        <v>0</v>
      </c>
      <c r="Y94" s="111">
        <v>0</v>
      </c>
      <c r="Z94" s="110">
        <v>0</v>
      </c>
      <c r="AA94" s="111">
        <v>0</v>
      </c>
      <c r="AB94" s="110">
        <v>0</v>
      </c>
      <c r="AC94" s="111">
        <v>0</v>
      </c>
      <c r="AD94" s="110">
        <v>0</v>
      </c>
      <c r="AF94" s="64">
        <v>92</v>
      </c>
      <c r="AG94" s="109">
        <v>22694.949000000001</v>
      </c>
      <c r="AH94" s="111">
        <v>1872.2</v>
      </c>
      <c r="AI94" s="109">
        <v>407</v>
      </c>
      <c r="AJ94" s="59">
        <v>0.255</v>
      </c>
      <c r="AK94" s="59">
        <v>0.81400000000000006</v>
      </c>
      <c r="AL94" s="59">
        <v>0.81399999999999995</v>
      </c>
      <c r="AM94" s="110">
        <v>250.648</v>
      </c>
      <c r="AN94" s="111">
        <v>1699.9656</v>
      </c>
      <c r="AO94" s="59">
        <v>0.38800000000000001</v>
      </c>
      <c r="AP94" s="55">
        <v>0.14599999999999999</v>
      </c>
      <c r="AQ94" s="109">
        <v>33405.4</v>
      </c>
      <c r="AR94" s="111">
        <v>18897.375</v>
      </c>
      <c r="AS94" s="59">
        <v>0.749</v>
      </c>
      <c r="AT94" s="55">
        <v>0.80500000000000005</v>
      </c>
      <c r="AU94" s="43"/>
      <c r="AV94" s="109">
        <v>1150.0619999999999</v>
      </c>
      <c r="AW94" s="110">
        <v>0.4669999106657029</v>
      </c>
      <c r="AX94" s="109">
        <v>996.35</v>
      </c>
      <c r="AY94" s="110">
        <v>0.62000622277535777</v>
      </c>
      <c r="AZ94" s="109">
        <v>1121.4780000000001</v>
      </c>
      <c r="BA94" s="110">
        <v>0.5784392407674851</v>
      </c>
      <c r="BB94" s="43"/>
      <c r="BC94" s="112">
        <v>52500.305999999997</v>
      </c>
      <c r="BD94" s="110">
        <v>0.75409836065573765</v>
      </c>
      <c r="BE94" s="43"/>
      <c r="BF94" s="157">
        <v>9679.9539999999997</v>
      </c>
      <c r="BG94" s="43">
        <v>0</v>
      </c>
      <c r="BH94" s="113">
        <v>0</v>
      </c>
      <c r="BI94" s="114">
        <v>0.2969311042944785</v>
      </c>
      <c r="BJ94" s="115">
        <v>0</v>
      </c>
      <c r="BK94" s="113">
        <v>0</v>
      </c>
      <c r="BL94" s="113">
        <v>0</v>
      </c>
      <c r="BM94" s="113">
        <v>0</v>
      </c>
      <c r="BN94" s="113">
        <v>3895.739</v>
      </c>
      <c r="BO94" s="114">
        <v>0.28904429440569818</v>
      </c>
      <c r="BP94" s="115">
        <v>0</v>
      </c>
      <c r="BQ94" s="43">
        <v>7668</v>
      </c>
      <c r="BR94" s="43">
        <v>650.29620735999993</v>
      </c>
      <c r="BS94" s="43"/>
      <c r="BT94" s="116">
        <v>-700</v>
      </c>
      <c r="BU94" s="43">
        <v>0</v>
      </c>
      <c r="BV94" s="43">
        <v>4485</v>
      </c>
      <c r="BW94" s="43">
        <v>4485</v>
      </c>
      <c r="BX94" s="43">
        <v>0</v>
      </c>
      <c r="BY94" s="43">
        <v>0</v>
      </c>
      <c r="BZ94" s="43">
        <v>-5000</v>
      </c>
      <c r="CA94" s="43">
        <v>0</v>
      </c>
      <c r="CB94" s="43">
        <v>-5300</v>
      </c>
      <c r="CC94" s="43">
        <v>0</v>
      </c>
      <c r="CD94" s="43">
        <v>-4000</v>
      </c>
      <c r="CE94" s="43">
        <v>0</v>
      </c>
      <c r="CF94" s="43">
        <v>-4800</v>
      </c>
      <c r="CG94" s="43">
        <v>0</v>
      </c>
      <c r="CH94" s="43">
        <v>9849.5550667299995</v>
      </c>
      <c r="CI94" s="43">
        <v>9849.5550667299995</v>
      </c>
      <c r="CJ94" s="114">
        <v>14334.555066729999</v>
      </c>
      <c r="CK94" s="43"/>
      <c r="CL94" s="116">
        <v>-700</v>
      </c>
      <c r="CM94" s="43">
        <v>700</v>
      </c>
      <c r="CN94" s="43">
        <v>4485</v>
      </c>
      <c r="CO94" s="43">
        <v>0</v>
      </c>
      <c r="CP94" s="43">
        <v>0</v>
      </c>
      <c r="CQ94" s="43">
        <v>0</v>
      </c>
      <c r="CR94" s="43">
        <v>-5000</v>
      </c>
      <c r="CS94" s="43">
        <v>5000</v>
      </c>
      <c r="CT94" s="43">
        <v>-5300</v>
      </c>
      <c r="CU94" s="43">
        <v>5300</v>
      </c>
      <c r="CV94" s="43">
        <v>-4000</v>
      </c>
      <c r="CW94" s="43">
        <v>4000</v>
      </c>
      <c r="CX94" s="43">
        <v>-4800</v>
      </c>
      <c r="CY94" s="43">
        <v>4800</v>
      </c>
      <c r="CZ94" s="43">
        <v>9849.5550667299995</v>
      </c>
      <c r="DA94" s="43">
        <v>0</v>
      </c>
      <c r="DB94" s="114">
        <v>19800</v>
      </c>
      <c r="DC94" s="43"/>
      <c r="DD94" s="117">
        <v>44225.197999999997</v>
      </c>
      <c r="DE94" s="55">
        <v>2318.7689999999998</v>
      </c>
      <c r="DF94" s="59">
        <v>1877.1197350939001</v>
      </c>
      <c r="DG94" s="59">
        <v>48421.086735093893</v>
      </c>
      <c r="DH94" s="117">
        <v>10407.528</v>
      </c>
      <c r="DI94" s="117">
        <v>71807.410999999993</v>
      </c>
      <c r="DJ94" s="55">
        <v>5339</v>
      </c>
      <c r="DK94" s="114">
        <v>77146.410999999993</v>
      </c>
      <c r="DL94" s="43"/>
      <c r="DM94" s="117">
        <v>798.73500000000001</v>
      </c>
      <c r="DN94" s="55">
        <v>10540.1958456256</v>
      </c>
      <c r="DO94" s="55">
        <v>11338.9308456256</v>
      </c>
      <c r="DP94" s="59">
        <v>1401.326222068519</v>
      </c>
      <c r="DQ94" s="59">
        <v>2924.2604764400921</v>
      </c>
      <c r="DR94" s="59">
        <v>436.87514556000002</v>
      </c>
      <c r="DS94" s="55">
        <v>3361.1356220000921</v>
      </c>
      <c r="DT94" s="55">
        <v>162.4589153577829</v>
      </c>
      <c r="DU94" s="55">
        <v>162.4589153577829</v>
      </c>
      <c r="DW94" s="121">
        <v>0</v>
      </c>
      <c r="DX94" s="122">
        <v>6779.6610170000004</v>
      </c>
      <c r="DY94" s="128">
        <v>1447.7400829999999</v>
      </c>
      <c r="DZ94" s="128">
        <v>0</v>
      </c>
      <c r="EA94" s="121">
        <v>0</v>
      </c>
      <c r="EB94" s="122">
        <v>1553.672292</v>
      </c>
      <c r="EC94" s="121">
        <v>0</v>
      </c>
      <c r="ED94" s="122">
        <v>1271.1864410000001</v>
      </c>
      <c r="EE94" s="121">
        <v>0</v>
      </c>
      <c r="EF94" s="122">
        <v>847.5</v>
      </c>
      <c r="EG94" s="121">
        <v>0</v>
      </c>
      <c r="EH94" s="122">
        <v>7397.5988710000001</v>
      </c>
      <c r="EI94" s="121">
        <v>0</v>
      </c>
      <c r="EJ94" s="122">
        <v>6779.6610170000004</v>
      </c>
      <c r="EK94" s="129">
        <v>1553.672292</v>
      </c>
      <c r="EL94" s="130">
        <v>847.5</v>
      </c>
      <c r="EM94" s="131">
        <v>735.83500000000004</v>
      </c>
      <c r="EN94" s="129">
        <v>436.87514556000002</v>
      </c>
      <c r="EO94" s="129">
        <v>10964.025395000001</v>
      </c>
      <c r="EP94" s="129">
        <v>0</v>
      </c>
      <c r="ER94" s="157">
        <v>0</v>
      </c>
      <c r="ES94" s="37">
        <v>0</v>
      </c>
      <c r="ET94" s="55">
        <f t="shared" si="10"/>
        <v>0</v>
      </c>
      <c r="EU94" s="157">
        <v>0</v>
      </c>
      <c r="EV94" s="37">
        <v>0</v>
      </c>
      <c r="EW94" s="55">
        <f t="shared" si="9"/>
        <v>0</v>
      </c>
      <c r="EY94" s="166">
        <v>0</v>
      </c>
      <c r="EZ94" s="37">
        <v>3156.57</v>
      </c>
      <c r="FA94" s="164">
        <f t="shared" si="11"/>
        <v>0.23203283156840868</v>
      </c>
      <c r="FB94" s="5">
        <v>4613</v>
      </c>
      <c r="FC94" s="164">
        <f t="shared" si="12"/>
        <v>1</v>
      </c>
      <c r="FE94" s="5"/>
      <c r="FF94" s="166">
        <v>0</v>
      </c>
      <c r="FG94" s="37">
        <v>0</v>
      </c>
      <c r="FH94" s="164">
        <f t="shared" si="13"/>
        <v>0</v>
      </c>
      <c r="FI94" s="5">
        <v>0</v>
      </c>
      <c r="FJ94" s="164">
        <f t="shared" si="14"/>
        <v>0</v>
      </c>
      <c r="FL94" s="169">
        <v>7873</v>
      </c>
      <c r="FM94" s="170">
        <f t="shared" si="15"/>
        <v>0.68245451314546257</v>
      </c>
      <c r="FN94" s="169">
        <v>2591</v>
      </c>
      <c r="FO94" s="170">
        <f t="shared" si="16"/>
        <v>0.82634348588741824</v>
      </c>
    </row>
    <row r="95" spans="16:171" x14ac:dyDescent="0.35">
      <c r="P95" s="64">
        <v>93</v>
      </c>
      <c r="Q95" s="109">
        <v>0</v>
      </c>
      <c r="R95" s="110">
        <v>0</v>
      </c>
      <c r="S95" s="111">
        <v>0</v>
      </c>
      <c r="T95" s="110">
        <v>0</v>
      </c>
      <c r="U95" s="111">
        <v>0</v>
      </c>
      <c r="V95" s="110">
        <v>0</v>
      </c>
      <c r="W95" s="111">
        <v>0</v>
      </c>
      <c r="X95" s="110">
        <v>0</v>
      </c>
      <c r="Y95" s="111">
        <v>0</v>
      </c>
      <c r="Z95" s="110">
        <v>0</v>
      </c>
      <c r="AA95" s="111">
        <v>0</v>
      </c>
      <c r="AB95" s="110">
        <v>0</v>
      </c>
      <c r="AC95" s="111">
        <v>0</v>
      </c>
      <c r="AD95" s="110">
        <v>0</v>
      </c>
      <c r="AF95" s="64">
        <v>93</v>
      </c>
      <c r="AG95" s="109">
        <v>24474.945</v>
      </c>
      <c r="AH95" s="111">
        <v>1890.6</v>
      </c>
      <c r="AI95" s="109">
        <v>411</v>
      </c>
      <c r="AJ95" s="59">
        <v>0.27499999999999997</v>
      </c>
      <c r="AK95" s="59">
        <v>0.82199999999999995</v>
      </c>
      <c r="AL95" s="59">
        <v>0.82199999999999995</v>
      </c>
      <c r="AM95" s="110">
        <v>278.42599999999999</v>
      </c>
      <c r="AN95" s="111">
        <v>1723.2528</v>
      </c>
      <c r="AO95" s="59">
        <v>0.43099999999999999</v>
      </c>
      <c r="AP95" s="55">
        <v>0.14799999999999999</v>
      </c>
      <c r="AQ95" s="109">
        <v>34788</v>
      </c>
      <c r="AR95" s="111">
        <v>19038.224999999999</v>
      </c>
      <c r="AS95" s="59">
        <v>0.78</v>
      </c>
      <c r="AT95" s="55">
        <v>0.81099999999999994</v>
      </c>
      <c r="AU95" s="43"/>
      <c r="AV95" s="109">
        <v>1164.838</v>
      </c>
      <c r="AW95" s="110">
        <v>0.47299992690830239</v>
      </c>
      <c r="AX95" s="109">
        <v>1002.082</v>
      </c>
      <c r="AY95" s="110">
        <v>0.62357311761045431</v>
      </c>
      <c r="AZ95" s="109">
        <v>1121.4780000000001</v>
      </c>
      <c r="BA95" s="110">
        <v>0.5784392407674851</v>
      </c>
      <c r="BB95" s="43"/>
      <c r="BC95" s="112">
        <v>52500.305999999997</v>
      </c>
      <c r="BD95" s="110">
        <v>0.75409836065573765</v>
      </c>
      <c r="BE95" s="43"/>
      <c r="BF95" s="157">
        <v>10450.503000000001</v>
      </c>
      <c r="BG95" s="43">
        <v>0</v>
      </c>
      <c r="BH95" s="113">
        <v>0</v>
      </c>
      <c r="BI95" s="114">
        <v>0.32056757668711661</v>
      </c>
      <c r="BJ95" s="115">
        <v>0</v>
      </c>
      <c r="BK95" s="113">
        <v>0</v>
      </c>
      <c r="BL95" s="113">
        <v>0</v>
      </c>
      <c r="BM95" s="113">
        <v>0</v>
      </c>
      <c r="BN95" s="113">
        <v>4304.5320000000002</v>
      </c>
      <c r="BO95" s="114">
        <v>0.31937468467131624</v>
      </c>
      <c r="BP95" s="115">
        <v>0</v>
      </c>
      <c r="BQ95" s="43">
        <v>7668</v>
      </c>
      <c r="BR95" s="43">
        <v>649.83632544000011</v>
      </c>
      <c r="BS95" s="43"/>
      <c r="BT95" s="116">
        <v>-700</v>
      </c>
      <c r="BU95" s="43">
        <v>0</v>
      </c>
      <c r="BV95" s="43">
        <v>4485</v>
      </c>
      <c r="BW95" s="43">
        <v>4485</v>
      </c>
      <c r="BX95" s="43">
        <v>0</v>
      </c>
      <c r="BY95" s="43">
        <v>0</v>
      </c>
      <c r="BZ95" s="43">
        <v>-5000</v>
      </c>
      <c r="CA95" s="43">
        <v>0</v>
      </c>
      <c r="CB95" s="43">
        <v>-5300</v>
      </c>
      <c r="CC95" s="43">
        <v>0</v>
      </c>
      <c r="CD95" s="43">
        <v>-4000</v>
      </c>
      <c r="CE95" s="43">
        <v>0</v>
      </c>
      <c r="CF95" s="43">
        <v>-4800</v>
      </c>
      <c r="CG95" s="43">
        <v>0</v>
      </c>
      <c r="CH95" s="43">
        <v>12065.3598539</v>
      </c>
      <c r="CI95" s="43">
        <v>12065.3598539</v>
      </c>
      <c r="CJ95" s="114">
        <v>16550.359853900001</v>
      </c>
      <c r="CK95" s="43"/>
      <c r="CL95" s="116">
        <v>-700</v>
      </c>
      <c r="CM95" s="43">
        <v>700</v>
      </c>
      <c r="CN95" s="43">
        <v>4485</v>
      </c>
      <c r="CO95" s="43">
        <v>0</v>
      </c>
      <c r="CP95" s="43">
        <v>0</v>
      </c>
      <c r="CQ95" s="43">
        <v>0</v>
      </c>
      <c r="CR95" s="43">
        <v>-5000</v>
      </c>
      <c r="CS95" s="43">
        <v>5000</v>
      </c>
      <c r="CT95" s="43">
        <v>-5300</v>
      </c>
      <c r="CU95" s="43">
        <v>5300</v>
      </c>
      <c r="CV95" s="43">
        <v>-4000</v>
      </c>
      <c r="CW95" s="43">
        <v>4000</v>
      </c>
      <c r="CX95" s="43">
        <v>-4800</v>
      </c>
      <c r="CY95" s="43">
        <v>4800</v>
      </c>
      <c r="CZ95" s="43">
        <v>12065.3598539</v>
      </c>
      <c r="DA95" s="43">
        <v>0</v>
      </c>
      <c r="DB95" s="114">
        <v>19800</v>
      </c>
      <c r="DC95" s="43"/>
      <c r="DD95" s="117">
        <v>42589.440999999999</v>
      </c>
      <c r="DE95" s="55">
        <v>2318.9059999999999</v>
      </c>
      <c r="DF95" s="59">
        <v>1856.6173314969001</v>
      </c>
      <c r="DG95" s="59">
        <v>46764.9643314969</v>
      </c>
      <c r="DH95" s="117">
        <v>10046.245000000001</v>
      </c>
      <c r="DI95" s="117">
        <v>67566.410999999993</v>
      </c>
      <c r="DJ95" s="55">
        <v>5481</v>
      </c>
      <c r="DK95" s="114">
        <v>73047.410999999993</v>
      </c>
      <c r="DL95" s="43"/>
      <c r="DM95" s="117">
        <v>768.46</v>
      </c>
      <c r="DN95" s="55">
        <v>10524.485844775239</v>
      </c>
      <c r="DO95" s="55">
        <v>11292.94584477524</v>
      </c>
      <c r="DP95" s="59">
        <v>1298.2141415665189</v>
      </c>
      <c r="DQ95" s="59">
        <v>2915.9826020148498</v>
      </c>
      <c r="DR95" s="59">
        <v>445.15301999000002</v>
      </c>
      <c r="DS95" s="55">
        <v>3361.1356220048497</v>
      </c>
      <c r="DT95" s="55">
        <v>161.99903344526939</v>
      </c>
      <c r="DU95" s="55">
        <v>161.99903344526939</v>
      </c>
      <c r="DW95" s="121">
        <v>0</v>
      </c>
      <c r="DX95" s="122">
        <v>6779.6610170000004</v>
      </c>
      <c r="DY95" s="128">
        <v>1447.7400829999999</v>
      </c>
      <c r="DZ95" s="128">
        <v>0</v>
      </c>
      <c r="EA95" s="121">
        <v>0</v>
      </c>
      <c r="EB95" s="122">
        <v>1553.672292</v>
      </c>
      <c r="EC95" s="121">
        <v>0</v>
      </c>
      <c r="ED95" s="122">
        <v>1271.1864410000001</v>
      </c>
      <c r="EE95" s="121">
        <v>0</v>
      </c>
      <c r="EF95" s="122">
        <v>847.5</v>
      </c>
      <c r="EG95" s="121">
        <v>0</v>
      </c>
      <c r="EH95" s="122">
        <v>7397.5988710000001</v>
      </c>
      <c r="EI95" s="121">
        <v>0</v>
      </c>
      <c r="EJ95" s="122">
        <v>6779.6610170000004</v>
      </c>
      <c r="EK95" s="129">
        <v>1553.672292</v>
      </c>
      <c r="EL95" s="130">
        <v>847.5</v>
      </c>
      <c r="EM95" s="131">
        <v>735.83500000000004</v>
      </c>
      <c r="EN95" s="129">
        <v>445.15301999000002</v>
      </c>
      <c r="EO95" s="129">
        <v>10964.025395000001</v>
      </c>
      <c r="EP95" s="129">
        <v>0</v>
      </c>
      <c r="ER95" s="157">
        <v>0</v>
      </c>
      <c r="ES95" s="37">
        <v>0</v>
      </c>
      <c r="ET95" s="55">
        <f t="shared" si="10"/>
        <v>0</v>
      </c>
      <c r="EU95" s="157">
        <v>0</v>
      </c>
      <c r="EV95" s="37">
        <v>0</v>
      </c>
      <c r="EW95" s="55">
        <f t="shared" si="9"/>
        <v>0</v>
      </c>
      <c r="EY95" s="166">
        <v>20.674066929999999</v>
      </c>
      <c r="EZ95" s="37">
        <v>3156.57</v>
      </c>
      <c r="FA95" s="164">
        <f t="shared" si="11"/>
        <v>0.23355253881070101</v>
      </c>
      <c r="FB95" s="5">
        <v>4613</v>
      </c>
      <c r="FC95" s="164">
        <f t="shared" si="12"/>
        <v>1</v>
      </c>
      <c r="FE95" s="5"/>
      <c r="FF95" s="166">
        <v>0</v>
      </c>
      <c r="FG95" s="37">
        <v>0</v>
      </c>
      <c r="FH95" s="164">
        <f t="shared" si="13"/>
        <v>0</v>
      </c>
      <c r="FI95" s="5">
        <v>0</v>
      </c>
      <c r="FJ95" s="164">
        <f t="shared" si="14"/>
        <v>0</v>
      </c>
      <c r="FL95" s="169">
        <v>7873</v>
      </c>
      <c r="FM95" s="170">
        <f t="shared" si="15"/>
        <v>0.68245451314546257</v>
      </c>
      <c r="FN95" s="169">
        <v>2591</v>
      </c>
      <c r="FO95" s="170">
        <f t="shared" si="16"/>
        <v>0.82634348588741824</v>
      </c>
    </row>
    <row r="96" spans="16:171" x14ac:dyDescent="0.35">
      <c r="P96" s="64">
        <v>94</v>
      </c>
      <c r="Q96" s="109">
        <v>0</v>
      </c>
      <c r="R96" s="110">
        <v>0</v>
      </c>
      <c r="S96" s="111">
        <v>0</v>
      </c>
      <c r="T96" s="110">
        <v>0</v>
      </c>
      <c r="U96" s="111">
        <v>0</v>
      </c>
      <c r="V96" s="110">
        <v>0</v>
      </c>
      <c r="W96" s="111">
        <v>0</v>
      </c>
      <c r="X96" s="110">
        <v>0</v>
      </c>
      <c r="Y96" s="111">
        <v>0</v>
      </c>
      <c r="Z96" s="110">
        <v>0</v>
      </c>
      <c r="AA96" s="111">
        <v>0</v>
      </c>
      <c r="AB96" s="110">
        <v>0</v>
      </c>
      <c r="AC96" s="111">
        <v>0</v>
      </c>
      <c r="AD96" s="110">
        <v>0</v>
      </c>
      <c r="AF96" s="64">
        <v>94</v>
      </c>
      <c r="AG96" s="109">
        <v>25631.9424</v>
      </c>
      <c r="AH96" s="111">
        <v>1906.7</v>
      </c>
      <c r="AI96" s="109">
        <v>414.5</v>
      </c>
      <c r="AJ96" s="59">
        <v>0.28799999999999998</v>
      </c>
      <c r="AK96" s="59">
        <v>0.82900000000000007</v>
      </c>
      <c r="AL96" s="59">
        <v>0.82899999999999996</v>
      </c>
      <c r="AM96" s="110">
        <v>321.70800000000003</v>
      </c>
      <c r="AN96" s="111">
        <v>1956.1248000000001</v>
      </c>
      <c r="AO96" s="59">
        <v>0.49800000000000005</v>
      </c>
      <c r="AP96" s="55">
        <v>0.16800000000000001</v>
      </c>
      <c r="AQ96" s="109">
        <v>35903</v>
      </c>
      <c r="AR96" s="111">
        <v>19155.599999999999</v>
      </c>
      <c r="AS96" s="59">
        <v>0.80500000000000005</v>
      </c>
      <c r="AT96" s="55">
        <v>0.81599999999999995</v>
      </c>
      <c r="AU96" s="43"/>
      <c r="AV96" s="109">
        <v>1150.0619999999999</v>
      </c>
      <c r="AW96" s="110">
        <v>0.4669999106657029</v>
      </c>
      <c r="AX96" s="109">
        <v>998.51499999999999</v>
      </c>
      <c r="AY96" s="110">
        <v>0.62135345364032357</v>
      </c>
      <c r="AZ96" s="109">
        <v>1121.4780000000001</v>
      </c>
      <c r="BA96" s="110">
        <v>0.5784392407674851</v>
      </c>
      <c r="BB96" s="43"/>
      <c r="BC96" s="112">
        <v>52500.305999999997</v>
      </c>
      <c r="BD96" s="110">
        <v>0.75409836065573765</v>
      </c>
      <c r="BE96" s="43"/>
      <c r="BF96" s="157">
        <v>10951.01</v>
      </c>
      <c r="BG96" s="43">
        <v>0</v>
      </c>
      <c r="BH96" s="113">
        <v>0</v>
      </c>
      <c r="BI96" s="114">
        <v>0.33592055214723926</v>
      </c>
      <c r="BJ96" s="115">
        <v>0</v>
      </c>
      <c r="BK96" s="113">
        <v>0</v>
      </c>
      <c r="BL96" s="113">
        <v>0</v>
      </c>
      <c r="BM96" s="113">
        <v>0</v>
      </c>
      <c r="BN96" s="113">
        <v>4896.4650000000001</v>
      </c>
      <c r="BO96" s="114">
        <v>0.36329314438343968</v>
      </c>
      <c r="BP96" s="115">
        <v>0</v>
      </c>
      <c r="BQ96" s="43">
        <v>7668</v>
      </c>
      <c r="BR96" s="43">
        <v>649.37644352999996</v>
      </c>
      <c r="BS96" s="43"/>
      <c r="BT96" s="116">
        <v>-700</v>
      </c>
      <c r="BU96" s="43">
        <v>0</v>
      </c>
      <c r="BV96" s="43">
        <v>4485</v>
      </c>
      <c r="BW96" s="43">
        <v>4485</v>
      </c>
      <c r="BX96" s="43">
        <v>0</v>
      </c>
      <c r="BY96" s="43">
        <v>0</v>
      </c>
      <c r="BZ96" s="43">
        <v>-5000</v>
      </c>
      <c r="CA96" s="43">
        <v>0</v>
      </c>
      <c r="CB96" s="43">
        <v>-5300</v>
      </c>
      <c r="CC96" s="43">
        <v>0</v>
      </c>
      <c r="CD96" s="43">
        <v>-4000</v>
      </c>
      <c r="CE96" s="43">
        <v>0</v>
      </c>
      <c r="CF96" s="43">
        <v>-4800</v>
      </c>
      <c r="CG96" s="43">
        <v>0</v>
      </c>
      <c r="CH96" s="43">
        <v>9855.1154344000006</v>
      </c>
      <c r="CI96" s="43">
        <v>9855.1154344000006</v>
      </c>
      <c r="CJ96" s="114">
        <v>14340.115434400001</v>
      </c>
      <c r="CK96" s="43"/>
      <c r="CL96" s="116">
        <v>-700</v>
      </c>
      <c r="CM96" s="43">
        <v>700</v>
      </c>
      <c r="CN96" s="43">
        <v>4485</v>
      </c>
      <c r="CO96" s="43">
        <v>0</v>
      </c>
      <c r="CP96" s="43">
        <v>0</v>
      </c>
      <c r="CQ96" s="43">
        <v>0</v>
      </c>
      <c r="CR96" s="43">
        <v>-5000</v>
      </c>
      <c r="CS96" s="43">
        <v>5000</v>
      </c>
      <c r="CT96" s="43">
        <v>-5300</v>
      </c>
      <c r="CU96" s="43">
        <v>5300</v>
      </c>
      <c r="CV96" s="43">
        <v>-4000</v>
      </c>
      <c r="CW96" s="43">
        <v>4000</v>
      </c>
      <c r="CX96" s="43">
        <v>-4800</v>
      </c>
      <c r="CY96" s="43">
        <v>4800</v>
      </c>
      <c r="CZ96" s="43">
        <v>9855.1154344000006</v>
      </c>
      <c r="DA96" s="43">
        <v>0</v>
      </c>
      <c r="DB96" s="114">
        <v>19800</v>
      </c>
      <c r="DC96" s="43"/>
      <c r="DD96" s="117">
        <v>40010.364999999998</v>
      </c>
      <c r="DE96" s="55">
        <v>2318.9279999999999</v>
      </c>
      <c r="DF96" s="59">
        <v>1785.0935541245001</v>
      </c>
      <c r="DG96" s="59">
        <v>44114.386554124496</v>
      </c>
      <c r="DH96" s="117">
        <v>9538.8009999999995</v>
      </c>
      <c r="DI96" s="117">
        <v>64917.411</v>
      </c>
      <c r="DJ96" s="55">
        <v>5122</v>
      </c>
      <c r="DK96" s="114">
        <v>70039.410999999993</v>
      </c>
      <c r="DL96" s="43"/>
      <c r="DM96" s="117">
        <v>703.02099999999996</v>
      </c>
      <c r="DN96" s="55">
        <v>10508.77584392489</v>
      </c>
      <c r="DO96" s="55">
        <v>11211.796843924891</v>
      </c>
      <c r="DP96" s="59">
        <v>1220.8800811900189</v>
      </c>
      <c r="DQ96" s="59">
        <v>2907.704727589607</v>
      </c>
      <c r="DR96" s="59">
        <v>453.43089441000001</v>
      </c>
      <c r="DS96" s="55">
        <v>3361.1356219996069</v>
      </c>
      <c r="DT96" s="55">
        <v>161.53915153275599</v>
      </c>
      <c r="DU96" s="55">
        <v>161.53915153275599</v>
      </c>
      <c r="DW96" s="121">
        <v>0</v>
      </c>
      <c r="DX96" s="122">
        <v>6779.6610170000004</v>
      </c>
      <c r="DY96" s="128">
        <v>1447.7400829999999</v>
      </c>
      <c r="DZ96" s="128">
        <v>0</v>
      </c>
      <c r="EA96" s="121">
        <v>0</v>
      </c>
      <c r="EB96" s="122">
        <v>1553.672292</v>
      </c>
      <c r="EC96" s="121">
        <v>0</v>
      </c>
      <c r="ED96" s="122">
        <v>1271.1864410000001</v>
      </c>
      <c r="EE96" s="121">
        <v>0</v>
      </c>
      <c r="EF96" s="122">
        <v>847.5</v>
      </c>
      <c r="EG96" s="121">
        <v>0</v>
      </c>
      <c r="EH96" s="122">
        <v>7397.5988710000001</v>
      </c>
      <c r="EI96" s="121">
        <v>0</v>
      </c>
      <c r="EJ96" s="122">
        <v>6779.6610170000004</v>
      </c>
      <c r="EK96" s="129">
        <v>1553.672292</v>
      </c>
      <c r="EL96" s="130">
        <v>847.5</v>
      </c>
      <c r="EM96" s="131">
        <v>735.83500000000004</v>
      </c>
      <c r="EN96" s="129">
        <v>453.43089441000001</v>
      </c>
      <c r="EO96" s="129">
        <v>10964.025395000001</v>
      </c>
      <c r="EP96" s="129">
        <v>0</v>
      </c>
      <c r="ER96" s="157">
        <v>0</v>
      </c>
      <c r="ES96" s="37">
        <v>0</v>
      </c>
      <c r="ET96" s="55">
        <f t="shared" si="10"/>
        <v>0</v>
      </c>
      <c r="EU96" s="157">
        <v>0</v>
      </c>
      <c r="EV96" s="37">
        <v>0</v>
      </c>
      <c r="EW96" s="55">
        <f t="shared" si="9"/>
        <v>0</v>
      </c>
      <c r="EY96" s="166">
        <v>1006.87244778</v>
      </c>
      <c r="EZ96" s="37">
        <v>3156.57</v>
      </c>
      <c r="FA96" s="164">
        <f t="shared" si="11"/>
        <v>0.3060459106658493</v>
      </c>
      <c r="FB96" s="5">
        <v>4613</v>
      </c>
      <c r="FC96" s="164">
        <f t="shared" si="12"/>
        <v>1</v>
      </c>
      <c r="FE96" s="5"/>
      <c r="FF96" s="166">
        <v>0</v>
      </c>
      <c r="FG96" s="37">
        <v>0</v>
      </c>
      <c r="FH96" s="164">
        <f t="shared" si="13"/>
        <v>0</v>
      </c>
      <c r="FI96" s="5">
        <v>0</v>
      </c>
      <c r="FJ96" s="164">
        <f t="shared" si="14"/>
        <v>0</v>
      </c>
      <c r="FL96" s="169">
        <v>7873</v>
      </c>
      <c r="FM96" s="170">
        <f t="shared" si="15"/>
        <v>0.68245451314546257</v>
      </c>
      <c r="FN96" s="169">
        <v>2591</v>
      </c>
      <c r="FO96" s="170">
        <f t="shared" si="16"/>
        <v>0.82634348588741824</v>
      </c>
    </row>
    <row r="97" spans="16:171" x14ac:dyDescent="0.35">
      <c r="P97" s="64">
        <v>95</v>
      </c>
      <c r="Q97" s="109">
        <v>0</v>
      </c>
      <c r="R97" s="110">
        <v>0</v>
      </c>
      <c r="S97" s="111">
        <v>0</v>
      </c>
      <c r="T97" s="110">
        <v>0</v>
      </c>
      <c r="U97" s="111">
        <v>0</v>
      </c>
      <c r="V97" s="110">
        <v>0</v>
      </c>
      <c r="W97" s="111">
        <v>0</v>
      </c>
      <c r="X97" s="110">
        <v>0</v>
      </c>
      <c r="Y97" s="111">
        <v>0</v>
      </c>
      <c r="Z97" s="110">
        <v>0</v>
      </c>
      <c r="AA97" s="111">
        <v>0</v>
      </c>
      <c r="AB97" s="110">
        <v>0</v>
      </c>
      <c r="AC97" s="111">
        <v>0</v>
      </c>
      <c r="AD97" s="110">
        <v>0</v>
      </c>
      <c r="AF97" s="64">
        <v>95</v>
      </c>
      <c r="AG97" s="109">
        <v>28390.9362</v>
      </c>
      <c r="AH97" s="111">
        <v>1925.1</v>
      </c>
      <c r="AI97" s="109">
        <v>418.5</v>
      </c>
      <c r="AJ97" s="59">
        <v>0.31900000000000001</v>
      </c>
      <c r="AK97" s="59">
        <v>0.83699999999999997</v>
      </c>
      <c r="AL97" s="59">
        <v>0.83699999999999997</v>
      </c>
      <c r="AM97" s="110">
        <v>345.61</v>
      </c>
      <c r="AN97" s="111">
        <v>2386.9380000000001</v>
      </c>
      <c r="AO97" s="59">
        <v>0.53500000000000003</v>
      </c>
      <c r="AP97" s="55">
        <v>0.20500000000000002</v>
      </c>
      <c r="AQ97" s="109">
        <v>36661.199999999997</v>
      </c>
      <c r="AR97" s="111">
        <v>19249.5</v>
      </c>
      <c r="AS97" s="59">
        <v>0.82199999999999995</v>
      </c>
      <c r="AT97" s="55">
        <v>0.82</v>
      </c>
      <c r="AU97" s="43"/>
      <c r="AV97" s="109">
        <v>1145.1369999999999</v>
      </c>
      <c r="AW97" s="110">
        <v>0.46500004060649869</v>
      </c>
      <c r="AX97" s="109">
        <v>973.24599999999998</v>
      </c>
      <c r="AY97" s="110">
        <v>0.60562912258867452</v>
      </c>
      <c r="AZ97" s="109">
        <v>1121.4780000000001</v>
      </c>
      <c r="BA97" s="110">
        <v>0.5784392407674851</v>
      </c>
      <c r="BB97" s="43"/>
      <c r="BC97" s="112">
        <v>52500.305999999997</v>
      </c>
      <c r="BD97" s="110">
        <v>0.75409836065573765</v>
      </c>
      <c r="BE97" s="43"/>
      <c r="BF97" s="157">
        <v>12139.871999999999</v>
      </c>
      <c r="BG97" s="43">
        <v>0</v>
      </c>
      <c r="BH97" s="113">
        <v>0</v>
      </c>
      <c r="BI97" s="114">
        <v>0.37238871165644172</v>
      </c>
      <c r="BJ97" s="115">
        <v>0</v>
      </c>
      <c r="BK97" s="113">
        <v>0</v>
      </c>
      <c r="BL97" s="113">
        <v>0</v>
      </c>
      <c r="BM97" s="113">
        <v>0</v>
      </c>
      <c r="BN97" s="113">
        <v>5209.0240000000003</v>
      </c>
      <c r="BO97" s="114">
        <v>0.3864834545184746</v>
      </c>
      <c r="BP97" s="115">
        <v>0</v>
      </c>
      <c r="BQ97" s="43">
        <v>7668</v>
      </c>
      <c r="BR97" s="43">
        <v>648.91656161999992</v>
      </c>
      <c r="BS97" s="43"/>
      <c r="BT97" s="116">
        <v>-700</v>
      </c>
      <c r="BU97" s="43">
        <v>0</v>
      </c>
      <c r="BV97" s="43">
        <v>4485</v>
      </c>
      <c r="BW97" s="43">
        <v>4485</v>
      </c>
      <c r="BX97" s="43">
        <v>0</v>
      </c>
      <c r="BY97" s="43">
        <v>0</v>
      </c>
      <c r="BZ97" s="43">
        <v>-5000</v>
      </c>
      <c r="CA97" s="43">
        <v>0</v>
      </c>
      <c r="CB97" s="43">
        <v>-5300</v>
      </c>
      <c r="CC97" s="43">
        <v>0</v>
      </c>
      <c r="CD97" s="43">
        <v>-4000</v>
      </c>
      <c r="CE97" s="43">
        <v>0</v>
      </c>
      <c r="CF97" s="43">
        <v>-4800</v>
      </c>
      <c r="CG97" s="43">
        <v>0</v>
      </c>
      <c r="CH97" s="43">
        <v>10778.5113698</v>
      </c>
      <c r="CI97" s="43">
        <v>10778.5113698</v>
      </c>
      <c r="CJ97" s="114">
        <v>15263.5113698</v>
      </c>
      <c r="CK97" s="43"/>
      <c r="CL97" s="116">
        <v>-700</v>
      </c>
      <c r="CM97" s="43">
        <v>700</v>
      </c>
      <c r="CN97" s="43">
        <v>4485</v>
      </c>
      <c r="CO97" s="43">
        <v>0</v>
      </c>
      <c r="CP97" s="43">
        <v>0</v>
      </c>
      <c r="CQ97" s="43">
        <v>0</v>
      </c>
      <c r="CR97" s="43">
        <v>-5000</v>
      </c>
      <c r="CS97" s="43">
        <v>5000</v>
      </c>
      <c r="CT97" s="43">
        <v>-5300</v>
      </c>
      <c r="CU97" s="43">
        <v>5300</v>
      </c>
      <c r="CV97" s="43">
        <v>-4000</v>
      </c>
      <c r="CW97" s="43">
        <v>4000</v>
      </c>
      <c r="CX97" s="43">
        <v>-4800</v>
      </c>
      <c r="CY97" s="43">
        <v>4800</v>
      </c>
      <c r="CZ97" s="43">
        <v>10778.5113698</v>
      </c>
      <c r="DA97" s="43">
        <v>0</v>
      </c>
      <c r="DB97" s="114">
        <v>19800</v>
      </c>
      <c r="DC97" s="43"/>
      <c r="DD97" s="117">
        <v>37418.555</v>
      </c>
      <c r="DE97" s="55">
        <v>2274.7539999999999</v>
      </c>
      <c r="DF97" s="59">
        <v>1796.9525522245001</v>
      </c>
      <c r="DG97" s="59">
        <v>41490.261552224503</v>
      </c>
      <c r="DH97" s="117">
        <v>9461.5969999999998</v>
      </c>
      <c r="DI97" s="117">
        <v>63569.411</v>
      </c>
      <c r="DJ97" s="55">
        <v>5449</v>
      </c>
      <c r="DK97" s="114">
        <v>69018.410999999993</v>
      </c>
      <c r="DL97" s="43"/>
      <c r="DM97" s="117">
        <v>622.94399999999996</v>
      </c>
      <c r="DN97" s="55">
        <v>10493.065843074541</v>
      </c>
      <c r="DO97" s="55">
        <v>11116.00984307454</v>
      </c>
      <c r="DP97" s="59">
        <v>1169.3240409390189</v>
      </c>
      <c r="DQ97" s="59">
        <v>2899.4268531643638</v>
      </c>
      <c r="DR97" s="59">
        <v>461.70876884</v>
      </c>
      <c r="DS97" s="55">
        <v>3361.135622004364</v>
      </c>
      <c r="DT97" s="55">
        <v>161.07926962024251</v>
      </c>
      <c r="DU97" s="55">
        <v>161.07926962024251</v>
      </c>
      <c r="DW97" s="121">
        <v>0</v>
      </c>
      <c r="DX97" s="122">
        <v>6779.6610170000004</v>
      </c>
      <c r="DY97" s="128">
        <v>1447.7400829999999</v>
      </c>
      <c r="DZ97" s="128">
        <v>0</v>
      </c>
      <c r="EA97" s="121">
        <v>0</v>
      </c>
      <c r="EB97" s="122">
        <v>1553.672292</v>
      </c>
      <c r="EC97" s="121">
        <v>0</v>
      </c>
      <c r="ED97" s="122">
        <v>1271.1864410000001</v>
      </c>
      <c r="EE97" s="121">
        <v>0</v>
      </c>
      <c r="EF97" s="122">
        <v>847.5</v>
      </c>
      <c r="EG97" s="121">
        <v>0</v>
      </c>
      <c r="EH97" s="122">
        <v>7397.5988710000001</v>
      </c>
      <c r="EI97" s="121">
        <v>0</v>
      </c>
      <c r="EJ97" s="122">
        <v>6779.6610170000004</v>
      </c>
      <c r="EK97" s="129">
        <v>1553.672292</v>
      </c>
      <c r="EL97" s="130">
        <v>847.5</v>
      </c>
      <c r="EM97" s="131">
        <v>735.83500000000004</v>
      </c>
      <c r="EN97" s="129">
        <v>461.70876884</v>
      </c>
      <c r="EO97" s="129">
        <v>10964.025395000001</v>
      </c>
      <c r="EP97" s="129">
        <v>0</v>
      </c>
      <c r="ER97" s="157">
        <v>0</v>
      </c>
      <c r="ES97" s="37">
        <v>0</v>
      </c>
      <c r="ET97" s="55">
        <f t="shared" si="10"/>
        <v>0</v>
      </c>
      <c r="EU97" s="157">
        <v>0</v>
      </c>
      <c r="EV97" s="37">
        <v>0</v>
      </c>
      <c r="EW97" s="55">
        <f t="shared" si="9"/>
        <v>0</v>
      </c>
      <c r="EY97" s="166">
        <v>0</v>
      </c>
      <c r="EZ97" s="37">
        <v>3156.57</v>
      </c>
      <c r="FA97" s="164">
        <f t="shared" si="11"/>
        <v>0.23203283156840868</v>
      </c>
      <c r="FB97" s="5">
        <v>4613</v>
      </c>
      <c r="FC97" s="164">
        <f t="shared" si="12"/>
        <v>1</v>
      </c>
      <c r="FE97" s="5"/>
      <c r="FF97" s="166">
        <v>0</v>
      </c>
      <c r="FG97" s="37">
        <v>0</v>
      </c>
      <c r="FH97" s="164">
        <f t="shared" si="13"/>
        <v>0</v>
      </c>
      <c r="FI97" s="5">
        <v>0</v>
      </c>
      <c r="FJ97" s="164">
        <f t="shared" si="14"/>
        <v>0</v>
      </c>
      <c r="FL97" s="169">
        <v>7873</v>
      </c>
      <c r="FM97" s="170">
        <f t="shared" si="15"/>
        <v>0.68245451314546257</v>
      </c>
      <c r="FN97" s="169">
        <v>2591</v>
      </c>
      <c r="FO97" s="170">
        <f t="shared" si="16"/>
        <v>0.82634348588741824</v>
      </c>
    </row>
    <row r="98" spans="16:171" x14ac:dyDescent="0.35">
      <c r="P98" s="64">
        <v>96</v>
      </c>
      <c r="Q98" s="109">
        <v>0</v>
      </c>
      <c r="R98" s="110">
        <v>0</v>
      </c>
      <c r="S98" s="111">
        <v>0</v>
      </c>
      <c r="T98" s="110">
        <v>0</v>
      </c>
      <c r="U98" s="111">
        <v>0</v>
      </c>
      <c r="V98" s="110">
        <v>0</v>
      </c>
      <c r="W98" s="111">
        <v>0</v>
      </c>
      <c r="X98" s="110">
        <v>0</v>
      </c>
      <c r="Y98" s="111">
        <v>0</v>
      </c>
      <c r="Z98" s="110">
        <v>0</v>
      </c>
      <c r="AA98" s="111">
        <v>0</v>
      </c>
      <c r="AB98" s="110">
        <v>0</v>
      </c>
      <c r="AC98" s="111">
        <v>0</v>
      </c>
      <c r="AD98" s="110">
        <v>0</v>
      </c>
      <c r="AF98" s="64">
        <v>96</v>
      </c>
      <c r="AG98" s="109">
        <v>31505.929199999999</v>
      </c>
      <c r="AH98" s="111">
        <v>1936.6</v>
      </c>
      <c r="AI98" s="109">
        <v>421</v>
      </c>
      <c r="AJ98" s="59">
        <v>0.35399999999999998</v>
      </c>
      <c r="AK98" s="59">
        <v>0.84199999999999997</v>
      </c>
      <c r="AL98" s="59">
        <v>0.84199999999999997</v>
      </c>
      <c r="AM98" s="110">
        <v>360.46800000000002</v>
      </c>
      <c r="AN98" s="111">
        <v>2747.8896</v>
      </c>
      <c r="AO98" s="59">
        <v>0.55800000000000005</v>
      </c>
      <c r="AP98" s="55">
        <v>0.23599999999999999</v>
      </c>
      <c r="AQ98" s="109">
        <v>37151.800000000003</v>
      </c>
      <c r="AR98" s="111">
        <v>19202.55</v>
      </c>
      <c r="AS98" s="59">
        <v>0.83300000000000007</v>
      </c>
      <c r="AT98" s="55">
        <v>0.81799999999999995</v>
      </c>
      <c r="AU98" s="43"/>
      <c r="AV98" s="109">
        <v>1145.1369999999999</v>
      </c>
      <c r="AW98" s="110">
        <v>0.46500004060649869</v>
      </c>
      <c r="AX98" s="109">
        <v>973.54899999999998</v>
      </c>
      <c r="AY98" s="110">
        <v>0.60581767268201614</v>
      </c>
      <c r="AZ98" s="109">
        <v>1121.4780000000001</v>
      </c>
      <c r="BA98" s="110">
        <v>0.5784392407674851</v>
      </c>
      <c r="BB98" s="43"/>
      <c r="BC98" s="112">
        <v>52500.305999999997</v>
      </c>
      <c r="BD98" s="110">
        <v>0.75409836065573765</v>
      </c>
      <c r="BE98" s="43"/>
      <c r="BF98" s="157">
        <v>13451.237999999999</v>
      </c>
      <c r="BG98" s="43">
        <v>0</v>
      </c>
      <c r="BH98" s="113">
        <v>0</v>
      </c>
      <c r="BI98" s="114">
        <v>0.41261466257668711</v>
      </c>
      <c r="BJ98" s="115">
        <v>0</v>
      </c>
      <c r="BK98" s="113">
        <v>0</v>
      </c>
      <c r="BL98" s="113">
        <v>0</v>
      </c>
      <c r="BM98" s="113">
        <v>0</v>
      </c>
      <c r="BN98" s="113">
        <v>5320.7550000000001</v>
      </c>
      <c r="BO98" s="114">
        <v>0.39477333432259981</v>
      </c>
      <c r="BP98" s="115">
        <v>0</v>
      </c>
      <c r="BQ98" s="43">
        <v>7668</v>
      </c>
      <c r="BR98" s="43">
        <v>0</v>
      </c>
      <c r="BS98" s="43"/>
      <c r="BT98" s="116">
        <v>-700</v>
      </c>
      <c r="BU98" s="43">
        <v>0</v>
      </c>
      <c r="BV98" s="43">
        <v>4485</v>
      </c>
      <c r="BW98" s="43">
        <v>4485</v>
      </c>
      <c r="BX98" s="43">
        <v>0</v>
      </c>
      <c r="BY98" s="43">
        <v>0</v>
      </c>
      <c r="BZ98" s="43">
        <v>-5000</v>
      </c>
      <c r="CA98" s="43">
        <v>0</v>
      </c>
      <c r="CB98" s="43">
        <v>-5300</v>
      </c>
      <c r="CC98" s="43">
        <v>0</v>
      </c>
      <c r="CD98" s="43">
        <v>-4000</v>
      </c>
      <c r="CE98" s="43">
        <v>0</v>
      </c>
      <c r="CF98" s="43">
        <v>-4800</v>
      </c>
      <c r="CG98" s="43">
        <v>0</v>
      </c>
      <c r="CH98" s="43">
        <v>11210.047986719999</v>
      </c>
      <c r="CI98" s="43">
        <v>11210.047986719999</v>
      </c>
      <c r="CJ98" s="114">
        <v>15695.047986719999</v>
      </c>
      <c r="CK98" s="43"/>
      <c r="CL98" s="116">
        <v>-700</v>
      </c>
      <c r="CM98" s="43">
        <v>700</v>
      </c>
      <c r="CN98" s="43">
        <v>4485</v>
      </c>
      <c r="CO98" s="43">
        <v>0</v>
      </c>
      <c r="CP98" s="43">
        <v>0</v>
      </c>
      <c r="CQ98" s="43">
        <v>0</v>
      </c>
      <c r="CR98" s="43">
        <v>-5000</v>
      </c>
      <c r="CS98" s="43">
        <v>5000</v>
      </c>
      <c r="CT98" s="43">
        <v>-5300</v>
      </c>
      <c r="CU98" s="43">
        <v>5300</v>
      </c>
      <c r="CV98" s="43">
        <v>-4000</v>
      </c>
      <c r="CW98" s="43">
        <v>4000</v>
      </c>
      <c r="CX98" s="43">
        <v>-4800</v>
      </c>
      <c r="CY98" s="43">
        <v>4800</v>
      </c>
      <c r="CZ98" s="43">
        <v>11210.047986719999</v>
      </c>
      <c r="DA98" s="43">
        <v>0</v>
      </c>
      <c r="DB98" s="114">
        <v>19800</v>
      </c>
      <c r="DC98" s="43"/>
      <c r="DD98" s="117">
        <v>35023.535000000003</v>
      </c>
      <c r="DE98" s="55">
        <v>2172.7939999999999</v>
      </c>
      <c r="DF98" s="59">
        <v>1495.4430131542999</v>
      </c>
      <c r="DG98" s="59">
        <v>38691.772013154303</v>
      </c>
      <c r="DH98" s="117">
        <v>9024.4539999999997</v>
      </c>
      <c r="DI98" s="117">
        <v>61534.411</v>
      </c>
      <c r="DJ98" s="55">
        <v>5698</v>
      </c>
      <c r="DK98" s="114">
        <v>67232.410999999993</v>
      </c>
      <c r="DL98" s="43"/>
      <c r="DM98" s="117">
        <v>587.53700000000003</v>
      </c>
      <c r="DN98" s="55">
        <v>10493.065843074541</v>
      </c>
      <c r="DO98" s="55">
        <v>11080.602843074541</v>
      </c>
      <c r="DP98" s="59">
        <v>1169.3240409390189</v>
      </c>
      <c r="DQ98" s="59">
        <v>2899.4268531643638</v>
      </c>
      <c r="DR98" s="59">
        <v>461.70876884</v>
      </c>
      <c r="DS98" s="55">
        <v>3361.135622004364</v>
      </c>
      <c r="DT98" s="55">
        <v>161.07926962024251</v>
      </c>
      <c r="DU98" s="55">
        <v>161.07926962024251</v>
      </c>
      <c r="DW98" s="121">
        <v>0</v>
      </c>
      <c r="DX98" s="122">
        <v>6779.6610170000004</v>
      </c>
      <c r="DY98" s="128">
        <v>1447.7400829999999</v>
      </c>
      <c r="DZ98" s="128">
        <v>0</v>
      </c>
      <c r="EA98" s="121">
        <v>0</v>
      </c>
      <c r="EB98" s="122">
        <v>703.41241008999998</v>
      </c>
      <c r="EC98" s="121">
        <v>0</v>
      </c>
      <c r="ED98" s="122">
        <v>1271.1864410000001</v>
      </c>
      <c r="EE98" s="121">
        <v>0</v>
      </c>
      <c r="EF98" s="122">
        <v>847.5</v>
      </c>
      <c r="EG98" s="121">
        <v>0</v>
      </c>
      <c r="EH98" s="122">
        <v>7397.5988710000001</v>
      </c>
      <c r="EI98" s="121">
        <v>0</v>
      </c>
      <c r="EJ98" s="122">
        <v>6779.6610170000004</v>
      </c>
      <c r="EK98" s="129">
        <v>703.41241008999998</v>
      </c>
      <c r="EL98" s="130">
        <v>847.5</v>
      </c>
      <c r="EM98" s="131">
        <v>735.83500000000004</v>
      </c>
      <c r="EN98" s="129">
        <v>461.70876884</v>
      </c>
      <c r="EO98" s="129">
        <v>10964.025395000001</v>
      </c>
      <c r="EP98" s="129">
        <v>0</v>
      </c>
      <c r="ER98" s="157">
        <v>0</v>
      </c>
      <c r="ES98" s="37">
        <v>0</v>
      </c>
      <c r="ET98" s="55">
        <f t="shared" si="10"/>
        <v>0</v>
      </c>
      <c r="EU98" s="157">
        <v>0</v>
      </c>
      <c r="EV98" s="37">
        <v>0</v>
      </c>
      <c r="EW98" s="55">
        <f t="shared" si="9"/>
        <v>0</v>
      </c>
      <c r="EY98" s="166">
        <v>0</v>
      </c>
      <c r="EZ98" s="37">
        <v>0</v>
      </c>
      <c r="FA98" s="164">
        <f t="shared" si="11"/>
        <v>0</v>
      </c>
      <c r="FB98" s="5">
        <v>4613</v>
      </c>
      <c r="FC98" s="164">
        <f t="shared" si="12"/>
        <v>1</v>
      </c>
      <c r="FE98" s="5"/>
      <c r="FF98" s="166">
        <v>0</v>
      </c>
      <c r="FG98" s="37">
        <v>0</v>
      </c>
      <c r="FH98" s="164">
        <f t="shared" si="13"/>
        <v>0</v>
      </c>
      <c r="FI98" s="5">
        <v>0</v>
      </c>
      <c r="FJ98" s="164">
        <f t="shared" si="14"/>
        <v>0</v>
      </c>
      <c r="FL98" s="169">
        <v>7873</v>
      </c>
      <c r="FM98" s="170">
        <f t="shared" si="15"/>
        <v>0.68245451314546257</v>
      </c>
      <c r="FN98" s="169">
        <v>2591</v>
      </c>
      <c r="FO98" s="170">
        <f t="shared" si="16"/>
        <v>0.82634348588741824</v>
      </c>
    </row>
    <row r="99" spans="16:171" x14ac:dyDescent="0.35">
      <c r="P99" s="64">
        <v>97</v>
      </c>
      <c r="Q99" s="109">
        <v>0</v>
      </c>
      <c r="R99" s="110">
        <v>0</v>
      </c>
      <c r="S99" s="111">
        <v>0</v>
      </c>
      <c r="T99" s="110">
        <v>0</v>
      </c>
      <c r="U99" s="111">
        <v>0</v>
      </c>
      <c r="V99" s="110">
        <v>0</v>
      </c>
      <c r="W99" s="111">
        <v>0</v>
      </c>
      <c r="X99" s="110">
        <v>0</v>
      </c>
      <c r="Y99" s="111">
        <v>0</v>
      </c>
      <c r="Z99" s="110">
        <v>0</v>
      </c>
      <c r="AA99" s="111">
        <v>0</v>
      </c>
      <c r="AB99" s="110">
        <v>0</v>
      </c>
      <c r="AC99" s="111">
        <v>0</v>
      </c>
      <c r="AD99" s="110">
        <v>0</v>
      </c>
      <c r="AF99" s="64">
        <v>97</v>
      </c>
      <c r="AG99" s="109">
        <v>32662.926599999999</v>
      </c>
      <c r="AH99" s="111">
        <v>1943.5</v>
      </c>
      <c r="AI99" s="109">
        <v>422.5</v>
      </c>
      <c r="AJ99" s="59">
        <v>0.36699999999999999</v>
      </c>
      <c r="AK99" s="59">
        <v>0.84499999999999997</v>
      </c>
      <c r="AL99" s="59">
        <v>0.84499999999999997</v>
      </c>
      <c r="AM99" s="110">
        <v>372.096</v>
      </c>
      <c r="AN99" s="111">
        <v>2910.9</v>
      </c>
      <c r="AO99" s="59">
        <v>0.57599999999999996</v>
      </c>
      <c r="AP99" s="55">
        <v>0.25</v>
      </c>
      <c r="AQ99" s="109">
        <v>37374.800000000003</v>
      </c>
      <c r="AR99" s="111">
        <v>19343.400000000001</v>
      </c>
      <c r="AS99" s="59">
        <v>0.83800000000000008</v>
      </c>
      <c r="AT99" s="55">
        <v>0.82400000000000007</v>
      </c>
      <c r="AU99" s="43"/>
      <c r="AV99" s="109">
        <v>1095.884</v>
      </c>
      <c r="AW99" s="110">
        <v>0.445000121819496</v>
      </c>
      <c r="AX99" s="109">
        <v>930.68299999999999</v>
      </c>
      <c r="AY99" s="110">
        <v>0.57914312383322963</v>
      </c>
      <c r="AZ99" s="109">
        <v>1121.4780000000001</v>
      </c>
      <c r="BA99" s="110">
        <v>0.5784392407674851</v>
      </c>
      <c r="BB99" s="43"/>
      <c r="BC99" s="112">
        <v>52500.305999999997</v>
      </c>
      <c r="BD99" s="110">
        <v>0.75409836065573765</v>
      </c>
      <c r="BE99" s="43"/>
      <c r="BF99" s="157">
        <v>13946.638000000001</v>
      </c>
      <c r="BG99" s="43">
        <v>0</v>
      </c>
      <c r="BH99" s="113">
        <v>0</v>
      </c>
      <c r="BI99" s="114">
        <v>0.42781098159509207</v>
      </c>
      <c r="BJ99" s="115">
        <v>0</v>
      </c>
      <c r="BK99" s="113">
        <v>0</v>
      </c>
      <c r="BL99" s="113">
        <v>0</v>
      </c>
      <c r="BM99" s="113">
        <v>0</v>
      </c>
      <c r="BN99" s="113">
        <v>5353.9</v>
      </c>
      <c r="BO99" s="114">
        <v>0.3972325270811693</v>
      </c>
      <c r="BP99" s="115">
        <v>0</v>
      </c>
      <c r="BQ99" s="43">
        <v>7668</v>
      </c>
      <c r="BR99" s="43">
        <v>0</v>
      </c>
      <c r="BS99" s="43"/>
      <c r="BT99" s="116">
        <v>-700</v>
      </c>
      <c r="BU99" s="43">
        <v>0</v>
      </c>
      <c r="BV99" s="43">
        <v>4485</v>
      </c>
      <c r="BW99" s="43">
        <v>4485</v>
      </c>
      <c r="BX99" s="43">
        <v>0</v>
      </c>
      <c r="BY99" s="43">
        <v>0</v>
      </c>
      <c r="BZ99" s="43">
        <v>-5000</v>
      </c>
      <c r="CA99" s="43">
        <v>0</v>
      </c>
      <c r="CB99" s="43">
        <v>-5300</v>
      </c>
      <c r="CC99" s="43">
        <v>0</v>
      </c>
      <c r="CD99" s="43">
        <v>-4000</v>
      </c>
      <c r="CE99" s="43">
        <v>0</v>
      </c>
      <c r="CF99" s="43">
        <v>-4800</v>
      </c>
      <c r="CG99" s="43">
        <v>0</v>
      </c>
      <c r="CH99" s="43">
        <v>11042.594008440001</v>
      </c>
      <c r="CI99" s="43">
        <v>11042.594008440001</v>
      </c>
      <c r="CJ99" s="114">
        <v>15527.594008440001</v>
      </c>
      <c r="CK99" s="43"/>
      <c r="CL99" s="116">
        <v>-700</v>
      </c>
      <c r="CM99" s="43">
        <v>700</v>
      </c>
      <c r="CN99" s="43">
        <v>4485</v>
      </c>
      <c r="CO99" s="43">
        <v>0</v>
      </c>
      <c r="CP99" s="43">
        <v>0</v>
      </c>
      <c r="CQ99" s="43">
        <v>0</v>
      </c>
      <c r="CR99" s="43">
        <v>-5000</v>
      </c>
      <c r="CS99" s="43">
        <v>5000</v>
      </c>
      <c r="CT99" s="43">
        <v>-5300</v>
      </c>
      <c r="CU99" s="43">
        <v>5300</v>
      </c>
      <c r="CV99" s="43">
        <v>-4000</v>
      </c>
      <c r="CW99" s="43">
        <v>4000</v>
      </c>
      <c r="CX99" s="43">
        <v>-4800</v>
      </c>
      <c r="CY99" s="43">
        <v>4800</v>
      </c>
      <c r="CZ99" s="43">
        <v>11042.594008440001</v>
      </c>
      <c r="DA99" s="43">
        <v>0</v>
      </c>
      <c r="DB99" s="114">
        <v>19800</v>
      </c>
      <c r="DC99" s="43"/>
      <c r="DD99" s="117">
        <v>32393.161</v>
      </c>
      <c r="DE99" s="55">
        <v>2087.768</v>
      </c>
      <c r="DF99" s="59">
        <v>1216.4069836208</v>
      </c>
      <c r="DG99" s="59">
        <v>35697.335983620804</v>
      </c>
      <c r="DH99" s="117">
        <v>8311.9560000000001</v>
      </c>
      <c r="DI99" s="117">
        <v>58686.411</v>
      </c>
      <c r="DJ99" s="55">
        <v>5839</v>
      </c>
      <c r="DK99" s="114">
        <v>64525.411</v>
      </c>
      <c r="DL99" s="43"/>
      <c r="DM99" s="117">
        <v>627.78499999999997</v>
      </c>
      <c r="DN99" s="55">
        <v>10493.065843074541</v>
      </c>
      <c r="DO99" s="55">
        <v>11120.850843074541</v>
      </c>
      <c r="DP99" s="59">
        <v>1260.738922991665</v>
      </c>
      <c r="DQ99" s="59">
        <v>2899.4091042639602</v>
      </c>
      <c r="DR99" s="59">
        <v>461.72651774000002</v>
      </c>
      <c r="DS99" s="55">
        <v>3361.1356220039602</v>
      </c>
      <c r="DT99" s="55">
        <v>161.07828357022001</v>
      </c>
      <c r="DU99" s="55">
        <v>161.07828357022001</v>
      </c>
      <c r="DW99" s="121">
        <v>0</v>
      </c>
      <c r="DX99" s="122">
        <v>6779.6610170000004</v>
      </c>
      <c r="DY99" s="128">
        <v>1447.7400829999999</v>
      </c>
      <c r="DZ99" s="128">
        <v>0</v>
      </c>
      <c r="EA99" s="121">
        <v>0</v>
      </c>
      <c r="EB99" s="122">
        <v>904.75671642999998</v>
      </c>
      <c r="EC99" s="121">
        <v>0</v>
      </c>
      <c r="ED99" s="122">
        <v>1271.1864410000001</v>
      </c>
      <c r="EE99" s="121">
        <v>0</v>
      </c>
      <c r="EF99" s="122">
        <v>847.5</v>
      </c>
      <c r="EG99" s="121">
        <v>0</v>
      </c>
      <c r="EH99" s="122">
        <v>7397.5988710000001</v>
      </c>
      <c r="EI99" s="121">
        <v>0</v>
      </c>
      <c r="EJ99" s="122">
        <v>6779.6610170000004</v>
      </c>
      <c r="EK99" s="129">
        <v>904.75671642999998</v>
      </c>
      <c r="EL99" s="130">
        <v>847.5</v>
      </c>
      <c r="EM99" s="131">
        <v>735.83500000000004</v>
      </c>
      <c r="EN99" s="129">
        <v>461.72651774000002</v>
      </c>
      <c r="EO99" s="129">
        <v>10964.025395000001</v>
      </c>
      <c r="EP99" s="129">
        <v>0</v>
      </c>
      <c r="ER99" s="157">
        <v>0</v>
      </c>
      <c r="ES99" s="37">
        <v>0</v>
      </c>
      <c r="ET99" s="55">
        <f t="shared" si="10"/>
        <v>0</v>
      </c>
      <c r="EU99" s="157">
        <v>0</v>
      </c>
      <c r="EV99" s="37">
        <v>0</v>
      </c>
      <c r="EW99" s="55">
        <f t="shared" ref="EW99:EW130" si="17">(EU99+EV99)/($J$2+$J$3)</f>
        <v>0</v>
      </c>
      <c r="EY99" s="166">
        <v>0</v>
      </c>
      <c r="EZ99" s="37">
        <v>0</v>
      </c>
      <c r="FA99" s="164">
        <f t="shared" si="11"/>
        <v>0</v>
      </c>
      <c r="FB99" s="5">
        <v>4613</v>
      </c>
      <c r="FC99" s="164">
        <f t="shared" si="12"/>
        <v>1</v>
      </c>
      <c r="FE99" s="5"/>
      <c r="FF99" s="166">
        <v>0</v>
      </c>
      <c r="FG99" s="37">
        <v>0</v>
      </c>
      <c r="FH99" s="164">
        <f t="shared" si="13"/>
        <v>0</v>
      </c>
      <c r="FI99" s="5">
        <v>0</v>
      </c>
      <c r="FJ99" s="164">
        <f t="shared" si="14"/>
        <v>0</v>
      </c>
      <c r="FL99" s="169">
        <v>7873</v>
      </c>
      <c r="FM99" s="170">
        <f t="shared" si="15"/>
        <v>0.68245451314546257</v>
      </c>
      <c r="FN99" s="169">
        <v>2591</v>
      </c>
      <c r="FO99" s="170">
        <f t="shared" si="16"/>
        <v>0.82634348588741824</v>
      </c>
    </row>
    <row r="100" spans="16:171" x14ac:dyDescent="0.35">
      <c r="P100" s="64">
        <v>98</v>
      </c>
      <c r="Q100" s="109">
        <v>0</v>
      </c>
      <c r="R100" s="110">
        <v>0</v>
      </c>
      <c r="S100" s="111">
        <v>0</v>
      </c>
      <c r="T100" s="110">
        <v>0</v>
      </c>
      <c r="U100" s="111">
        <v>0</v>
      </c>
      <c r="V100" s="110">
        <v>0</v>
      </c>
      <c r="W100" s="111">
        <v>0</v>
      </c>
      <c r="X100" s="110">
        <v>0</v>
      </c>
      <c r="Y100" s="111">
        <v>0</v>
      </c>
      <c r="Z100" s="110">
        <v>0</v>
      </c>
      <c r="AA100" s="111">
        <v>0</v>
      </c>
      <c r="AB100" s="110">
        <v>0</v>
      </c>
      <c r="AC100" s="111">
        <v>0</v>
      </c>
      <c r="AD100" s="110">
        <v>0</v>
      </c>
      <c r="AF100" s="64">
        <v>98</v>
      </c>
      <c r="AG100" s="109">
        <v>30526.931400000001</v>
      </c>
      <c r="AH100" s="111">
        <v>1957.3</v>
      </c>
      <c r="AI100" s="109">
        <v>425.5</v>
      </c>
      <c r="AJ100" s="59">
        <v>0.34300000000000003</v>
      </c>
      <c r="AK100" s="59">
        <v>0.85099999999999998</v>
      </c>
      <c r="AL100" s="59">
        <v>0.85099999999999998</v>
      </c>
      <c r="AM100" s="110">
        <v>381.786</v>
      </c>
      <c r="AN100" s="111">
        <v>2829.3948</v>
      </c>
      <c r="AO100" s="59">
        <v>0.59099999999999997</v>
      </c>
      <c r="AP100" s="55">
        <v>0.24299999999999999</v>
      </c>
      <c r="AQ100" s="109">
        <v>37419.4</v>
      </c>
      <c r="AR100" s="111">
        <v>19319.924999999999</v>
      </c>
      <c r="AS100" s="59">
        <v>0.83900000000000008</v>
      </c>
      <c r="AT100" s="55">
        <v>0.82299999999999995</v>
      </c>
      <c r="AU100" s="43"/>
      <c r="AV100" s="109">
        <v>1034.317</v>
      </c>
      <c r="AW100" s="110">
        <v>0.41999991878700271</v>
      </c>
      <c r="AX100" s="109">
        <v>928.14200000000005</v>
      </c>
      <c r="AY100" s="110">
        <v>0.57756191661481027</v>
      </c>
      <c r="AZ100" s="109">
        <v>1121.4780000000001</v>
      </c>
      <c r="BA100" s="110">
        <v>0.5784392407674851</v>
      </c>
      <c r="BB100" s="43"/>
      <c r="BC100" s="112">
        <v>52500.305999999997</v>
      </c>
      <c r="BD100" s="110">
        <v>0.75409836065573765</v>
      </c>
      <c r="BE100" s="43"/>
      <c r="BF100" s="157">
        <v>13015.205</v>
      </c>
      <c r="BG100" s="43">
        <v>0</v>
      </c>
      <c r="BH100" s="113">
        <v>0</v>
      </c>
      <c r="BI100" s="114">
        <v>0.39923941717791411</v>
      </c>
      <c r="BJ100" s="115">
        <v>0</v>
      </c>
      <c r="BK100" s="113">
        <v>0</v>
      </c>
      <c r="BL100" s="113">
        <v>0</v>
      </c>
      <c r="BM100" s="113">
        <v>0</v>
      </c>
      <c r="BN100" s="113">
        <v>5417.3440000000001</v>
      </c>
      <c r="BO100" s="114">
        <v>0.40193975367265172</v>
      </c>
      <c r="BP100" s="115">
        <v>0</v>
      </c>
      <c r="BQ100" s="43">
        <v>7668</v>
      </c>
      <c r="BR100" s="43">
        <v>0</v>
      </c>
      <c r="BS100" s="43"/>
      <c r="BT100" s="116">
        <v>-700</v>
      </c>
      <c r="BU100" s="43">
        <v>0</v>
      </c>
      <c r="BV100" s="43">
        <v>4485</v>
      </c>
      <c r="BW100" s="43">
        <v>4485</v>
      </c>
      <c r="BX100" s="43">
        <v>0</v>
      </c>
      <c r="BY100" s="43">
        <v>0</v>
      </c>
      <c r="BZ100" s="43">
        <v>-5000</v>
      </c>
      <c r="CA100" s="43">
        <v>0</v>
      </c>
      <c r="CB100" s="43">
        <v>-5300</v>
      </c>
      <c r="CC100" s="43">
        <v>0</v>
      </c>
      <c r="CD100" s="43">
        <v>-4000</v>
      </c>
      <c r="CE100" s="43">
        <v>0</v>
      </c>
      <c r="CF100" s="43">
        <v>-3448.7805395300002</v>
      </c>
      <c r="CG100" s="43">
        <v>0</v>
      </c>
      <c r="CH100" s="43">
        <v>11465.20904718</v>
      </c>
      <c r="CI100" s="43">
        <v>11465.20904718</v>
      </c>
      <c r="CJ100" s="114">
        <v>15950.20904718</v>
      </c>
      <c r="CK100" s="43"/>
      <c r="CL100" s="116">
        <v>-700</v>
      </c>
      <c r="CM100" s="43">
        <v>700</v>
      </c>
      <c r="CN100" s="43">
        <v>4485</v>
      </c>
      <c r="CO100" s="43">
        <v>0</v>
      </c>
      <c r="CP100" s="43">
        <v>0</v>
      </c>
      <c r="CQ100" s="43">
        <v>0</v>
      </c>
      <c r="CR100" s="43">
        <v>-5000</v>
      </c>
      <c r="CS100" s="43">
        <v>5000</v>
      </c>
      <c r="CT100" s="43">
        <v>-5300</v>
      </c>
      <c r="CU100" s="43">
        <v>5300</v>
      </c>
      <c r="CV100" s="43">
        <v>-4000</v>
      </c>
      <c r="CW100" s="43">
        <v>4000</v>
      </c>
      <c r="CX100" s="43">
        <v>-3448.7805395300002</v>
      </c>
      <c r="CY100" s="43">
        <v>3448.7805395300002</v>
      </c>
      <c r="CZ100" s="43">
        <v>11465.20904718</v>
      </c>
      <c r="DA100" s="43">
        <v>0</v>
      </c>
      <c r="DB100" s="114">
        <v>18448.780539530002</v>
      </c>
      <c r="DC100" s="43"/>
      <c r="DD100" s="117">
        <v>30511.718000000001</v>
      </c>
      <c r="DE100" s="55">
        <v>2014.348</v>
      </c>
      <c r="DF100" s="59">
        <v>917.35342027210004</v>
      </c>
      <c r="DG100" s="59">
        <v>33443.419420272097</v>
      </c>
      <c r="DH100" s="117">
        <v>7901.4470000000001</v>
      </c>
      <c r="DI100" s="117">
        <v>56641.411</v>
      </c>
      <c r="DJ100" s="55">
        <v>5994</v>
      </c>
      <c r="DK100" s="114">
        <v>62635.411</v>
      </c>
      <c r="DL100" s="43"/>
      <c r="DM100" s="117">
        <v>653.59699999999998</v>
      </c>
      <c r="DN100" s="55">
        <v>10493.065843074541</v>
      </c>
      <c r="DO100" s="55">
        <v>11146.66284307454</v>
      </c>
      <c r="DP100" s="59">
        <v>1260.738922991665</v>
      </c>
      <c r="DQ100" s="59">
        <v>2899.4091042639602</v>
      </c>
      <c r="DR100" s="59">
        <v>461.72651774000002</v>
      </c>
      <c r="DS100" s="55">
        <v>3361.1356220039602</v>
      </c>
      <c r="DT100" s="55">
        <v>161.07828357022001</v>
      </c>
      <c r="DU100" s="55">
        <v>161.07828357022001</v>
      </c>
      <c r="DW100" s="121">
        <v>0</v>
      </c>
      <c r="DX100" s="122">
        <v>6779.6610170000004</v>
      </c>
      <c r="DY100" s="128">
        <v>1447.7400829999999</v>
      </c>
      <c r="DZ100" s="128">
        <v>0</v>
      </c>
      <c r="EA100" s="121">
        <v>0</v>
      </c>
      <c r="EB100" s="122">
        <v>904.75671642999998</v>
      </c>
      <c r="EC100" s="121">
        <v>0</v>
      </c>
      <c r="ED100" s="122">
        <v>1271.1864410000001</v>
      </c>
      <c r="EE100" s="121">
        <v>0</v>
      </c>
      <c r="EF100" s="122">
        <v>847.5</v>
      </c>
      <c r="EG100" s="121">
        <v>0</v>
      </c>
      <c r="EH100" s="122">
        <v>7397.5988710000001</v>
      </c>
      <c r="EI100" s="121">
        <v>0</v>
      </c>
      <c r="EJ100" s="122">
        <v>6779.6610170000004</v>
      </c>
      <c r="EK100" s="129">
        <v>904.75671642999998</v>
      </c>
      <c r="EL100" s="130">
        <v>847.5</v>
      </c>
      <c r="EM100" s="131">
        <v>735.83500000000004</v>
      </c>
      <c r="EN100" s="129">
        <v>461.72651774000002</v>
      </c>
      <c r="EO100" s="129">
        <v>10964.025395000001</v>
      </c>
      <c r="EP100" s="129">
        <v>0</v>
      </c>
      <c r="ER100" s="157">
        <v>0</v>
      </c>
      <c r="ES100" s="37">
        <v>0</v>
      </c>
      <c r="ET100" s="55">
        <f t="shared" si="10"/>
        <v>0</v>
      </c>
      <c r="EU100" s="157">
        <v>0</v>
      </c>
      <c r="EV100" s="37">
        <v>0</v>
      </c>
      <c r="EW100" s="55">
        <f t="shared" si="17"/>
        <v>0</v>
      </c>
      <c r="EY100" s="166">
        <v>0</v>
      </c>
      <c r="EZ100" s="37">
        <v>0</v>
      </c>
      <c r="FA100" s="164">
        <f t="shared" si="11"/>
        <v>0</v>
      </c>
      <c r="FB100" s="5">
        <v>4613</v>
      </c>
      <c r="FC100" s="164">
        <f t="shared" si="12"/>
        <v>1</v>
      </c>
      <c r="FE100" s="5"/>
      <c r="FF100" s="166">
        <v>0</v>
      </c>
      <c r="FG100" s="37">
        <v>0</v>
      </c>
      <c r="FH100" s="164">
        <f t="shared" si="13"/>
        <v>0</v>
      </c>
      <c r="FI100" s="5">
        <v>0</v>
      </c>
      <c r="FJ100" s="164">
        <f t="shared" si="14"/>
        <v>0</v>
      </c>
      <c r="FL100" s="169">
        <v>7873</v>
      </c>
      <c r="FM100" s="170">
        <f t="shared" si="15"/>
        <v>0.68245451314546257</v>
      </c>
      <c r="FN100" s="169">
        <v>2591</v>
      </c>
      <c r="FO100" s="170">
        <f t="shared" si="16"/>
        <v>0.82634348588741824</v>
      </c>
    </row>
    <row r="101" spans="16:171" x14ac:dyDescent="0.35">
      <c r="P101" s="64">
        <v>99</v>
      </c>
      <c r="Q101" s="109">
        <v>0</v>
      </c>
      <c r="R101" s="110">
        <v>0</v>
      </c>
      <c r="S101" s="111">
        <v>0</v>
      </c>
      <c r="T101" s="110">
        <v>0</v>
      </c>
      <c r="U101" s="111">
        <v>0</v>
      </c>
      <c r="V101" s="110">
        <v>0</v>
      </c>
      <c r="W101" s="111">
        <v>0</v>
      </c>
      <c r="X101" s="110">
        <v>0</v>
      </c>
      <c r="Y101" s="111">
        <v>0</v>
      </c>
      <c r="Z101" s="110">
        <v>0</v>
      </c>
      <c r="AA101" s="111">
        <v>0</v>
      </c>
      <c r="AB101" s="110">
        <v>0</v>
      </c>
      <c r="AC101" s="111">
        <v>0</v>
      </c>
      <c r="AD101" s="110">
        <v>0</v>
      </c>
      <c r="AF101" s="64">
        <v>99</v>
      </c>
      <c r="AG101" s="109">
        <v>29814.933000000001</v>
      </c>
      <c r="AH101" s="111">
        <v>1966.5</v>
      </c>
      <c r="AI101" s="109">
        <v>427.5</v>
      </c>
      <c r="AJ101" s="59">
        <v>0.33500000000000002</v>
      </c>
      <c r="AK101" s="59">
        <v>0.85499999999999998</v>
      </c>
      <c r="AL101" s="59">
        <v>0.85499999999999998</v>
      </c>
      <c r="AM101" s="110">
        <v>385.66199999999998</v>
      </c>
      <c r="AN101" s="111">
        <v>2817.7512000000002</v>
      </c>
      <c r="AO101" s="59">
        <v>0.59699999999999998</v>
      </c>
      <c r="AP101" s="55">
        <v>0.24199999999999999</v>
      </c>
      <c r="AQ101" s="109">
        <v>37285.599999999999</v>
      </c>
      <c r="AR101" s="111">
        <v>19226.025000000001</v>
      </c>
      <c r="AS101" s="59">
        <v>0.83599999999999997</v>
      </c>
      <c r="AT101" s="55">
        <v>0.81900000000000006</v>
      </c>
      <c r="AU101" s="43"/>
      <c r="AV101" s="109">
        <v>1031.855</v>
      </c>
      <c r="AW101" s="110">
        <v>0.41900018678989387</v>
      </c>
      <c r="AX101" s="109">
        <v>933.52300000000002</v>
      </c>
      <c r="AY101" s="110">
        <v>0.58091039203484751</v>
      </c>
      <c r="AZ101" s="109">
        <v>1121.4780000000001</v>
      </c>
      <c r="BA101" s="110">
        <v>0.5784392407674851</v>
      </c>
      <c r="BB101" s="43"/>
      <c r="BC101" s="112">
        <v>52500.305999999997</v>
      </c>
      <c r="BD101" s="110">
        <v>0.75409836065573765</v>
      </c>
      <c r="BE101" s="43"/>
      <c r="BF101" s="157">
        <v>12718.566000000001</v>
      </c>
      <c r="BG101" s="43">
        <v>0</v>
      </c>
      <c r="BH101" s="113">
        <v>0</v>
      </c>
      <c r="BI101" s="114">
        <v>0.39014006134969326</v>
      </c>
      <c r="BJ101" s="115">
        <v>0</v>
      </c>
      <c r="BK101" s="113">
        <v>0</v>
      </c>
      <c r="BL101" s="113">
        <v>0</v>
      </c>
      <c r="BM101" s="113">
        <v>0</v>
      </c>
      <c r="BN101" s="113">
        <v>5449.8440000000001</v>
      </c>
      <c r="BO101" s="114">
        <v>0.40435109066627095</v>
      </c>
      <c r="BP101" s="115">
        <v>0</v>
      </c>
      <c r="BQ101" s="43">
        <v>7668</v>
      </c>
      <c r="BR101" s="43">
        <v>0</v>
      </c>
      <c r="BS101" s="43"/>
      <c r="BT101" s="116">
        <v>-700</v>
      </c>
      <c r="BU101" s="43">
        <v>0</v>
      </c>
      <c r="BV101" s="43">
        <v>4485</v>
      </c>
      <c r="BW101" s="43">
        <v>4485</v>
      </c>
      <c r="BX101" s="43">
        <v>0</v>
      </c>
      <c r="BY101" s="43">
        <v>0</v>
      </c>
      <c r="BZ101" s="43">
        <v>-5000</v>
      </c>
      <c r="CA101" s="43">
        <v>0</v>
      </c>
      <c r="CB101" s="43">
        <v>-5300</v>
      </c>
      <c r="CC101" s="43">
        <v>0</v>
      </c>
      <c r="CD101" s="43">
        <v>-4000</v>
      </c>
      <c r="CE101" s="43">
        <v>0</v>
      </c>
      <c r="CF101" s="43">
        <v>-4509.3966475300003</v>
      </c>
      <c r="CG101" s="43">
        <v>0</v>
      </c>
      <c r="CH101" s="43">
        <v>10868.071331409999</v>
      </c>
      <c r="CI101" s="43">
        <v>10868.071331409999</v>
      </c>
      <c r="CJ101" s="114">
        <v>15353.071331409999</v>
      </c>
      <c r="CK101" s="43"/>
      <c r="CL101" s="116">
        <v>-700</v>
      </c>
      <c r="CM101" s="43">
        <v>700</v>
      </c>
      <c r="CN101" s="43">
        <v>4485</v>
      </c>
      <c r="CO101" s="43">
        <v>0</v>
      </c>
      <c r="CP101" s="43">
        <v>0</v>
      </c>
      <c r="CQ101" s="43">
        <v>0</v>
      </c>
      <c r="CR101" s="43">
        <v>-5000</v>
      </c>
      <c r="CS101" s="43">
        <v>5000</v>
      </c>
      <c r="CT101" s="43">
        <v>-5300</v>
      </c>
      <c r="CU101" s="43">
        <v>5300</v>
      </c>
      <c r="CV101" s="43">
        <v>-4000</v>
      </c>
      <c r="CW101" s="43">
        <v>4000</v>
      </c>
      <c r="CX101" s="43">
        <v>-4509.3966475300003</v>
      </c>
      <c r="CY101" s="43">
        <v>4509.3966475300003</v>
      </c>
      <c r="CZ101" s="43">
        <v>10868.071331409999</v>
      </c>
      <c r="DA101" s="43">
        <v>0</v>
      </c>
      <c r="DB101" s="114">
        <v>19509.39664753</v>
      </c>
      <c r="DC101" s="43"/>
      <c r="DD101" s="117">
        <v>29434.078000000001</v>
      </c>
      <c r="DE101" s="55">
        <v>1970.048</v>
      </c>
      <c r="DF101" s="59">
        <v>1514.2443747581999</v>
      </c>
      <c r="DG101" s="59">
        <v>32918.370374758197</v>
      </c>
      <c r="DH101" s="117">
        <v>7535.9009999999998</v>
      </c>
      <c r="DI101" s="117">
        <v>53930.411</v>
      </c>
      <c r="DJ101" s="55">
        <v>6142</v>
      </c>
      <c r="DK101" s="114">
        <v>60072.411</v>
      </c>
      <c r="DL101" s="43"/>
      <c r="DM101" s="117">
        <v>717.62599999999998</v>
      </c>
      <c r="DN101" s="55">
        <v>10493.065843074541</v>
      </c>
      <c r="DO101" s="55">
        <v>11210.691843074541</v>
      </c>
      <c r="DP101" s="59">
        <v>1260.738922991665</v>
      </c>
      <c r="DQ101" s="59">
        <v>2899.4091042639602</v>
      </c>
      <c r="DR101" s="59">
        <v>461.72651774000002</v>
      </c>
      <c r="DS101" s="55">
        <v>3361.1356220039602</v>
      </c>
      <c r="DT101" s="55">
        <v>161.07828357022001</v>
      </c>
      <c r="DU101" s="55">
        <v>161.07828357022001</v>
      </c>
      <c r="DW101" s="121">
        <v>0</v>
      </c>
      <c r="DX101" s="122">
        <v>6779.6610170000004</v>
      </c>
      <c r="DY101" s="128">
        <v>1447.7400829999999</v>
      </c>
      <c r="DZ101" s="128">
        <v>0</v>
      </c>
      <c r="EA101" s="121">
        <v>0</v>
      </c>
      <c r="EB101" s="122">
        <v>672.09336856000004</v>
      </c>
      <c r="EC101" s="121">
        <v>0</v>
      </c>
      <c r="ED101" s="122">
        <v>1271.1864410000001</v>
      </c>
      <c r="EE101" s="121">
        <v>0</v>
      </c>
      <c r="EF101" s="122">
        <v>847.5</v>
      </c>
      <c r="EG101" s="121">
        <v>0</v>
      </c>
      <c r="EH101" s="122">
        <v>7397.5988710000001</v>
      </c>
      <c r="EI101" s="121">
        <v>0</v>
      </c>
      <c r="EJ101" s="122">
        <v>6779.6610170000004</v>
      </c>
      <c r="EK101" s="129">
        <v>672.09336856000004</v>
      </c>
      <c r="EL101" s="130">
        <v>847.5</v>
      </c>
      <c r="EM101" s="131">
        <v>735.83500000000004</v>
      </c>
      <c r="EN101" s="129">
        <v>461.72651774000002</v>
      </c>
      <c r="EO101" s="129">
        <v>10964.025395000001</v>
      </c>
      <c r="EP101" s="129">
        <v>0</v>
      </c>
      <c r="ER101" s="157">
        <v>0</v>
      </c>
      <c r="ES101" s="37">
        <v>0</v>
      </c>
      <c r="ET101" s="55">
        <f t="shared" si="10"/>
        <v>0</v>
      </c>
      <c r="EU101" s="157">
        <v>0</v>
      </c>
      <c r="EV101" s="37">
        <v>0</v>
      </c>
      <c r="EW101" s="55">
        <f t="shared" si="17"/>
        <v>0</v>
      </c>
      <c r="EY101" s="166">
        <v>0</v>
      </c>
      <c r="EZ101" s="37">
        <v>0</v>
      </c>
      <c r="FA101" s="164">
        <f t="shared" si="11"/>
        <v>0</v>
      </c>
      <c r="FB101" s="5">
        <v>4613</v>
      </c>
      <c r="FC101" s="164">
        <f t="shared" si="12"/>
        <v>1</v>
      </c>
      <c r="FE101" s="5"/>
      <c r="FF101" s="166">
        <v>0</v>
      </c>
      <c r="FG101" s="37">
        <v>0</v>
      </c>
      <c r="FH101" s="164">
        <f t="shared" si="13"/>
        <v>0</v>
      </c>
      <c r="FI101" s="5">
        <v>0</v>
      </c>
      <c r="FJ101" s="164">
        <f t="shared" si="14"/>
        <v>0</v>
      </c>
      <c r="FL101" s="169">
        <v>7873</v>
      </c>
      <c r="FM101" s="170">
        <f t="shared" si="15"/>
        <v>0.68245451314546257</v>
      </c>
      <c r="FN101" s="169">
        <v>2591</v>
      </c>
      <c r="FO101" s="170">
        <f t="shared" si="16"/>
        <v>0.82634348588741824</v>
      </c>
    </row>
    <row r="102" spans="16:171" x14ac:dyDescent="0.35">
      <c r="P102" s="64">
        <v>100</v>
      </c>
      <c r="Q102" s="109">
        <v>0</v>
      </c>
      <c r="R102" s="110">
        <v>0</v>
      </c>
      <c r="S102" s="111">
        <v>0</v>
      </c>
      <c r="T102" s="110">
        <v>0</v>
      </c>
      <c r="U102" s="111">
        <v>0</v>
      </c>
      <c r="V102" s="110">
        <v>0</v>
      </c>
      <c r="W102" s="111">
        <v>0</v>
      </c>
      <c r="X102" s="110">
        <v>0</v>
      </c>
      <c r="Y102" s="111">
        <v>0</v>
      </c>
      <c r="Z102" s="110">
        <v>0</v>
      </c>
      <c r="AA102" s="111">
        <v>0</v>
      </c>
      <c r="AB102" s="110">
        <v>0</v>
      </c>
      <c r="AC102" s="111">
        <v>0</v>
      </c>
      <c r="AD102" s="110">
        <v>0</v>
      </c>
      <c r="AF102" s="64">
        <v>100</v>
      </c>
      <c r="AG102" s="109">
        <v>31772.928599999999</v>
      </c>
      <c r="AH102" s="111">
        <v>1961.9</v>
      </c>
      <c r="AI102" s="109">
        <v>426.5</v>
      </c>
      <c r="AJ102" s="59">
        <v>0.35699999999999998</v>
      </c>
      <c r="AK102" s="59">
        <v>0.85300000000000009</v>
      </c>
      <c r="AL102" s="59">
        <v>0.85299999999999998</v>
      </c>
      <c r="AM102" s="110">
        <v>376.61799999999999</v>
      </c>
      <c r="AN102" s="111">
        <v>3050.6232</v>
      </c>
      <c r="AO102" s="59">
        <v>0.58299999999999996</v>
      </c>
      <c r="AP102" s="55">
        <v>0.26200000000000001</v>
      </c>
      <c r="AQ102" s="109">
        <v>37196.400000000001</v>
      </c>
      <c r="AR102" s="111">
        <v>19319.924999999999</v>
      </c>
      <c r="AS102" s="59">
        <v>0.83400000000000007</v>
      </c>
      <c r="AT102" s="55">
        <v>0.82299999999999995</v>
      </c>
      <c r="AU102" s="43"/>
      <c r="AV102" s="109">
        <v>1002.303</v>
      </c>
      <c r="AW102" s="110">
        <v>0.40700015430469494</v>
      </c>
      <c r="AX102" s="109">
        <v>941.20399999999995</v>
      </c>
      <c r="AY102" s="110">
        <v>0.58569010578718106</v>
      </c>
      <c r="AZ102" s="109">
        <v>1121.4780000000001</v>
      </c>
      <c r="BA102" s="110">
        <v>0.5784392407674851</v>
      </c>
      <c r="BB102" s="43"/>
      <c r="BC102" s="112">
        <v>52500.305999999997</v>
      </c>
      <c r="BD102" s="110">
        <v>0.75409836065573765</v>
      </c>
      <c r="BE102" s="43"/>
      <c r="BF102" s="157">
        <v>13580.661</v>
      </c>
      <c r="BG102" s="43">
        <v>0</v>
      </c>
      <c r="BH102" s="113">
        <v>0</v>
      </c>
      <c r="BI102" s="114">
        <v>0.41658469325153374</v>
      </c>
      <c r="BJ102" s="115">
        <v>0</v>
      </c>
      <c r="BK102" s="113">
        <v>0</v>
      </c>
      <c r="BL102" s="113">
        <v>0</v>
      </c>
      <c r="BM102" s="113">
        <v>0</v>
      </c>
      <c r="BN102" s="113">
        <v>5309.4139999999998</v>
      </c>
      <c r="BO102" s="114">
        <v>0.39393188900430332</v>
      </c>
      <c r="BP102" s="115">
        <v>0</v>
      </c>
      <c r="BQ102" s="43">
        <v>7668</v>
      </c>
      <c r="BR102" s="43">
        <v>0</v>
      </c>
      <c r="BS102" s="43"/>
      <c r="BT102" s="116">
        <v>-700</v>
      </c>
      <c r="BU102" s="43">
        <v>0</v>
      </c>
      <c r="BV102" s="43">
        <v>4485</v>
      </c>
      <c r="BW102" s="43">
        <v>4485</v>
      </c>
      <c r="BX102" s="43">
        <v>0</v>
      </c>
      <c r="BY102" s="43">
        <v>0</v>
      </c>
      <c r="BZ102" s="43">
        <v>-5000</v>
      </c>
      <c r="CA102" s="43">
        <v>0</v>
      </c>
      <c r="CB102" s="43">
        <v>-2536.22199077</v>
      </c>
      <c r="CC102" s="43">
        <v>0</v>
      </c>
      <c r="CD102" s="43">
        <v>-4000</v>
      </c>
      <c r="CE102" s="43">
        <v>0</v>
      </c>
      <c r="CF102" s="43">
        <v>-3725.0539058200002</v>
      </c>
      <c r="CG102" s="43">
        <v>0</v>
      </c>
      <c r="CH102" s="43">
        <v>10489.281993050001</v>
      </c>
      <c r="CI102" s="43">
        <v>10489.281993050001</v>
      </c>
      <c r="CJ102" s="114">
        <v>14974.281993050001</v>
      </c>
      <c r="CK102" s="43"/>
      <c r="CL102" s="116">
        <v>-700</v>
      </c>
      <c r="CM102" s="43">
        <v>700</v>
      </c>
      <c r="CN102" s="43">
        <v>4485</v>
      </c>
      <c r="CO102" s="43">
        <v>0</v>
      </c>
      <c r="CP102" s="43">
        <v>0</v>
      </c>
      <c r="CQ102" s="43">
        <v>0</v>
      </c>
      <c r="CR102" s="43">
        <v>-5000</v>
      </c>
      <c r="CS102" s="43">
        <v>5000</v>
      </c>
      <c r="CT102" s="43">
        <v>-2536.22199077</v>
      </c>
      <c r="CU102" s="43">
        <v>2536.22199077</v>
      </c>
      <c r="CV102" s="43">
        <v>-4000</v>
      </c>
      <c r="CW102" s="43">
        <v>4000</v>
      </c>
      <c r="CX102" s="43">
        <v>-3725.0539058200002</v>
      </c>
      <c r="CY102" s="43">
        <v>3725.0539058200002</v>
      </c>
      <c r="CZ102" s="43">
        <v>10489.281993050001</v>
      </c>
      <c r="DA102" s="43">
        <v>0</v>
      </c>
      <c r="DB102" s="114">
        <v>15961.275896589999</v>
      </c>
      <c r="DC102" s="43"/>
      <c r="DD102" s="117">
        <v>29061.137999999999</v>
      </c>
      <c r="DE102" s="55">
        <v>1948.9480000000001</v>
      </c>
      <c r="DF102" s="59">
        <v>2406.3645890030002</v>
      </c>
      <c r="DG102" s="59">
        <v>33416.450589002998</v>
      </c>
      <c r="DH102" s="117">
        <v>7375.9170000000004</v>
      </c>
      <c r="DI102" s="117">
        <v>52501.411</v>
      </c>
      <c r="DJ102" s="55">
        <v>6104</v>
      </c>
      <c r="DK102" s="114">
        <v>58605.411</v>
      </c>
      <c r="DL102" s="43"/>
      <c r="DM102" s="117">
        <v>807.97</v>
      </c>
      <c r="DN102" s="55">
        <v>10493.065843074541</v>
      </c>
      <c r="DO102" s="55">
        <v>11301.03584307454</v>
      </c>
      <c r="DP102" s="59">
        <v>1260.738922991665</v>
      </c>
      <c r="DQ102" s="59">
        <v>2899.4091042639602</v>
      </c>
      <c r="DR102" s="59">
        <v>461.72651774000002</v>
      </c>
      <c r="DS102" s="55">
        <v>3361.1356220039602</v>
      </c>
      <c r="DT102" s="55">
        <v>161.07828357022001</v>
      </c>
      <c r="DU102" s="55">
        <v>161.07828357022001</v>
      </c>
      <c r="DW102" s="121">
        <v>0</v>
      </c>
      <c r="DX102" s="122">
        <v>6779.6610170000004</v>
      </c>
      <c r="DY102" s="128">
        <v>1447.7400829999999</v>
      </c>
      <c r="DZ102" s="128">
        <v>0</v>
      </c>
      <c r="EA102" s="121">
        <v>0</v>
      </c>
      <c r="EB102" s="122">
        <v>574.75671642999998</v>
      </c>
      <c r="EC102" s="121">
        <v>0</v>
      </c>
      <c r="ED102" s="122">
        <v>1271.1864410000001</v>
      </c>
      <c r="EE102" s="121">
        <v>0</v>
      </c>
      <c r="EF102" s="122">
        <v>847.5</v>
      </c>
      <c r="EG102" s="121">
        <v>0</v>
      </c>
      <c r="EH102" s="122">
        <v>7397.5988710000001</v>
      </c>
      <c r="EI102" s="121">
        <v>0</v>
      </c>
      <c r="EJ102" s="122">
        <v>6779.6610170000004</v>
      </c>
      <c r="EK102" s="129">
        <v>574.75671642999998</v>
      </c>
      <c r="EL102" s="130">
        <v>847.5</v>
      </c>
      <c r="EM102" s="131">
        <v>735.83500000000004</v>
      </c>
      <c r="EN102" s="129">
        <v>461.72651774000002</v>
      </c>
      <c r="EO102" s="129">
        <v>10964.025395000001</v>
      </c>
      <c r="EP102" s="129">
        <v>0</v>
      </c>
      <c r="ER102" s="157">
        <v>0</v>
      </c>
      <c r="ES102" s="37">
        <v>0</v>
      </c>
      <c r="ET102" s="55">
        <f t="shared" si="10"/>
        <v>0</v>
      </c>
      <c r="EU102" s="157">
        <v>0</v>
      </c>
      <c r="EV102" s="37">
        <v>0</v>
      </c>
      <c r="EW102" s="55">
        <f t="shared" si="17"/>
        <v>0</v>
      </c>
      <c r="EY102" s="166">
        <v>0</v>
      </c>
      <c r="EZ102" s="37">
        <v>0</v>
      </c>
      <c r="FA102" s="164">
        <f t="shared" si="11"/>
        <v>0</v>
      </c>
      <c r="FB102" s="5">
        <v>4613</v>
      </c>
      <c r="FC102" s="164">
        <f t="shared" si="12"/>
        <v>1</v>
      </c>
      <c r="FE102" s="5"/>
      <c r="FF102" s="166">
        <v>0</v>
      </c>
      <c r="FG102" s="37">
        <v>0</v>
      </c>
      <c r="FH102" s="164">
        <f t="shared" si="13"/>
        <v>0</v>
      </c>
      <c r="FI102" s="5">
        <v>0</v>
      </c>
      <c r="FJ102" s="164">
        <f t="shared" si="14"/>
        <v>0</v>
      </c>
      <c r="FL102" s="169">
        <v>7873</v>
      </c>
      <c r="FM102" s="170">
        <f t="shared" si="15"/>
        <v>0.68245451314546257</v>
      </c>
      <c r="FN102" s="169">
        <v>2591</v>
      </c>
      <c r="FO102" s="170">
        <f t="shared" si="16"/>
        <v>0.82634348588741824</v>
      </c>
    </row>
    <row r="103" spans="16:171" x14ac:dyDescent="0.35">
      <c r="P103" s="64">
        <v>101</v>
      </c>
      <c r="Q103" s="109">
        <v>0</v>
      </c>
      <c r="R103" s="110">
        <v>0</v>
      </c>
      <c r="S103" s="111">
        <v>0</v>
      </c>
      <c r="T103" s="110">
        <v>0</v>
      </c>
      <c r="U103" s="111">
        <v>0</v>
      </c>
      <c r="V103" s="110">
        <v>0</v>
      </c>
      <c r="W103" s="111">
        <v>0</v>
      </c>
      <c r="X103" s="110">
        <v>0</v>
      </c>
      <c r="Y103" s="111">
        <v>0</v>
      </c>
      <c r="Z103" s="110">
        <v>0</v>
      </c>
      <c r="AA103" s="111">
        <v>0</v>
      </c>
      <c r="AB103" s="110">
        <v>0</v>
      </c>
      <c r="AC103" s="111">
        <v>0</v>
      </c>
      <c r="AD103" s="110">
        <v>0</v>
      </c>
      <c r="AF103" s="64">
        <v>101</v>
      </c>
      <c r="AG103" s="109">
        <v>36934.917000000001</v>
      </c>
      <c r="AH103" s="111">
        <v>1980.3</v>
      </c>
      <c r="AI103" s="109">
        <v>430.5</v>
      </c>
      <c r="AJ103" s="59">
        <v>0.41499999999999998</v>
      </c>
      <c r="AK103" s="59">
        <v>0.86099999999999999</v>
      </c>
      <c r="AL103" s="59">
        <v>0.86099999999999999</v>
      </c>
      <c r="AM103" s="110">
        <v>363.69799999999998</v>
      </c>
      <c r="AN103" s="111">
        <v>3295.1388000000002</v>
      </c>
      <c r="AO103" s="59">
        <v>0.56299999999999994</v>
      </c>
      <c r="AP103" s="55">
        <v>0.28300000000000003</v>
      </c>
      <c r="AQ103" s="109">
        <v>37464</v>
      </c>
      <c r="AR103" s="111">
        <v>19719</v>
      </c>
      <c r="AS103" s="59">
        <v>0.84</v>
      </c>
      <c r="AT103" s="55">
        <v>0.84</v>
      </c>
      <c r="AU103" s="43"/>
      <c r="AV103" s="109">
        <v>987.52700000000004</v>
      </c>
      <c r="AW103" s="110">
        <v>0.4010001380620955</v>
      </c>
      <c r="AX103" s="109">
        <v>945.78499999999997</v>
      </c>
      <c r="AY103" s="110">
        <v>0.58854075917859361</v>
      </c>
      <c r="AZ103" s="109">
        <v>1121.4780000000001</v>
      </c>
      <c r="BA103" s="110">
        <v>0.5784392407674851</v>
      </c>
      <c r="BB103" s="43"/>
      <c r="BC103" s="112">
        <v>52500.305999999997</v>
      </c>
      <c r="BD103" s="110">
        <v>0.75409836065573765</v>
      </c>
      <c r="BE103" s="43"/>
      <c r="BF103" s="157">
        <v>15764.441000000001</v>
      </c>
      <c r="BG103" s="43">
        <v>0</v>
      </c>
      <c r="BH103" s="113">
        <v>0</v>
      </c>
      <c r="BI103" s="114">
        <v>0.48357180981595094</v>
      </c>
      <c r="BJ103" s="115">
        <v>0</v>
      </c>
      <c r="BK103" s="113">
        <v>0</v>
      </c>
      <c r="BL103" s="113">
        <v>0</v>
      </c>
      <c r="BM103" s="113">
        <v>0</v>
      </c>
      <c r="BN103" s="113">
        <v>5112.8429999999998</v>
      </c>
      <c r="BO103" s="114">
        <v>0.37934730672206557</v>
      </c>
      <c r="BP103" s="115">
        <v>0</v>
      </c>
      <c r="BQ103" s="43">
        <v>7668</v>
      </c>
      <c r="BR103" s="43">
        <v>0</v>
      </c>
      <c r="BS103" s="43"/>
      <c r="BT103" s="116">
        <v>-700</v>
      </c>
      <c r="BU103" s="43">
        <v>0</v>
      </c>
      <c r="BV103" s="43">
        <v>4485</v>
      </c>
      <c r="BW103" s="43">
        <v>4485</v>
      </c>
      <c r="BX103" s="43">
        <v>0</v>
      </c>
      <c r="BY103" s="43">
        <v>0</v>
      </c>
      <c r="BZ103" s="43">
        <v>-5000</v>
      </c>
      <c r="CA103" s="43">
        <v>0</v>
      </c>
      <c r="CB103" s="43">
        <v>-4643.0898058299999</v>
      </c>
      <c r="CC103" s="43">
        <v>0</v>
      </c>
      <c r="CD103" s="43">
        <v>-4000</v>
      </c>
      <c r="CE103" s="43">
        <v>0</v>
      </c>
      <c r="CF103" s="43">
        <v>0</v>
      </c>
      <c r="CG103" s="43">
        <v>0</v>
      </c>
      <c r="CH103" s="43">
        <v>12643.174998689999</v>
      </c>
      <c r="CI103" s="43">
        <v>12643.174998689999</v>
      </c>
      <c r="CJ103" s="114">
        <v>17128.174998689999</v>
      </c>
      <c r="CK103" s="43"/>
      <c r="CL103" s="116">
        <v>-700</v>
      </c>
      <c r="CM103" s="43">
        <v>700</v>
      </c>
      <c r="CN103" s="43">
        <v>4485</v>
      </c>
      <c r="CO103" s="43">
        <v>0</v>
      </c>
      <c r="CP103" s="43">
        <v>0</v>
      </c>
      <c r="CQ103" s="43">
        <v>0</v>
      </c>
      <c r="CR103" s="43">
        <v>-5000</v>
      </c>
      <c r="CS103" s="43">
        <v>5000</v>
      </c>
      <c r="CT103" s="43">
        <v>-4643.0898058299999</v>
      </c>
      <c r="CU103" s="43">
        <v>4643.0898058299999</v>
      </c>
      <c r="CV103" s="43">
        <v>-4000</v>
      </c>
      <c r="CW103" s="43">
        <v>4000</v>
      </c>
      <c r="CX103" s="43">
        <v>0</v>
      </c>
      <c r="CY103" s="43">
        <v>0</v>
      </c>
      <c r="CZ103" s="43">
        <v>12643.174998689999</v>
      </c>
      <c r="DA103" s="43">
        <v>0</v>
      </c>
      <c r="DB103" s="114">
        <v>14343.089805830001</v>
      </c>
      <c r="DC103" s="43"/>
      <c r="DD103" s="117">
        <v>29841.723999999998</v>
      </c>
      <c r="DE103" s="55">
        <v>1938.106</v>
      </c>
      <c r="DF103" s="59">
        <v>2704.4817649629999</v>
      </c>
      <c r="DG103" s="59">
        <v>34484.311764963</v>
      </c>
      <c r="DH103" s="117">
        <v>7356.6719999999996</v>
      </c>
      <c r="DI103" s="117">
        <v>52869.411</v>
      </c>
      <c r="DJ103" s="55">
        <v>6330</v>
      </c>
      <c r="DK103" s="114">
        <v>59199.411</v>
      </c>
      <c r="DL103" s="43"/>
      <c r="DM103" s="117">
        <v>937.54100000000005</v>
      </c>
      <c r="DN103" s="55">
        <v>10508.77584392489</v>
      </c>
      <c r="DO103" s="55">
        <v>11446.316843924889</v>
      </c>
      <c r="DP103" s="59">
        <v>1260.738922991665</v>
      </c>
      <c r="DQ103" s="59">
        <v>2907.686978689203</v>
      </c>
      <c r="DR103" s="59">
        <v>453.44864331000002</v>
      </c>
      <c r="DS103" s="55">
        <v>3361.1356219992031</v>
      </c>
      <c r="DT103" s="55">
        <v>161.53816548273349</v>
      </c>
      <c r="DU103" s="55">
        <v>161.53816548273349</v>
      </c>
      <c r="DW103" s="121">
        <v>0</v>
      </c>
      <c r="DX103" s="122">
        <v>6779.6610170000004</v>
      </c>
      <c r="DY103" s="128">
        <v>1447.7400829999999</v>
      </c>
      <c r="DZ103" s="128">
        <v>0</v>
      </c>
      <c r="EA103" s="121">
        <v>0</v>
      </c>
      <c r="EB103" s="122">
        <v>904.29683451999995</v>
      </c>
      <c r="EC103" s="121">
        <v>0</v>
      </c>
      <c r="ED103" s="122">
        <v>1271.1864410000001</v>
      </c>
      <c r="EE103" s="121">
        <v>0</v>
      </c>
      <c r="EF103" s="122">
        <v>847.5</v>
      </c>
      <c r="EG103" s="121">
        <v>0</v>
      </c>
      <c r="EH103" s="122">
        <v>7397.5988710000001</v>
      </c>
      <c r="EI103" s="121">
        <v>0</v>
      </c>
      <c r="EJ103" s="122">
        <v>6779.6610170000004</v>
      </c>
      <c r="EK103" s="129">
        <v>904.29683451999995</v>
      </c>
      <c r="EL103" s="130">
        <v>847.5</v>
      </c>
      <c r="EM103" s="131">
        <v>735.83500000000004</v>
      </c>
      <c r="EN103" s="129">
        <v>453.44864331000002</v>
      </c>
      <c r="EO103" s="129">
        <v>10964.025395000001</v>
      </c>
      <c r="EP103" s="129">
        <v>0</v>
      </c>
      <c r="ER103" s="157">
        <v>0</v>
      </c>
      <c r="ES103" s="37">
        <v>0</v>
      </c>
      <c r="ET103" s="55">
        <f t="shared" si="10"/>
        <v>0</v>
      </c>
      <c r="EU103" s="157">
        <v>0</v>
      </c>
      <c r="EV103" s="37">
        <v>0</v>
      </c>
      <c r="EW103" s="55">
        <f t="shared" si="17"/>
        <v>0</v>
      </c>
      <c r="EY103" s="166">
        <v>0</v>
      </c>
      <c r="EZ103" s="37">
        <v>0</v>
      </c>
      <c r="FA103" s="164">
        <f t="shared" si="11"/>
        <v>0</v>
      </c>
      <c r="FB103" s="5">
        <v>4613</v>
      </c>
      <c r="FC103" s="164">
        <f t="shared" si="12"/>
        <v>1</v>
      </c>
      <c r="FE103" s="5"/>
      <c r="FF103" s="166">
        <v>0</v>
      </c>
      <c r="FG103" s="37">
        <v>0</v>
      </c>
      <c r="FH103" s="164">
        <f t="shared" si="13"/>
        <v>0</v>
      </c>
      <c r="FI103" s="5">
        <v>0</v>
      </c>
      <c r="FJ103" s="164">
        <f t="shared" si="14"/>
        <v>0</v>
      </c>
      <c r="FL103" s="169">
        <v>7873</v>
      </c>
      <c r="FM103" s="170">
        <f t="shared" si="15"/>
        <v>0.68245451314546257</v>
      </c>
      <c r="FN103" s="169">
        <v>2591</v>
      </c>
      <c r="FO103" s="170">
        <f t="shared" si="16"/>
        <v>0.82634348588741824</v>
      </c>
    </row>
    <row r="104" spans="16:171" x14ac:dyDescent="0.35">
      <c r="P104" s="64">
        <v>102</v>
      </c>
      <c r="Q104" s="109">
        <v>0</v>
      </c>
      <c r="R104" s="110">
        <v>0</v>
      </c>
      <c r="S104" s="111">
        <v>0</v>
      </c>
      <c r="T104" s="110">
        <v>0</v>
      </c>
      <c r="U104" s="111">
        <v>0</v>
      </c>
      <c r="V104" s="110">
        <v>0</v>
      </c>
      <c r="W104" s="111">
        <v>0</v>
      </c>
      <c r="X104" s="110">
        <v>0</v>
      </c>
      <c r="Y104" s="111">
        <v>0</v>
      </c>
      <c r="Z104" s="110">
        <v>0</v>
      </c>
      <c r="AA104" s="111">
        <v>0</v>
      </c>
      <c r="AB104" s="110">
        <v>0</v>
      </c>
      <c r="AC104" s="111">
        <v>0</v>
      </c>
      <c r="AD104" s="110">
        <v>0</v>
      </c>
      <c r="AF104" s="64">
        <v>102</v>
      </c>
      <c r="AG104" s="109">
        <v>41918.9058</v>
      </c>
      <c r="AH104" s="111">
        <v>2003.3</v>
      </c>
      <c r="AI104" s="109">
        <v>435.5</v>
      </c>
      <c r="AJ104" s="59">
        <v>0.47099999999999997</v>
      </c>
      <c r="AK104" s="59">
        <v>0.871</v>
      </c>
      <c r="AL104" s="59">
        <v>0.871</v>
      </c>
      <c r="AM104" s="110">
        <v>359.822</v>
      </c>
      <c r="AN104" s="111">
        <v>3493.08</v>
      </c>
      <c r="AO104" s="59">
        <v>0.55700000000000005</v>
      </c>
      <c r="AP104" s="55">
        <v>0.3</v>
      </c>
      <c r="AQ104" s="109">
        <v>37820.800000000003</v>
      </c>
      <c r="AR104" s="111">
        <v>20986.65</v>
      </c>
      <c r="AS104" s="59">
        <v>0.84800000000000009</v>
      </c>
      <c r="AT104" s="55">
        <v>0.89400000000000002</v>
      </c>
      <c r="AU104" s="43"/>
      <c r="AV104" s="109">
        <v>980.13900000000001</v>
      </c>
      <c r="AW104" s="110">
        <v>0.39800012994079575</v>
      </c>
      <c r="AX104" s="109">
        <v>932.50099999999998</v>
      </c>
      <c r="AY104" s="110">
        <v>0.58027442439327936</v>
      </c>
      <c r="AZ104" s="109">
        <v>1121.4780000000001</v>
      </c>
      <c r="BA104" s="110">
        <v>0.5784392407674851</v>
      </c>
      <c r="BB104" s="43"/>
      <c r="BC104" s="112">
        <v>52500.305999999997</v>
      </c>
      <c r="BD104" s="110">
        <v>0.75409836065573765</v>
      </c>
      <c r="BE104" s="43"/>
      <c r="BF104" s="157">
        <v>17888.834999999999</v>
      </c>
      <c r="BG104" s="43">
        <v>0</v>
      </c>
      <c r="BH104" s="113">
        <v>0</v>
      </c>
      <c r="BI104" s="114">
        <v>0.54873726993865024</v>
      </c>
      <c r="BJ104" s="115">
        <v>0</v>
      </c>
      <c r="BK104" s="113">
        <v>0</v>
      </c>
      <c r="BL104" s="113">
        <v>0</v>
      </c>
      <c r="BM104" s="113">
        <v>0</v>
      </c>
      <c r="BN104" s="113">
        <v>5048.232</v>
      </c>
      <c r="BO104" s="114">
        <v>0.37455349458376613</v>
      </c>
      <c r="BP104" s="115">
        <v>0</v>
      </c>
      <c r="BQ104" s="43">
        <v>7668</v>
      </c>
      <c r="BR104" s="43">
        <v>0</v>
      </c>
      <c r="BS104" s="43"/>
      <c r="BT104" s="116">
        <v>-700</v>
      </c>
      <c r="BU104" s="43">
        <v>0</v>
      </c>
      <c r="BV104" s="43">
        <v>4485</v>
      </c>
      <c r="BW104" s="43">
        <v>4485</v>
      </c>
      <c r="BX104" s="43">
        <v>0</v>
      </c>
      <c r="BY104" s="43">
        <v>0</v>
      </c>
      <c r="BZ104" s="43">
        <v>-4647.6256000000003</v>
      </c>
      <c r="CA104" s="43">
        <v>0</v>
      </c>
      <c r="CB104" s="43">
        <v>-5300</v>
      </c>
      <c r="CC104" s="43">
        <v>0</v>
      </c>
      <c r="CD104" s="43">
        <v>-4000</v>
      </c>
      <c r="CE104" s="43">
        <v>0</v>
      </c>
      <c r="CF104" s="43">
        <v>-2801.43832492</v>
      </c>
      <c r="CG104" s="43">
        <v>0</v>
      </c>
      <c r="CH104" s="43">
        <v>12923.77698248</v>
      </c>
      <c r="CI104" s="43">
        <v>12923.77698248</v>
      </c>
      <c r="CJ104" s="114">
        <v>17408.776982479998</v>
      </c>
      <c r="CK104" s="43"/>
      <c r="CL104" s="116">
        <v>-700</v>
      </c>
      <c r="CM104" s="43">
        <v>700</v>
      </c>
      <c r="CN104" s="43">
        <v>4485</v>
      </c>
      <c r="CO104" s="43">
        <v>0</v>
      </c>
      <c r="CP104" s="43">
        <v>0</v>
      </c>
      <c r="CQ104" s="43">
        <v>0</v>
      </c>
      <c r="CR104" s="43">
        <v>-4647.6256000000003</v>
      </c>
      <c r="CS104" s="43">
        <v>4647.6256000000003</v>
      </c>
      <c r="CT104" s="43">
        <v>-5300</v>
      </c>
      <c r="CU104" s="43">
        <v>5300</v>
      </c>
      <c r="CV104" s="43">
        <v>-4000</v>
      </c>
      <c r="CW104" s="43">
        <v>4000</v>
      </c>
      <c r="CX104" s="43">
        <v>-2801.43832492</v>
      </c>
      <c r="CY104" s="43">
        <v>2801.43832492</v>
      </c>
      <c r="CZ104" s="43">
        <v>12923.77698248</v>
      </c>
      <c r="DA104" s="43">
        <v>0</v>
      </c>
      <c r="DB104" s="114">
        <v>17449.063924919999</v>
      </c>
      <c r="DC104" s="43"/>
      <c r="DD104" s="117">
        <v>31994.713</v>
      </c>
      <c r="DE104" s="55">
        <v>1947.2539999999999</v>
      </c>
      <c r="DF104" s="59">
        <v>2896.5221770284002</v>
      </c>
      <c r="DG104" s="59">
        <v>36838.489177028394</v>
      </c>
      <c r="DH104" s="117">
        <v>7499.22</v>
      </c>
      <c r="DI104" s="117">
        <v>55407.411</v>
      </c>
      <c r="DJ104" s="55">
        <v>6563</v>
      </c>
      <c r="DK104" s="114">
        <v>61970.411</v>
      </c>
      <c r="DL104" s="43"/>
      <c r="DM104" s="117">
        <v>1095.3810000000001</v>
      </c>
      <c r="DN104" s="55">
        <v>10540.1958456256</v>
      </c>
      <c r="DO104" s="55">
        <v>11635.576845625599</v>
      </c>
      <c r="DP104" s="59">
        <v>1358.695399468565</v>
      </c>
      <c r="DQ104" s="59">
        <v>2924.2427275396881</v>
      </c>
      <c r="DR104" s="59">
        <v>436.89289445999998</v>
      </c>
      <c r="DS104" s="55">
        <v>3361.1356219996878</v>
      </c>
      <c r="DT104" s="55">
        <v>162.45792930776039</v>
      </c>
      <c r="DU104" s="55">
        <v>162.45792930776039</v>
      </c>
      <c r="DW104" s="121">
        <v>0</v>
      </c>
      <c r="DX104" s="122">
        <v>6779.6610170000004</v>
      </c>
      <c r="DY104" s="128">
        <v>1447.7400829999999</v>
      </c>
      <c r="DZ104" s="128">
        <v>0</v>
      </c>
      <c r="EA104" s="121">
        <v>0</v>
      </c>
      <c r="EB104" s="122">
        <v>903.37707068999998</v>
      </c>
      <c r="EC104" s="121">
        <v>0</v>
      </c>
      <c r="ED104" s="122">
        <v>1271.1864410000001</v>
      </c>
      <c r="EE104" s="121">
        <v>0</v>
      </c>
      <c r="EF104" s="122">
        <v>847.5</v>
      </c>
      <c r="EG104" s="121">
        <v>0</v>
      </c>
      <c r="EH104" s="122">
        <v>7397.5988710000001</v>
      </c>
      <c r="EI104" s="121">
        <v>0</v>
      </c>
      <c r="EJ104" s="122">
        <v>6779.6610170000004</v>
      </c>
      <c r="EK104" s="129">
        <v>903.37707068999998</v>
      </c>
      <c r="EL104" s="130">
        <v>847.5</v>
      </c>
      <c r="EM104" s="131">
        <v>735.83500000000004</v>
      </c>
      <c r="EN104" s="129">
        <v>436.89289445999998</v>
      </c>
      <c r="EO104" s="129">
        <v>10964.025395000001</v>
      </c>
      <c r="EP104" s="129">
        <v>0</v>
      </c>
      <c r="ER104" s="157">
        <v>0</v>
      </c>
      <c r="ES104" s="37">
        <v>0</v>
      </c>
      <c r="ET104" s="55">
        <f t="shared" si="10"/>
        <v>0</v>
      </c>
      <c r="EU104" s="157">
        <v>0</v>
      </c>
      <c r="EV104" s="37">
        <v>0</v>
      </c>
      <c r="EW104" s="55">
        <f t="shared" si="17"/>
        <v>0</v>
      </c>
      <c r="EY104" s="166">
        <v>0</v>
      </c>
      <c r="EZ104" s="37">
        <v>0</v>
      </c>
      <c r="FA104" s="164">
        <f t="shared" si="11"/>
        <v>0</v>
      </c>
      <c r="FB104" s="5">
        <v>4613</v>
      </c>
      <c r="FC104" s="164">
        <f t="shared" si="12"/>
        <v>1</v>
      </c>
      <c r="FE104" s="5"/>
      <c r="FF104" s="166">
        <v>0</v>
      </c>
      <c r="FG104" s="37">
        <v>0</v>
      </c>
      <c r="FH104" s="164">
        <f t="shared" si="13"/>
        <v>0</v>
      </c>
      <c r="FI104" s="5">
        <v>0</v>
      </c>
      <c r="FJ104" s="164">
        <f t="shared" si="14"/>
        <v>0</v>
      </c>
      <c r="FL104" s="169">
        <v>7873</v>
      </c>
      <c r="FM104" s="170">
        <f t="shared" si="15"/>
        <v>0.68245451314546257</v>
      </c>
      <c r="FN104" s="169">
        <v>2591</v>
      </c>
      <c r="FO104" s="170">
        <f t="shared" si="16"/>
        <v>0.82634348588741824</v>
      </c>
    </row>
    <row r="105" spans="16:171" x14ac:dyDescent="0.35">
      <c r="P105" s="64">
        <v>103</v>
      </c>
      <c r="Q105" s="109">
        <v>0</v>
      </c>
      <c r="R105" s="110">
        <v>0</v>
      </c>
      <c r="S105" s="111">
        <v>0</v>
      </c>
      <c r="T105" s="110">
        <v>0</v>
      </c>
      <c r="U105" s="111">
        <v>0</v>
      </c>
      <c r="V105" s="110">
        <v>0</v>
      </c>
      <c r="W105" s="111">
        <v>0</v>
      </c>
      <c r="X105" s="110">
        <v>0</v>
      </c>
      <c r="Y105" s="111">
        <v>0</v>
      </c>
      <c r="Z105" s="110">
        <v>0</v>
      </c>
      <c r="AA105" s="111">
        <v>0</v>
      </c>
      <c r="AB105" s="110">
        <v>0</v>
      </c>
      <c r="AC105" s="111">
        <v>0</v>
      </c>
      <c r="AD105" s="110">
        <v>0</v>
      </c>
      <c r="AF105" s="64">
        <v>103</v>
      </c>
      <c r="AG105" s="109">
        <v>44321.900399999999</v>
      </c>
      <c r="AH105" s="111">
        <v>2024</v>
      </c>
      <c r="AI105" s="109">
        <v>440</v>
      </c>
      <c r="AJ105" s="59">
        <v>0.49799999999999994</v>
      </c>
      <c r="AK105" s="59">
        <v>0.88</v>
      </c>
      <c r="AL105" s="59">
        <v>0.88</v>
      </c>
      <c r="AM105" s="110">
        <v>362.40600000000001</v>
      </c>
      <c r="AN105" s="111">
        <v>3411.5747999999999</v>
      </c>
      <c r="AO105" s="59">
        <v>0.56100000000000005</v>
      </c>
      <c r="AP105" s="55">
        <v>0.29299999999999998</v>
      </c>
      <c r="AQ105" s="109">
        <v>38133</v>
      </c>
      <c r="AR105" s="111">
        <v>22183.875</v>
      </c>
      <c r="AS105" s="59">
        <v>0.85499999999999998</v>
      </c>
      <c r="AT105" s="55">
        <v>0.94499999999999995</v>
      </c>
      <c r="AU105" s="43"/>
      <c r="AV105" s="109">
        <v>989.98900000000003</v>
      </c>
      <c r="AW105" s="110">
        <v>0.40199987005920429</v>
      </c>
      <c r="AX105" s="109">
        <v>923.06899999999996</v>
      </c>
      <c r="AY105" s="110">
        <v>0.57440510267579337</v>
      </c>
      <c r="AZ105" s="109">
        <v>1121.4780000000001</v>
      </c>
      <c r="BA105" s="110">
        <v>0.5784392407674851</v>
      </c>
      <c r="BB105" s="43"/>
      <c r="BC105" s="112">
        <v>52500.305999999997</v>
      </c>
      <c r="BD105" s="110">
        <v>0.75409836065573765</v>
      </c>
      <c r="BE105" s="43"/>
      <c r="BF105" s="157">
        <v>18907.48</v>
      </c>
      <c r="BG105" s="43">
        <v>0</v>
      </c>
      <c r="BH105" s="113">
        <v>0</v>
      </c>
      <c r="BI105" s="114">
        <v>0.57998404907975454</v>
      </c>
      <c r="BJ105" s="115">
        <v>0</v>
      </c>
      <c r="BK105" s="113">
        <v>0</v>
      </c>
      <c r="BL105" s="113">
        <v>0</v>
      </c>
      <c r="BM105" s="113">
        <v>0</v>
      </c>
      <c r="BN105" s="113">
        <v>5083.7749999999996</v>
      </c>
      <c r="BO105" s="114">
        <v>0.37719060691497253</v>
      </c>
      <c r="BP105" s="115">
        <v>0</v>
      </c>
      <c r="BQ105" s="43">
        <v>7668</v>
      </c>
      <c r="BR105" s="43">
        <v>0</v>
      </c>
      <c r="BS105" s="43"/>
      <c r="BT105" s="116">
        <v>-700</v>
      </c>
      <c r="BU105" s="43">
        <v>0</v>
      </c>
      <c r="BV105" s="43">
        <v>4485</v>
      </c>
      <c r="BW105" s="43">
        <v>4485</v>
      </c>
      <c r="BX105" s="43">
        <v>0</v>
      </c>
      <c r="BY105" s="43">
        <v>0</v>
      </c>
      <c r="BZ105" s="43">
        <v>0</v>
      </c>
      <c r="CA105" s="43">
        <v>0</v>
      </c>
      <c r="CB105" s="43">
        <v>-3055.5773382500001</v>
      </c>
      <c r="CC105" s="43">
        <v>0</v>
      </c>
      <c r="CD105" s="43">
        <v>-4000</v>
      </c>
      <c r="CE105" s="43">
        <v>0</v>
      </c>
      <c r="CF105" s="43">
        <v>-2604.7245862899999</v>
      </c>
      <c r="CG105" s="43">
        <v>0</v>
      </c>
      <c r="CH105" s="43">
        <v>8058.7010439200003</v>
      </c>
      <c r="CI105" s="43">
        <v>8058.7010439200003</v>
      </c>
      <c r="CJ105" s="114">
        <v>12543.70104392</v>
      </c>
      <c r="CK105" s="43"/>
      <c r="CL105" s="116">
        <v>-700</v>
      </c>
      <c r="CM105" s="43">
        <v>700</v>
      </c>
      <c r="CN105" s="43">
        <v>4485</v>
      </c>
      <c r="CO105" s="43">
        <v>0</v>
      </c>
      <c r="CP105" s="43">
        <v>0</v>
      </c>
      <c r="CQ105" s="43">
        <v>0</v>
      </c>
      <c r="CR105" s="43">
        <v>0</v>
      </c>
      <c r="CS105" s="43">
        <v>0</v>
      </c>
      <c r="CT105" s="43">
        <v>-3055.5773382500001</v>
      </c>
      <c r="CU105" s="43">
        <v>3055.5773382500001</v>
      </c>
      <c r="CV105" s="43">
        <v>-4000</v>
      </c>
      <c r="CW105" s="43">
        <v>4000</v>
      </c>
      <c r="CX105" s="43">
        <v>-2604.7245862899999</v>
      </c>
      <c r="CY105" s="43">
        <v>2604.7245862899999</v>
      </c>
      <c r="CZ105" s="43">
        <v>8058.7010439200003</v>
      </c>
      <c r="DA105" s="43">
        <v>0</v>
      </c>
      <c r="DB105" s="114">
        <v>10360.301924539999</v>
      </c>
      <c r="DC105" s="43"/>
      <c r="DD105" s="117">
        <v>35044.982000000004</v>
      </c>
      <c r="DE105" s="55">
        <v>1986.681</v>
      </c>
      <c r="DF105" s="59">
        <v>3653.3815220483002</v>
      </c>
      <c r="DG105" s="59">
        <v>40685.044522048302</v>
      </c>
      <c r="DH105" s="117">
        <v>7871.585</v>
      </c>
      <c r="DI105" s="117">
        <v>59412.411</v>
      </c>
      <c r="DJ105" s="55">
        <v>6482</v>
      </c>
      <c r="DK105" s="114">
        <v>65894.410999999993</v>
      </c>
      <c r="DL105" s="43"/>
      <c r="DM105" s="117">
        <v>1148.8389999999999</v>
      </c>
      <c r="DN105" s="55">
        <v>10555.905846475949</v>
      </c>
      <c r="DO105" s="55">
        <v>11704.744846475949</v>
      </c>
      <c r="DP105" s="59">
        <v>1456.651875945465</v>
      </c>
      <c r="DQ105" s="59">
        <v>2932.5206019649299</v>
      </c>
      <c r="DR105" s="59">
        <v>428.61502003999999</v>
      </c>
      <c r="DS105" s="55">
        <v>3361.1356220049302</v>
      </c>
      <c r="DT105" s="55">
        <v>162.9178112202739</v>
      </c>
      <c r="DU105" s="55">
        <v>162.9178112202739</v>
      </c>
      <c r="DW105" s="121">
        <v>0</v>
      </c>
      <c r="DX105" s="122">
        <v>6779.6610170000004</v>
      </c>
      <c r="DY105" s="128">
        <v>1447.7400829999999</v>
      </c>
      <c r="DZ105" s="128">
        <v>0</v>
      </c>
      <c r="EA105" s="121">
        <v>0</v>
      </c>
      <c r="EB105" s="122">
        <v>572.91718877999995</v>
      </c>
      <c r="EC105" s="121">
        <v>0</v>
      </c>
      <c r="ED105" s="122">
        <v>1271.1864410000001</v>
      </c>
      <c r="EE105" s="121">
        <v>0</v>
      </c>
      <c r="EF105" s="122">
        <v>847.5</v>
      </c>
      <c r="EG105" s="121">
        <v>0</v>
      </c>
      <c r="EH105" s="122">
        <v>7397.5988710000001</v>
      </c>
      <c r="EI105" s="121">
        <v>0</v>
      </c>
      <c r="EJ105" s="122">
        <v>6779.6610170000004</v>
      </c>
      <c r="EK105" s="129">
        <v>572.91718877999995</v>
      </c>
      <c r="EL105" s="130">
        <v>847.5</v>
      </c>
      <c r="EM105" s="131">
        <v>735.83500000000004</v>
      </c>
      <c r="EN105" s="129">
        <v>428.61502003999999</v>
      </c>
      <c r="EO105" s="129">
        <v>10964.025395000001</v>
      </c>
      <c r="EP105" s="129">
        <v>0</v>
      </c>
      <c r="ER105" s="157">
        <v>0</v>
      </c>
      <c r="ES105" s="37">
        <v>0</v>
      </c>
      <c r="ET105" s="55">
        <f t="shared" si="10"/>
        <v>0</v>
      </c>
      <c r="EU105" s="157">
        <v>0</v>
      </c>
      <c r="EV105" s="37">
        <v>0</v>
      </c>
      <c r="EW105" s="55">
        <f t="shared" si="17"/>
        <v>0</v>
      </c>
      <c r="EY105" s="166">
        <v>0</v>
      </c>
      <c r="EZ105" s="37">
        <v>0</v>
      </c>
      <c r="FA105" s="164">
        <f t="shared" si="11"/>
        <v>0</v>
      </c>
      <c r="FB105" s="5">
        <v>4613</v>
      </c>
      <c r="FC105" s="164">
        <f t="shared" si="12"/>
        <v>1</v>
      </c>
      <c r="FE105" s="5"/>
      <c r="FF105" s="166">
        <v>0</v>
      </c>
      <c r="FG105" s="37">
        <v>0</v>
      </c>
      <c r="FH105" s="164">
        <f t="shared" si="13"/>
        <v>0</v>
      </c>
      <c r="FI105" s="5">
        <v>0</v>
      </c>
      <c r="FJ105" s="164">
        <f t="shared" si="14"/>
        <v>0</v>
      </c>
      <c r="FL105" s="169">
        <v>7873</v>
      </c>
      <c r="FM105" s="170">
        <f t="shared" si="15"/>
        <v>0.68245451314546257</v>
      </c>
      <c r="FN105" s="169">
        <v>2591</v>
      </c>
      <c r="FO105" s="170">
        <f t="shared" si="16"/>
        <v>0.82634348588741824</v>
      </c>
    </row>
    <row r="106" spans="16:171" x14ac:dyDescent="0.35">
      <c r="P106" s="64">
        <v>104</v>
      </c>
      <c r="Q106" s="109">
        <v>0</v>
      </c>
      <c r="R106" s="110">
        <v>0</v>
      </c>
      <c r="S106" s="111">
        <v>0</v>
      </c>
      <c r="T106" s="110">
        <v>0</v>
      </c>
      <c r="U106" s="111">
        <v>0</v>
      </c>
      <c r="V106" s="110">
        <v>0</v>
      </c>
      <c r="W106" s="111">
        <v>0</v>
      </c>
      <c r="X106" s="110">
        <v>0</v>
      </c>
      <c r="Y106" s="111">
        <v>0</v>
      </c>
      <c r="Z106" s="110">
        <v>0</v>
      </c>
      <c r="AA106" s="111">
        <v>0</v>
      </c>
      <c r="AB106" s="110">
        <v>0</v>
      </c>
      <c r="AC106" s="111">
        <v>0</v>
      </c>
      <c r="AD106" s="110">
        <v>0</v>
      </c>
      <c r="AF106" s="64">
        <v>104</v>
      </c>
      <c r="AG106" s="109">
        <v>45745.897199999999</v>
      </c>
      <c r="AH106" s="111">
        <v>2051.6</v>
      </c>
      <c r="AI106" s="109">
        <v>446</v>
      </c>
      <c r="AJ106" s="59">
        <v>0.51400000000000001</v>
      </c>
      <c r="AK106" s="59">
        <v>0.89200000000000002</v>
      </c>
      <c r="AL106" s="59">
        <v>0.89200000000000002</v>
      </c>
      <c r="AM106" s="110">
        <v>347.548</v>
      </c>
      <c r="AN106" s="111">
        <v>3155.4155999999998</v>
      </c>
      <c r="AO106" s="59">
        <v>0.53800000000000003</v>
      </c>
      <c r="AP106" s="55">
        <v>0.27099999999999996</v>
      </c>
      <c r="AQ106" s="109">
        <v>38400.6</v>
      </c>
      <c r="AR106" s="111">
        <v>22606.424999999999</v>
      </c>
      <c r="AS106" s="59">
        <v>0.86099999999999999</v>
      </c>
      <c r="AT106" s="55">
        <v>0.96299999999999997</v>
      </c>
      <c r="AU106" s="43"/>
      <c r="AV106" s="109">
        <v>1007.228</v>
      </c>
      <c r="AW106" s="110">
        <v>0.40900002436389921</v>
      </c>
      <c r="AX106" s="109">
        <v>898.92700000000002</v>
      </c>
      <c r="AY106" s="110">
        <v>0.55938207840696952</v>
      </c>
      <c r="AZ106" s="109">
        <v>1121.4780000000001</v>
      </c>
      <c r="BA106" s="110">
        <v>0.5784392407674851</v>
      </c>
      <c r="BB106" s="43"/>
      <c r="BC106" s="112">
        <v>53641.616999999998</v>
      </c>
      <c r="BD106" s="110">
        <v>0.77049180327868849</v>
      </c>
      <c r="BE106" s="43"/>
      <c r="BF106" s="157">
        <v>19516.260999999999</v>
      </c>
      <c r="BG106" s="43">
        <v>0</v>
      </c>
      <c r="BH106" s="113">
        <v>0</v>
      </c>
      <c r="BI106" s="114">
        <v>0.59865831288343552</v>
      </c>
      <c r="BJ106" s="115">
        <v>0</v>
      </c>
      <c r="BK106" s="113">
        <v>0</v>
      </c>
      <c r="BL106" s="113">
        <v>0</v>
      </c>
      <c r="BM106" s="113">
        <v>0</v>
      </c>
      <c r="BN106" s="113">
        <v>4876.7860000000001</v>
      </c>
      <c r="BO106" s="114">
        <v>0.36183306128505716</v>
      </c>
      <c r="BP106" s="115">
        <v>0</v>
      </c>
      <c r="BQ106" s="43">
        <v>7668</v>
      </c>
      <c r="BR106" s="43">
        <v>0</v>
      </c>
      <c r="BS106" s="43"/>
      <c r="BT106" s="116">
        <v>-700</v>
      </c>
      <c r="BU106" s="43">
        <v>0</v>
      </c>
      <c r="BV106" s="43">
        <v>4485</v>
      </c>
      <c r="BW106" s="43">
        <v>4485</v>
      </c>
      <c r="BX106" s="43">
        <v>0</v>
      </c>
      <c r="BY106" s="43">
        <v>0</v>
      </c>
      <c r="BZ106" s="43">
        <v>0</v>
      </c>
      <c r="CA106" s="43">
        <v>0</v>
      </c>
      <c r="CB106" s="43">
        <v>-4629.9143370299998</v>
      </c>
      <c r="CC106" s="43">
        <v>0</v>
      </c>
      <c r="CD106" s="43">
        <v>-4000</v>
      </c>
      <c r="CE106" s="43">
        <v>0</v>
      </c>
      <c r="CF106" s="43">
        <v>0</v>
      </c>
      <c r="CG106" s="43">
        <v>0</v>
      </c>
      <c r="CH106" s="43">
        <v>8768.4675156699996</v>
      </c>
      <c r="CI106" s="43">
        <v>8768.4675156699996</v>
      </c>
      <c r="CJ106" s="114">
        <v>13253.46751567</v>
      </c>
      <c r="CK106" s="43"/>
      <c r="CL106" s="116">
        <v>-700</v>
      </c>
      <c r="CM106" s="43">
        <v>700</v>
      </c>
      <c r="CN106" s="43">
        <v>4485</v>
      </c>
      <c r="CO106" s="43">
        <v>0</v>
      </c>
      <c r="CP106" s="43">
        <v>0</v>
      </c>
      <c r="CQ106" s="43">
        <v>0</v>
      </c>
      <c r="CR106" s="43">
        <v>0</v>
      </c>
      <c r="CS106" s="43">
        <v>0</v>
      </c>
      <c r="CT106" s="43">
        <v>-4629.9143370299998</v>
      </c>
      <c r="CU106" s="43">
        <v>4629.9143370299998</v>
      </c>
      <c r="CV106" s="43">
        <v>-4000</v>
      </c>
      <c r="CW106" s="43">
        <v>4000</v>
      </c>
      <c r="CX106" s="43">
        <v>0</v>
      </c>
      <c r="CY106" s="43">
        <v>0</v>
      </c>
      <c r="CZ106" s="43">
        <v>8768.4675156699996</v>
      </c>
      <c r="DA106" s="43">
        <v>0</v>
      </c>
      <c r="DB106" s="114">
        <v>9329.9143370300008</v>
      </c>
      <c r="DC106" s="43"/>
      <c r="DD106" s="117">
        <v>37769.040999999997</v>
      </c>
      <c r="DE106" s="55">
        <v>2045.454</v>
      </c>
      <c r="DF106" s="59">
        <v>4060.6025534678001</v>
      </c>
      <c r="DG106" s="59">
        <v>43875.097553467793</v>
      </c>
      <c r="DH106" s="117">
        <v>8419.3709999999992</v>
      </c>
      <c r="DI106" s="117">
        <v>61886.411</v>
      </c>
      <c r="DJ106" s="55">
        <v>6979</v>
      </c>
      <c r="DK106" s="114">
        <v>68865.410999999993</v>
      </c>
      <c r="DL106" s="43"/>
      <c r="DM106" s="117">
        <v>1123.682</v>
      </c>
      <c r="DN106" s="55">
        <v>10571.615847326309</v>
      </c>
      <c r="DO106" s="55">
        <v>11695.29784732631</v>
      </c>
      <c r="DP106" s="59">
        <v>1549.452748397264</v>
      </c>
      <c r="DQ106" s="59">
        <v>2940.7984763901732</v>
      </c>
      <c r="DR106" s="59">
        <v>420.33714560999999</v>
      </c>
      <c r="DS106" s="55">
        <v>3361.135622000173</v>
      </c>
      <c r="DT106" s="55">
        <v>163.37769313278741</v>
      </c>
      <c r="DU106" s="55">
        <v>163.37769313278741</v>
      </c>
      <c r="DW106" s="121">
        <v>0</v>
      </c>
      <c r="DX106" s="122">
        <v>6779.6610170000004</v>
      </c>
      <c r="DY106" s="128">
        <v>1447.7400829999999</v>
      </c>
      <c r="DZ106" s="128">
        <v>0</v>
      </c>
      <c r="EA106" s="121">
        <v>0</v>
      </c>
      <c r="EB106" s="122">
        <v>572.45730687000002</v>
      </c>
      <c r="EC106" s="121">
        <v>0</v>
      </c>
      <c r="ED106" s="122">
        <v>1271.1864410000001</v>
      </c>
      <c r="EE106" s="121">
        <v>0</v>
      </c>
      <c r="EF106" s="122">
        <v>847.5</v>
      </c>
      <c r="EG106" s="121">
        <v>0</v>
      </c>
      <c r="EH106" s="122">
        <v>7397.5988710000001</v>
      </c>
      <c r="EI106" s="121">
        <v>0</v>
      </c>
      <c r="EJ106" s="122">
        <v>6779.6610170000004</v>
      </c>
      <c r="EK106" s="129">
        <v>572.45730687000002</v>
      </c>
      <c r="EL106" s="130">
        <v>847.5</v>
      </c>
      <c r="EM106" s="131">
        <v>735.83500000000004</v>
      </c>
      <c r="EN106" s="129">
        <v>420.33714560999999</v>
      </c>
      <c r="EO106" s="129">
        <v>10964.025395000001</v>
      </c>
      <c r="EP106" s="129">
        <v>0</v>
      </c>
      <c r="ER106" s="157">
        <v>0</v>
      </c>
      <c r="ES106" s="37">
        <v>0</v>
      </c>
      <c r="ET106" s="55">
        <f t="shared" si="10"/>
        <v>0</v>
      </c>
      <c r="EU106" s="157">
        <v>0</v>
      </c>
      <c r="EV106" s="37">
        <v>0</v>
      </c>
      <c r="EW106" s="55">
        <f t="shared" si="17"/>
        <v>0</v>
      </c>
      <c r="EY106" s="166">
        <v>0</v>
      </c>
      <c r="EZ106" s="37">
        <v>0</v>
      </c>
      <c r="FA106" s="164">
        <f t="shared" si="11"/>
        <v>0</v>
      </c>
      <c r="FB106" s="5">
        <v>4613</v>
      </c>
      <c r="FC106" s="164">
        <f t="shared" si="12"/>
        <v>1</v>
      </c>
      <c r="FE106" s="5"/>
      <c r="FF106" s="166">
        <v>0</v>
      </c>
      <c r="FG106" s="37">
        <v>0</v>
      </c>
      <c r="FH106" s="164">
        <f t="shared" si="13"/>
        <v>0</v>
      </c>
      <c r="FI106" s="5">
        <v>0</v>
      </c>
      <c r="FJ106" s="164">
        <f t="shared" si="14"/>
        <v>0</v>
      </c>
      <c r="FL106" s="169">
        <v>7873</v>
      </c>
      <c r="FM106" s="170">
        <f t="shared" si="15"/>
        <v>0.68245451314546257</v>
      </c>
      <c r="FN106" s="169">
        <v>2591</v>
      </c>
      <c r="FO106" s="170">
        <f t="shared" si="16"/>
        <v>0.82634348588741824</v>
      </c>
    </row>
    <row r="107" spans="16:171" x14ac:dyDescent="0.35">
      <c r="P107" s="64">
        <v>105</v>
      </c>
      <c r="Q107" s="109">
        <v>0</v>
      </c>
      <c r="R107" s="110">
        <v>0</v>
      </c>
      <c r="S107" s="111">
        <v>0</v>
      </c>
      <c r="T107" s="110">
        <v>0</v>
      </c>
      <c r="U107" s="111">
        <v>0</v>
      </c>
      <c r="V107" s="110">
        <v>0</v>
      </c>
      <c r="W107" s="111">
        <v>0</v>
      </c>
      <c r="X107" s="110">
        <v>0</v>
      </c>
      <c r="Y107" s="111">
        <v>0</v>
      </c>
      <c r="Z107" s="110">
        <v>0</v>
      </c>
      <c r="AA107" s="111">
        <v>0</v>
      </c>
      <c r="AB107" s="110">
        <v>0</v>
      </c>
      <c r="AC107" s="111">
        <v>0</v>
      </c>
      <c r="AD107" s="110">
        <v>0</v>
      </c>
      <c r="AF107" s="64">
        <v>105</v>
      </c>
      <c r="AG107" s="109">
        <v>48326.8914</v>
      </c>
      <c r="AH107" s="111">
        <v>2081.5</v>
      </c>
      <c r="AI107" s="109">
        <v>452.5</v>
      </c>
      <c r="AJ107" s="59">
        <v>0.54300000000000004</v>
      </c>
      <c r="AK107" s="59">
        <v>0.90500000000000003</v>
      </c>
      <c r="AL107" s="59">
        <v>0.90500000000000003</v>
      </c>
      <c r="AM107" s="110">
        <v>323.64600000000002</v>
      </c>
      <c r="AN107" s="111">
        <v>3225.2772</v>
      </c>
      <c r="AO107" s="59">
        <v>0.501</v>
      </c>
      <c r="AP107" s="55">
        <v>0.27699999999999997</v>
      </c>
      <c r="AQ107" s="109">
        <v>38311.4</v>
      </c>
      <c r="AR107" s="111">
        <v>22676.85</v>
      </c>
      <c r="AS107" s="59">
        <v>0.85899999999999999</v>
      </c>
      <c r="AT107" s="55">
        <v>0.96599999999999997</v>
      </c>
      <c r="AU107" s="43"/>
      <c r="AV107" s="109">
        <v>1036.78</v>
      </c>
      <c r="AW107" s="110">
        <v>0.42100005684909814</v>
      </c>
      <c r="AX107" s="109">
        <v>872.68399999999997</v>
      </c>
      <c r="AY107" s="110">
        <v>0.54305164903546976</v>
      </c>
      <c r="AZ107" s="109">
        <v>1121.4780000000001</v>
      </c>
      <c r="BA107" s="110">
        <v>0.5784392407674851</v>
      </c>
      <c r="BB107" s="43"/>
      <c r="BC107" s="112">
        <v>53641.616999999998</v>
      </c>
      <c r="BD107" s="110">
        <v>0.77049180327868849</v>
      </c>
      <c r="BE107" s="43"/>
      <c r="BF107" s="157">
        <v>20735.523000000001</v>
      </c>
      <c r="BG107" s="43">
        <v>0</v>
      </c>
      <c r="BH107" s="113">
        <v>0</v>
      </c>
      <c r="BI107" s="114">
        <v>0.63605898773006142</v>
      </c>
      <c r="BJ107" s="115">
        <v>0</v>
      </c>
      <c r="BK107" s="113">
        <v>0</v>
      </c>
      <c r="BL107" s="113">
        <v>0</v>
      </c>
      <c r="BM107" s="113">
        <v>0</v>
      </c>
      <c r="BN107" s="113">
        <v>4541.4520000000002</v>
      </c>
      <c r="BO107" s="114">
        <v>0.33695296037987832</v>
      </c>
      <c r="BP107" s="115">
        <v>0</v>
      </c>
      <c r="BQ107" s="43">
        <v>7668</v>
      </c>
      <c r="BR107" s="43">
        <v>0</v>
      </c>
      <c r="BS107" s="43"/>
      <c r="BT107" s="116">
        <v>-700</v>
      </c>
      <c r="BU107" s="43">
        <v>0</v>
      </c>
      <c r="BV107" s="43">
        <v>4485</v>
      </c>
      <c r="BW107" s="43">
        <v>4485</v>
      </c>
      <c r="BX107" s="43">
        <v>0</v>
      </c>
      <c r="BY107" s="43">
        <v>0</v>
      </c>
      <c r="BZ107" s="43">
        <v>0</v>
      </c>
      <c r="CA107" s="43">
        <v>0</v>
      </c>
      <c r="CB107" s="43">
        <v>-5300</v>
      </c>
      <c r="CC107" s="43">
        <v>0</v>
      </c>
      <c r="CD107" s="43">
        <v>-4000</v>
      </c>
      <c r="CE107" s="43">
        <v>0</v>
      </c>
      <c r="CF107" s="43">
        <v>0</v>
      </c>
      <c r="CG107" s="43">
        <v>0</v>
      </c>
      <c r="CH107" s="43">
        <v>10478.048830600001</v>
      </c>
      <c r="CI107" s="43">
        <v>10478.048830600001</v>
      </c>
      <c r="CJ107" s="114">
        <v>14963.048830600001</v>
      </c>
      <c r="CK107" s="43"/>
      <c r="CL107" s="116">
        <v>-700</v>
      </c>
      <c r="CM107" s="43">
        <v>700</v>
      </c>
      <c r="CN107" s="43">
        <v>4485</v>
      </c>
      <c r="CO107" s="43">
        <v>0</v>
      </c>
      <c r="CP107" s="43">
        <v>0</v>
      </c>
      <c r="CQ107" s="43">
        <v>0</v>
      </c>
      <c r="CR107" s="43">
        <v>0</v>
      </c>
      <c r="CS107" s="43">
        <v>0</v>
      </c>
      <c r="CT107" s="43">
        <v>-5300</v>
      </c>
      <c r="CU107" s="43">
        <v>5300</v>
      </c>
      <c r="CV107" s="43">
        <v>-4000</v>
      </c>
      <c r="CW107" s="43">
        <v>4000</v>
      </c>
      <c r="CX107" s="43">
        <v>0</v>
      </c>
      <c r="CY107" s="43">
        <v>0</v>
      </c>
      <c r="CZ107" s="43">
        <v>10478.048830600001</v>
      </c>
      <c r="DA107" s="43">
        <v>0</v>
      </c>
      <c r="DB107" s="114">
        <v>10000</v>
      </c>
      <c r="DC107" s="43"/>
      <c r="DD107" s="117">
        <v>39568.949999999997</v>
      </c>
      <c r="DE107" s="55">
        <v>2072.2359999999999</v>
      </c>
      <c r="DF107" s="59">
        <v>3896.9106042948001</v>
      </c>
      <c r="DG107" s="59">
        <v>45538.096604294791</v>
      </c>
      <c r="DH107" s="117">
        <v>8942.4040000000005</v>
      </c>
      <c r="DI107" s="117">
        <v>61621.411</v>
      </c>
      <c r="DJ107" s="55">
        <v>8254</v>
      </c>
      <c r="DK107" s="114">
        <v>69875.410999999993</v>
      </c>
      <c r="DL107" s="43"/>
      <c r="DM107" s="117">
        <v>1058.683</v>
      </c>
      <c r="DN107" s="55">
        <v>10571.615847326309</v>
      </c>
      <c r="DO107" s="55">
        <v>11630.29884732631</v>
      </c>
      <c r="DP107" s="59">
        <v>1647.409224874164</v>
      </c>
      <c r="DQ107" s="59">
        <v>2940.7984763901732</v>
      </c>
      <c r="DR107" s="59">
        <v>420.33714560999999</v>
      </c>
      <c r="DS107" s="55">
        <v>3361.135622000173</v>
      </c>
      <c r="DT107" s="55">
        <v>163.37769313278741</v>
      </c>
      <c r="DU107" s="55">
        <v>163.37769313278741</v>
      </c>
      <c r="DW107" s="121">
        <v>0</v>
      </c>
      <c r="DX107" s="122">
        <v>6779.6610170000004</v>
      </c>
      <c r="DY107" s="128">
        <v>1447.7400829999999</v>
      </c>
      <c r="DZ107" s="128">
        <v>0</v>
      </c>
      <c r="EA107" s="121">
        <v>0</v>
      </c>
      <c r="EB107" s="122">
        <v>572.45730687000002</v>
      </c>
      <c r="EC107" s="121">
        <v>0</v>
      </c>
      <c r="ED107" s="122">
        <v>1271.1864410000001</v>
      </c>
      <c r="EE107" s="121">
        <v>0</v>
      </c>
      <c r="EF107" s="122">
        <v>847.5</v>
      </c>
      <c r="EG107" s="121">
        <v>0</v>
      </c>
      <c r="EH107" s="122">
        <v>7397.5988710000001</v>
      </c>
      <c r="EI107" s="121">
        <v>0</v>
      </c>
      <c r="EJ107" s="122">
        <v>6779.6610170000004</v>
      </c>
      <c r="EK107" s="129">
        <v>572.45730687000002</v>
      </c>
      <c r="EL107" s="130">
        <v>847.5</v>
      </c>
      <c r="EM107" s="131">
        <v>735.83500000000004</v>
      </c>
      <c r="EN107" s="129">
        <v>420.33714560999999</v>
      </c>
      <c r="EO107" s="129">
        <v>10964.025395000001</v>
      </c>
      <c r="EP107" s="129">
        <v>0</v>
      </c>
      <c r="ER107" s="157">
        <v>0</v>
      </c>
      <c r="ES107" s="37">
        <v>0</v>
      </c>
      <c r="ET107" s="55">
        <f t="shared" si="10"/>
        <v>0</v>
      </c>
      <c r="EU107" s="157">
        <v>0</v>
      </c>
      <c r="EV107" s="37">
        <v>0</v>
      </c>
      <c r="EW107" s="55">
        <f t="shared" si="17"/>
        <v>0</v>
      </c>
      <c r="EY107" s="166">
        <v>0</v>
      </c>
      <c r="EZ107" s="37">
        <v>0</v>
      </c>
      <c r="FA107" s="164">
        <f t="shared" si="11"/>
        <v>0</v>
      </c>
      <c r="FB107" s="5">
        <v>4613</v>
      </c>
      <c r="FC107" s="164">
        <f t="shared" si="12"/>
        <v>1</v>
      </c>
      <c r="FE107" s="5"/>
      <c r="FF107" s="166">
        <v>0</v>
      </c>
      <c r="FG107" s="37">
        <v>0</v>
      </c>
      <c r="FH107" s="164">
        <f t="shared" si="13"/>
        <v>0</v>
      </c>
      <c r="FI107" s="5">
        <v>0</v>
      </c>
      <c r="FJ107" s="164">
        <f t="shared" si="14"/>
        <v>0</v>
      </c>
      <c r="FL107" s="169">
        <v>7873</v>
      </c>
      <c r="FM107" s="170">
        <f t="shared" si="15"/>
        <v>0.68245451314546257</v>
      </c>
      <c r="FN107" s="169">
        <v>2591</v>
      </c>
      <c r="FO107" s="170">
        <f t="shared" si="16"/>
        <v>0.82634348588741824</v>
      </c>
    </row>
    <row r="108" spans="16:171" x14ac:dyDescent="0.35">
      <c r="P108" s="64">
        <v>106</v>
      </c>
      <c r="Q108" s="109">
        <v>5229</v>
      </c>
      <c r="R108" s="110">
        <v>6.3E-2</v>
      </c>
      <c r="S108" s="111">
        <v>91.295000000000002</v>
      </c>
      <c r="T108" s="110">
        <v>1.9E-2</v>
      </c>
      <c r="U108" s="111">
        <v>2160</v>
      </c>
      <c r="V108" s="110">
        <v>7.1999999999999995E-2</v>
      </c>
      <c r="W108" s="111">
        <v>690.15359999999998</v>
      </c>
      <c r="X108" s="110">
        <v>4.7999999999999994E-2</v>
      </c>
      <c r="Y108" s="111">
        <v>299.45690000000002</v>
      </c>
      <c r="Z108" s="110">
        <v>3.1000000000000003E-2</v>
      </c>
      <c r="AA108" s="111">
        <v>2159.64</v>
      </c>
      <c r="AB108" s="110">
        <v>4.1999999999999996E-2</v>
      </c>
      <c r="AC108" s="111">
        <v>1806.5111999999999</v>
      </c>
      <c r="AD108" s="110">
        <v>3.8999999999999993E-2</v>
      </c>
      <c r="AF108" s="64">
        <v>106</v>
      </c>
      <c r="AG108" s="109">
        <v>51263.8848</v>
      </c>
      <c r="AH108" s="111">
        <v>2093</v>
      </c>
      <c r="AI108" s="109">
        <v>455</v>
      </c>
      <c r="AJ108" s="59">
        <v>0.57599999999999996</v>
      </c>
      <c r="AK108" s="59">
        <v>0.91</v>
      </c>
      <c r="AL108" s="59">
        <v>0.91</v>
      </c>
      <c r="AM108" s="110">
        <v>303.62</v>
      </c>
      <c r="AN108" s="111">
        <v>3621.1596</v>
      </c>
      <c r="AO108" s="59">
        <v>0.47000000000000003</v>
      </c>
      <c r="AP108" s="55">
        <v>0.311</v>
      </c>
      <c r="AQ108" s="109">
        <v>38043.800000000003</v>
      </c>
      <c r="AR108" s="111">
        <v>22676.85</v>
      </c>
      <c r="AS108" s="59">
        <v>0.85300000000000009</v>
      </c>
      <c r="AT108" s="55">
        <v>0.96599999999999997</v>
      </c>
      <c r="AU108" s="43"/>
      <c r="AV108" s="109">
        <v>1051.556</v>
      </c>
      <c r="AW108" s="110">
        <v>0.42700007309169763</v>
      </c>
      <c r="AX108" s="109">
        <v>872.47699999999998</v>
      </c>
      <c r="AY108" s="110">
        <v>0.54292283758556314</v>
      </c>
      <c r="AZ108" s="109">
        <v>1121.4780000000001</v>
      </c>
      <c r="BA108" s="110">
        <v>0.5784392407674851</v>
      </c>
      <c r="BB108" s="43"/>
      <c r="BC108" s="112">
        <v>53641.616999999998</v>
      </c>
      <c r="BD108" s="110">
        <v>0.77049180327868849</v>
      </c>
      <c r="BE108" s="43"/>
      <c r="BF108" s="157">
        <v>24436.131000000001</v>
      </c>
      <c r="BG108" s="43">
        <v>0</v>
      </c>
      <c r="BH108" s="113">
        <v>0</v>
      </c>
      <c r="BI108" s="114">
        <v>0.74957457055214727</v>
      </c>
      <c r="BJ108" s="115">
        <v>0</v>
      </c>
      <c r="BK108" s="113">
        <v>0</v>
      </c>
      <c r="BL108" s="113">
        <v>0</v>
      </c>
      <c r="BM108" s="113">
        <v>0</v>
      </c>
      <c r="BN108" s="113">
        <v>4747.5469999999996</v>
      </c>
      <c r="BO108" s="114">
        <v>0.35224417569372307</v>
      </c>
      <c r="BP108" s="115">
        <v>0</v>
      </c>
      <c r="BQ108" s="43">
        <v>7668</v>
      </c>
      <c r="BR108" s="43">
        <v>0</v>
      </c>
      <c r="BS108" s="43"/>
      <c r="BT108" s="116">
        <v>-700</v>
      </c>
      <c r="BU108" s="43">
        <v>0</v>
      </c>
      <c r="BV108" s="43">
        <v>4485</v>
      </c>
      <c r="BW108" s="43">
        <v>4485</v>
      </c>
      <c r="BX108" s="43">
        <v>0</v>
      </c>
      <c r="BY108" s="43">
        <v>0</v>
      </c>
      <c r="BZ108" s="43">
        <v>0</v>
      </c>
      <c r="CA108" s="43">
        <v>0</v>
      </c>
      <c r="CB108" s="43">
        <v>-5300</v>
      </c>
      <c r="CC108" s="43">
        <v>0</v>
      </c>
      <c r="CD108" s="43">
        <v>-4000</v>
      </c>
      <c r="CE108" s="43">
        <v>0</v>
      </c>
      <c r="CF108" s="43">
        <v>4800</v>
      </c>
      <c r="CG108" s="43">
        <v>4800</v>
      </c>
      <c r="CH108" s="43">
        <v>14352.93523789</v>
      </c>
      <c r="CI108" s="43">
        <v>14352.93523789</v>
      </c>
      <c r="CJ108" s="114">
        <v>23637.93523789</v>
      </c>
      <c r="CK108" s="43"/>
      <c r="CL108" s="116">
        <v>-700</v>
      </c>
      <c r="CM108" s="43">
        <v>700</v>
      </c>
      <c r="CN108" s="43">
        <v>4485</v>
      </c>
      <c r="CO108" s="43">
        <v>0</v>
      </c>
      <c r="CP108" s="43">
        <v>0</v>
      </c>
      <c r="CQ108" s="43">
        <v>0</v>
      </c>
      <c r="CR108" s="43">
        <v>0</v>
      </c>
      <c r="CS108" s="43">
        <v>0</v>
      </c>
      <c r="CT108" s="43">
        <v>-5300</v>
      </c>
      <c r="CU108" s="43">
        <v>5300</v>
      </c>
      <c r="CV108" s="43">
        <v>-4000</v>
      </c>
      <c r="CW108" s="43">
        <v>4000</v>
      </c>
      <c r="CX108" s="43">
        <v>4800</v>
      </c>
      <c r="CY108" s="43">
        <v>0</v>
      </c>
      <c r="CZ108" s="43">
        <v>14352.93523789</v>
      </c>
      <c r="DA108" s="43">
        <v>0</v>
      </c>
      <c r="DB108" s="114">
        <v>10000</v>
      </c>
      <c r="DC108" s="43"/>
      <c r="DD108" s="117">
        <v>41052.080999999998</v>
      </c>
      <c r="DE108" s="55">
        <v>1901.2840000000001</v>
      </c>
      <c r="DF108" s="59">
        <v>2410.8053042069</v>
      </c>
      <c r="DG108" s="59">
        <v>45364.170304206898</v>
      </c>
      <c r="DH108" s="117">
        <v>9550.4279999999999</v>
      </c>
      <c r="DI108" s="117">
        <v>61135.411</v>
      </c>
      <c r="DJ108" s="55">
        <v>9421</v>
      </c>
      <c r="DK108" s="114">
        <v>70556.410999999993</v>
      </c>
      <c r="DL108" s="43"/>
      <c r="DM108" s="117">
        <v>991.70399999999995</v>
      </c>
      <c r="DN108" s="55">
        <v>10571.615847326309</v>
      </c>
      <c r="DO108" s="55">
        <v>11563.319847326309</v>
      </c>
      <c r="DP108" s="59">
        <v>1647.409224874164</v>
      </c>
      <c r="DQ108" s="59">
        <v>2940.7984763901732</v>
      </c>
      <c r="DR108" s="59">
        <v>420.33714560999999</v>
      </c>
      <c r="DS108" s="55">
        <v>3361.135622000173</v>
      </c>
      <c r="DT108" s="55">
        <v>163.37769313278741</v>
      </c>
      <c r="DU108" s="55">
        <v>163.37769313278741</v>
      </c>
      <c r="DW108" s="121">
        <v>0</v>
      </c>
      <c r="DX108" s="122">
        <v>6779.6610170000004</v>
      </c>
      <c r="DY108" s="128">
        <v>1447.7400829999999</v>
      </c>
      <c r="DZ108" s="128">
        <v>0</v>
      </c>
      <c r="EA108" s="121">
        <v>0</v>
      </c>
      <c r="EB108" s="122">
        <v>242.45730687</v>
      </c>
      <c r="EC108" s="121">
        <v>0</v>
      </c>
      <c r="ED108" s="122">
        <v>1271.1864410000001</v>
      </c>
      <c r="EE108" s="121">
        <v>0</v>
      </c>
      <c r="EF108" s="122">
        <v>847.5</v>
      </c>
      <c r="EG108" s="121">
        <v>0</v>
      </c>
      <c r="EH108" s="122">
        <v>7397.5988710000001</v>
      </c>
      <c r="EI108" s="121">
        <v>0</v>
      </c>
      <c r="EJ108" s="122">
        <v>6779.6610170000004</v>
      </c>
      <c r="EK108" s="129">
        <v>242.45730687</v>
      </c>
      <c r="EL108" s="130">
        <v>847.5</v>
      </c>
      <c r="EM108" s="131">
        <v>735.83500000000004</v>
      </c>
      <c r="EN108" s="129">
        <v>420.33714560999999</v>
      </c>
      <c r="EO108" s="129">
        <v>10964.025395000001</v>
      </c>
      <c r="EP108" s="129">
        <v>0</v>
      </c>
      <c r="ER108" s="157">
        <v>0</v>
      </c>
      <c r="ES108" s="37">
        <v>0</v>
      </c>
      <c r="ET108" s="55">
        <f t="shared" si="10"/>
        <v>0</v>
      </c>
      <c r="EU108" s="157">
        <v>0</v>
      </c>
      <c r="EV108" s="37">
        <v>0</v>
      </c>
      <c r="EW108" s="55">
        <f t="shared" si="17"/>
        <v>0</v>
      </c>
      <c r="EY108" s="166">
        <v>0</v>
      </c>
      <c r="EZ108" s="37">
        <v>0</v>
      </c>
      <c r="FA108" s="164">
        <f t="shared" si="11"/>
        <v>0</v>
      </c>
      <c r="FB108" s="5">
        <v>2696.8141957799999</v>
      </c>
      <c r="FC108" s="164">
        <f t="shared" si="12"/>
        <v>0.5846117918447864</v>
      </c>
      <c r="FE108" s="5"/>
      <c r="FF108" s="166">
        <v>2897.4</v>
      </c>
      <c r="FG108" s="37">
        <v>347.33565793999998</v>
      </c>
      <c r="FH108" s="164">
        <f t="shared" si="13"/>
        <v>0.24358505774374567</v>
      </c>
      <c r="FI108" s="5">
        <v>0</v>
      </c>
      <c r="FJ108" s="164">
        <f t="shared" si="14"/>
        <v>0</v>
      </c>
      <c r="FL108" s="169">
        <v>7873</v>
      </c>
      <c r="FM108" s="170">
        <f t="shared" si="15"/>
        <v>0.68245451314546257</v>
      </c>
      <c r="FN108" s="169">
        <v>2591</v>
      </c>
      <c r="FO108" s="170">
        <f t="shared" si="16"/>
        <v>0.82634348588741824</v>
      </c>
    </row>
    <row r="109" spans="16:171" x14ac:dyDescent="0.35">
      <c r="P109" s="64">
        <v>107</v>
      </c>
      <c r="Q109" s="109">
        <v>15521</v>
      </c>
      <c r="R109" s="110">
        <v>0.187</v>
      </c>
      <c r="S109" s="111">
        <v>240.25</v>
      </c>
      <c r="T109" s="110">
        <v>0.05</v>
      </c>
      <c r="U109" s="111">
        <v>5880</v>
      </c>
      <c r="V109" s="110">
        <v>0.19600000000000001</v>
      </c>
      <c r="W109" s="111">
        <v>2803.7489999999998</v>
      </c>
      <c r="X109" s="110">
        <v>0.19499999999999998</v>
      </c>
      <c r="Y109" s="111">
        <v>1207.4875</v>
      </c>
      <c r="Z109" s="110">
        <v>0.125</v>
      </c>
      <c r="AA109" s="111">
        <v>6581.76</v>
      </c>
      <c r="AB109" s="110">
        <v>0.128</v>
      </c>
      <c r="AC109" s="111">
        <v>5234.2503999999999</v>
      </c>
      <c r="AD109" s="110">
        <v>0.11299999999999999</v>
      </c>
      <c r="AF109" s="64">
        <v>107</v>
      </c>
      <c r="AG109" s="109">
        <v>54823.876799999998</v>
      </c>
      <c r="AH109" s="111">
        <v>2079.1999999999998</v>
      </c>
      <c r="AI109" s="109">
        <v>452</v>
      </c>
      <c r="AJ109" s="59">
        <v>0.61599999999999999</v>
      </c>
      <c r="AK109" s="59">
        <v>0.90399999999999991</v>
      </c>
      <c r="AL109" s="59">
        <v>0.90400000000000003</v>
      </c>
      <c r="AM109" s="110">
        <v>281.01</v>
      </c>
      <c r="AN109" s="111">
        <v>4249.9139999999998</v>
      </c>
      <c r="AO109" s="59">
        <v>0.435</v>
      </c>
      <c r="AP109" s="55">
        <v>0.36499999999999999</v>
      </c>
      <c r="AQ109" s="109">
        <v>38400.6</v>
      </c>
      <c r="AR109" s="111">
        <v>22676.85</v>
      </c>
      <c r="AS109" s="59">
        <v>0.86099999999999999</v>
      </c>
      <c r="AT109" s="55">
        <v>0.96599999999999997</v>
      </c>
      <c r="AU109" s="43"/>
      <c r="AV109" s="109">
        <v>1014.616</v>
      </c>
      <c r="AW109" s="110">
        <v>0.41200003248519895</v>
      </c>
      <c r="AX109" s="109">
        <v>876.93899999999996</v>
      </c>
      <c r="AY109" s="110">
        <v>0.54569943995021775</v>
      </c>
      <c r="AZ109" s="109">
        <v>1121.4780000000001</v>
      </c>
      <c r="BA109" s="110">
        <v>0.5784392407674851</v>
      </c>
      <c r="BB109" s="43"/>
      <c r="BC109" s="112">
        <v>53641.616999999998</v>
      </c>
      <c r="BD109" s="110">
        <v>0.77049180327868849</v>
      </c>
      <c r="BE109" s="43"/>
      <c r="BF109" s="157">
        <v>30666.416000000001</v>
      </c>
      <c r="BG109" s="43">
        <v>0</v>
      </c>
      <c r="BH109" s="113">
        <v>0</v>
      </c>
      <c r="BI109" s="114">
        <v>0.94068760736196322</v>
      </c>
      <c r="BJ109" s="115">
        <v>0</v>
      </c>
      <c r="BK109" s="113">
        <v>0</v>
      </c>
      <c r="BL109" s="113">
        <v>0</v>
      </c>
      <c r="BM109" s="113">
        <v>0</v>
      </c>
      <c r="BN109" s="113">
        <v>5940.4679999999998</v>
      </c>
      <c r="BO109" s="114">
        <v>0.44075293070188454</v>
      </c>
      <c r="BP109" s="115">
        <v>0</v>
      </c>
      <c r="BQ109" s="43">
        <v>7668</v>
      </c>
      <c r="BR109" s="43">
        <v>0</v>
      </c>
      <c r="BS109" s="43"/>
      <c r="BT109" s="116">
        <v>-700</v>
      </c>
      <c r="BU109" s="43">
        <v>0</v>
      </c>
      <c r="BV109" s="43">
        <v>4485</v>
      </c>
      <c r="BW109" s="43">
        <v>4485</v>
      </c>
      <c r="BX109" s="43">
        <v>0</v>
      </c>
      <c r="BY109" s="43">
        <v>0</v>
      </c>
      <c r="BZ109" s="43">
        <v>1527.74461595</v>
      </c>
      <c r="CA109" s="43">
        <v>1527.74461595</v>
      </c>
      <c r="CB109" s="43">
        <v>-5300</v>
      </c>
      <c r="CC109" s="43">
        <v>0</v>
      </c>
      <c r="CD109" s="43">
        <v>-4000</v>
      </c>
      <c r="CE109" s="43">
        <v>0</v>
      </c>
      <c r="CF109" s="43">
        <v>4800</v>
      </c>
      <c r="CG109" s="43">
        <v>4800</v>
      </c>
      <c r="CH109" s="43">
        <v>11958.31803538</v>
      </c>
      <c r="CI109" s="43">
        <v>11958.31803538</v>
      </c>
      <c r="CJ109" s="114">
        <v>22771.062651330001</v>
      </c>
      <c r="CK109" s="43"/>
      <c r="CL109" s="116">
        <v>-700</v>
      </c>
      <c r="CM109" s="43">
        <v>700</v>
      </c>
      <c r="CN109" s="43">
        <v>4485</v>
      </c>
      <c r="CO109" s="43">
        <v>0</v>
      </c>
      <c r="CP109" s="43">
        <v>0</v>
      </c>
      <c r="CQ109" s="43">
        <v>0</v>
      </c>
      <c r="CR109" s="43">
        <v>1527.74461595</v>
      </c>
      <c r="CS109" s="43">
        <v>0</v>
      </c>
      <c r="CT109" s="43">
        <v>-5300</v>
      </c>
      <c r="CU109" s="43">
        <v>5300</v>
      </c>
      <c r="CV109" s="43">
        <v>-4000</v>
      </c>
      <c r="CW109" s="43">
        <v>4000</v>
      </c>
      <c r="CX109" s="43">
        <v>4800</v>
      </c>
      <c r="CY109" s="43">
        <v>0</v>
      </c>
      <c r="CZ109" s="43">
        <v>11958.31803538</v>
      </c>
      <c r="DA109" s="43">
        <v>0</v>
      </c>
      <c r="DB109" s="114">
        <v>10000</v>
      </c>
      <c r="DC109" s="43"/>
      <c r="DD109" s="117">
        <v>41398.158000000003</v>
      </c>
      <c r="DE109" s="55">
        <v>1573.1769999999999</v>
      </c>
      <c r="DF109" s="59">
        <v>1946.6902273772</v>
      </c>
      <c r="DG109" s="59">
        <v>44918.025227377206</v>
      </c>
      <c r="DH109" s="117">
        <v>10680.032999999999</v>
      </c>
      <c r="DI109" s="117">
        <v>61012.411</v>
      </c>
      <c r="DJ109" s="55">
        <v>8985</v>
      </c>
      <c r="DK109" s="114">
        <v>69997.410999999993</v>
      </c>
      <c r="DL109" s="43"/>
      <c r="DM109" s="117">
        <v>915.822</v>
      </c>
      <c r="DN109" s="55">
        <v>10571.615847326309</v>
      </c>
      <c r="DO109" s="55">
        <v>11487.43784732631</v>
      </c>
      <c r="DP109" s="59">
        <v>1698.965265125164</v>
      </c>
      <c r="DQ109" s="59">
        <v>2940.7984763901732</v>
      </c>
      <c r="DR109" s="59">
        <v>420.33714560999999</v>
      </c>
      <c r="DS109" s="55">
        <v>3361.135622000173</v>
      </c>
      <c r="DT109" s="55">
        <v>163.37769313278741</v>
      </c>
      <c r="DU109" s="55">
        <v>163.37769313278741</v>
      </c>
      <c r="DW109" s="121">
        <v>0</v>
      </c>
      <c r="DX109" s="122">
        <v>6779.6610170000004</v>
      </c>
      <c r="DY109" s="128">
        <v>1447.7400829999999</v>
      </c>
      <c r="DZ109" s="128">
        <v>0</v>
      </c>
      <c r="EA109" s="121">
        <v>0</v>
      </c>
      <c r="EB109" s="122">
        <v>242.45730687</v>
      </c>
      <c r="EC109" s="121">
        <v>0</v>
      </c>
      <c r="ED109" s="122">
        <v>1271.1864410000001</v>
      </c>
      <c r="EE109" s="121">
        <v>0</v>
      </c>
      <c r="EF109" s="122">
        <v>847.5</v>
      </c>
      <c r="EG109" s="121">
        <v>0</v>
      </c>
      <c r="EH109" s="122">
        <v>7397.5988710000001</v>
      </c>
      <c r="EI109" s="121">
        <v>0</v>
      </c>
      <c r="EJ109" s="122">
        <v>6779.6610170000004</v>
      </c>
      <c r="EK109" s="129">
        <v>242.45730687</v>
      </c>
      <c r="EL109" s="130">
        <v>847.5</v>
      </c>
      <c r="EM109" s="131">
        <v>735.83500000000004</v>
      </c>
      <c r="EN109" s="129">
        <v>420.33714560999999</v>
      </c>
      <c r="EO109" s="129">
        <v>10964.025395000001</v>
      </c>
      <c r="EP109" s="129">
        <v>0</v>
      </c>
      <c r="ER109" s="157">
        <v>0</v>
      </c>
      <c r="ES109" s="37">
        <v>0</v>
      </c>
      <c r="ET109" s="55">
        <f t="shared" si="10"/>
        <v>0</v>
      </c>
      <c r="EU109" s="157">
        <v>0</v>
      </c>
      <c r="EV109" s="37">
        <v>0</v>
      </c>
      <c r="EW109" s="55">
        <f t="shared" si="17"/>
        <v>0</v>
      </c>
      <c r="EY109" s="166">
        <v>0</v>
      </c>
      <c r="EZ109" s="37">
        <v>0</v>
      </c>
      <c r="FA109" s="164">
        <f t="shared" si="11"/>
        <v>0</v>
      </c>
      <c r="FB109" s="5">
        <v>0</v>
      </c>
      <c r="FC109" s="164">
        <f t="shared" si="12"/>
        <v>0</v>
      </c>
      <c r="FE109" s="5"/>
      <c r="FF109" s="166">
        <v>2897.4</v>
      </c>
      <c r="FG109" s="37">
        <v>10423.35</v>
      </c>
      <c r="FH109" s="164">
        <f t="shared" si="13"/>
        <v>1</v>
      </c>
      <c r="FI109" s="5">
        <v>3837</v>
      </c>
      <c r="FJ109" s="164">
        <f t="shared" si="14"/>
        <v>1</v>
      </c>
      <c r="FL109" s="169">
        <v>7873</v>
      </c>
      <c r="FM109" s="170">
        <f t="shared" si="15"/>
        <v>0.68245451314546257</v>
      </c>
      <c r="FN109" s="169">
        <v>2591</v>
      </c>
      <c r="FO109" s="170">
        <f t="shared" si="16"/>
        <v>0.82634348588741824</v>
      </c>
    </row>
    <row r="110" spans="16:171" x14ac:dyDescent="0.35">
      <c r="P110" s="64">
        <v>108</v>
      </c>
      <c r="Q110" s="109">
        <v>22576</v>
      </c>
      <c r="R110" s="110">
        <v>0.27200000000000002</v>
      </c>
      <c r="S110" s="111">
        <v>446.86500000000001</v>
      </c>
      <c r="T110" s="110">
        <v>9.2999999999999999E-2</v>
      </c>
      <c r="U110" s="111">
        <v>9390</v>
      </c>
      <c r="V110" s="110">
        <v>0.313</v>
      </c>
      <c r="W110" s="111">
        <v>4989.2353999999996</v>
      </c>
      <c r="X110" s="110">
        <v>0.34699999999999998</v>
      </c>
      <c r="Y110" s="111">
        <v>2202.4571999999998</v>
      </c>
      <c r="Z110" s="110">
        <v>0.22799999999999998</v>
      </c>
      <c r="AA110" s="111">
        <v>11106.72</v>
      </c>
      <c r="AB110" s="110">
        <v>0.216</v>
      </c>
      <c r="AC110" s="111">
        <v>8523.0272000000004</v>
      </c>
      <c r="AD110" s="110">
        <v>0.184</v>
      </c>
      <c r="AF110" s="64">
        <v>108</v>
      </c>
      <c r="AG110" s="109">
        <v>57315.871200000001</v>
      </c>
      <c r="AH110" s="111">
        <v>2060.8000000000002</v>
      </c>
      <c r="AI110" s="109">
        <v>448</v>
      </c>
      <c r="AJ110" s="59">
        <v>0.64400000000000002</v>
      </c>
      <c r="AK110" s="59">
        <v>0.89600000000000013</v>
      </c>
      <c r="AL110" s="59">
        <v>0.89600000000000002</v>
      </c>
      <c r="AM110" s="110">
        <v>258.39999999999998</v>
      </c>
      <c r="AN110" s="111">
        <v>5810.1563999999998</v>
      </c>
      <c r="AO110" s="59">
        <v>0.39999999999999997</v>
      </c>
      <c r="AP110" s="55">
        <v>0.499</v>
      </c>
      <c r="AQ110" s="109">
        <v>38534.400000000001</v>
      </c>
      <c r="AR110" s="111">
        <v>22723.8</v>
      </c>
      <c r="AS110" s="59">
        <v>0.86399999999999999</v>
      </c>
      <c r="AT110" s="55">
        <v>0.96799999999999997</v>
      </c>
      <c r="AU110" s="43"/>
      <c r="AV110" s="109">
        <v>994.91499999999996</v>
      </c>
      <c r="AW110" s="110">
        <v>0.40400014618339519</v>
      </c>
      <c r="AX110" s="109">
        <v>893.80100000000004</v>
      </c>
      <c r="AY110" s="110">
        <v>0.55619228375855634</v>
      </c>
      <c r="AZ110" s="109">
        <v>1121.4780000000001</v>
      </c>
      <c r="BA110" s="110">
        <v>0.5784392407674851</v>
      </c>
      <c r="BB110" s="43"/>
      <c r="BC110" s="112">
        <v>53641.616999999998</v>
      </c>
      <c r="BD110" s="110">
        <v>0.77049180327868849</v>
      </c>
      <c r="BE110" s="43"/>
      <c r="BF110" s="157">
        <v>32600</v>
      </c>
      <c r="BG110" s="43">
        <v>933.21400000000006</v>
      </c>
      <c r="BH110" s="113">
        <v>2055.2399999999998</v>
      </c>
      <c r="BI110" s="114">
        <v>1</v>
      </c>
      <c r="BJ110" s="115">
        <v>7.8644188582640689E-2</v>
      </c>
      <c r="BK110" s="113">
        <v>0</v>
      </c>
      <c r="BL110" s="113">
        <v>0</v>
      </c>
      <c r="BM110" s="113">
        <v>0</v>
      </c>
      <c r="BN110" s="113">
        <v>7222.4449999999997</v>
      </c>
      <c r="BO110" s="114">
        <v>0.53586919424246915</v>
      </c>
      <c r="BP110" s="115">
        <v>0</v>
      </c>
      <c r="BQ110" s="43">
        <v>7668</v>
      </c>
      <c r="BR110" s="43">
        <v>0</v>
      </c>
      <c r="BS110" s="43"/>
      <c r="BT110" s="116">
        <v>-700</v>
      </c>
      <c r="BU110" s="43">
        <v>0</v>
      </c>
      <c r="BV110" s="43">
        <v>4485</v>
      </c>
      <c r="BW110" s="43">
        <v>4485</v>
      </c>
      <c r="BX110" s="43">
        <v>0</v>
      </c>
      <c r="BY110" s="43">
        <v>0</v>
      </c>
      <c r="BZ110" s="43">
        <v>5000</v>
      </c>
      <c r="CA110" s="43">
        <v>5000</v>
      </c>
      <c r="CB110" s="43">
        <v>-5300</v>
      </c>
      <c r="CC110" s="43">
        <v>0</v>
      </c>
      <c r="CD110" s="43">
        <v>-4000</v>
      </c>
      <c r="CE110" s="43">
        <v>0</v>
      </c>
      <c r="CF110" s="43">
        <v>4800</v>
      </c>
      <c r="CG110" s="43">
        <v>4800</v>
      </c>
      <c r="CH110" s="43">
        <v>10604.15617686</v>
      </c>
      <c r="CI110" s="43">
        <v>10604.15617686</v>
      </c>
      <c r="CJ110" s="114">
        <v>24889.15617686</v>
      </c>
      <c r="CK110" s="43"/>
      <c r="CL110" s="116">
        <v>-700</v>
      </c>
      <c r="CM110" s="43">
        <v>700</v>
      </c>
      <c r="CN110" s="43">
        <v>4485</v>
      </c>
      <c r="CO110" s="43">
        <v>0</v>
      </c>
      <c r="CP110" s="43">
        <v>0</v>
      </c>
      <c r="CQ110" s="43">
        <v>0</v>
      </c>
      <c r="CR110" s="43">
        <v>5000</v>
      </c>
      <c r="CS110" s="43">
        <v>0</v>
      </c>
      <c r="CT110" s="43">
        <v>-5300</v>
      </c>
      <c r="CU110" s="43">
        <v>5300</v>
      </c>
      <c r="CV110" s="43">
        <v>-4000</v>
      </c>
      <c r="CW110" s="43">
        <v>4000</v>
      </c>
      <c r="CX110" s="43">
        <v>4800</v>
      </c>
      <c r="CY110" s="43">
        <v>0</v>
      </c>
      <c r="CZ110" s="43">
        <v>10604.15617686</v>
      </c>
      <c r="DA110" s="43">
        <v>0</v>
      </c>
      <c r="DB110" s="114">
        <v>10000</v>
      </c>
      <c r="DC110" s="43"/>
      <c r="DD110" s="117">
        <v>41961.063999999998</v>
      </c>
      <c r="DE110" s="55">
        <v>1574.7</v>
      </c>
      <c r="DF110" s="59">
        <v>2533.1995659692998</v>
      </c>
      <c r="DG110" s="59">
        <v>46068.963565969294</v>
      </c>
      <c r="DH110" s="117">
        <v>12047.626</v>
      </c>
      <c r="DI110" s="117">
        <v>62619.411</v>
      </c>
      <c r="DJ110" s="55">
        <v>8742</v>
      </c>
      <c r="DK110" s="114">
        <v>71361.410999999993</v>
      </c>
      <c r="DL110" s="43"/>
      <c r="DM110" s="117">
        <v>875.11199999999997</v>
      </c>
      <c r="DN110" s="55">
        <v>10555.905846475949</v>
      </c>
      <c r="DO110" s="55">
        <v>11431.017846475948</v>
      </c>
      <c r="DP110" s="59">
        <v>1698.965265125164</v>
      </c>
      <c r="DQ110" s="59">
        <v>2932.5206019649299</v>
      </c>
      <c r="DR110" s="59">
        <v>428.61502003999999</v>
      </c>
      <c r="DS110" s="55">
        <v>3361.1356220049302</v>
      </c>
      <c r="DT110" s="55">
        <v>162.9178112202739</v>
      </c>
      <c r="DU110" s="55">
        <v>162.9178112202739</v>
      </c>
      <c r="DW110" s="121">
        <v>0</v>
      </c>
      <c r="DX110" s="122">
        <v>6779.6610170000004</v>
      </c>
      <c r="DY110" s="128">
        <v>1447.7400829999999</v>
      </c>
      <c r="DZ110" s="128">
        <v>0</v>
      </c>
      <c r="EA110" s="121">
        <v>0</v>
      </c>
      <c r="EB110" s="122">
        <v>242.91718878</v>
      </c>
      <c r="EC110" s="121">
        <v>0</v>
      </c>
      <c r="ED110" s="122">
        <v>1271.1864410000001</v>
      </c>
      <c r="EE110" s="121">
        <v>0</v>
      </c>
      <c r="EF110" s="122">
        <v>847.5</v>
      </c>
      <c r="EG110" s="121">
        <v>0</v>
      </c>
      <c r="EH110" s="122">
        <v>7397.5988710000001</v>
      </c>
      <c r="EI110" s="121">
        <v>0</v>
      </c>
      <c r="EJ110" s="122">
        <v>6779.6610170000004</v>
      </c>
      <c r="EK110" s="129">
        <v>242.91718878</v>
      </c>
      <c r="EL110" s="130">
        <v>847.5</v>
      </c>
      <c r="EM110" s="131">
        <v>735.83500000000004</v>
      </c>
      <c r="EN110" s="129">
        <v>428.61502003999999</v>
      </c>
      <c r="EO110" s="129">
        <v>10964.025395000001</v>
      </c>
      <c r="EP110" s="129">
        <v>0</v>
      </c>
      <c r="ER110" s="157">
        <v>0</v>
      </c>
      <c r="ES110" s="37">
        <v>0</v>
      </c>
      <c r="ET110" s="55">
        <f t="shared" si="10"/>
        <v>0</v>
      </c>
      <c r="EU110" s="157">
        <v>0</v>
      </c>
      <c r="EV110" s="37">
        <v>0</v>
      </c>
      <c r="EW110" s="55">
        <f t="shared" si="17"/>
        <v>0</v>
      </c>
      <c r="EY110" s="166">
        <v>0</v>
      </c>
      <c r="EZ110" s="37">
        <v>0</v>
      </c>
      <c r="FA110" s="164">
        <f t="shared" si="11"/>
        <v>0</v>
      </c>
      <c r="FB110" s="5">
        <v>0</v>
      </c>
      <c r="FC110" s="164">
        <f t="shared" si="12"/>
        <v>0</v>
      </c>
      <c r="FE110" s="5"/>
      <c r="FF110" s="166">
        <v>2897.4</v>
      </c>
      <c r="FG110" s="37">
        <v>10423.35</v>
      </c>
      <c r="FH110" s="164">
        <f t="shared" si="13"/>
        <v>1</v>
      </c>
      <c r="FI110" s="5">
        <v>3837</v>
      </c>
      <c r="FJ110" s="164">
        <f t="shared" si="14"/>
        <v>1</v>
      </c>
      <c r="FL110" s="169">
        <v>7873</v>
      </c>
      <c r="FM110" s="170">
        <f t="shared" si="15"/>
        <v>0.68245451314546257</v>
      </c>
      <c r="FN110" s="169">
        <v>2591</v>
      </c>
      <c r="FO110" s="170">
        <f t="shared" si="16"/>
        <v>0.82634348588741824</v>
      </c>
    </row>
    <row r="111" spans="16:171" x14ac:dyDescent="0.35">
      <c r="P111" s="64">
        <v>109</v>
      </c>
      <c r="Q111" s="109">
        <v>26726</v>
      </c>
      <c r="R111" s="110">
        <v>0.32200000000000001</v>
      </c>
      <c r="S111" s="111">
        <v>677.505</v>
      </c>
      <c r="T111" s="110">
        <v>0.14099999999999999</v>
      </c>
      <c r="U111" s="111">
        <v>12180</v>
      </c>
      <c r="V111" s="110">
        <v>0.40600000000000003</v>
      </c>
      <c r="W111" s="111">
        <v>6513.3245999999999</v>
      </c>
      <c r="X111" s="110">
        <v>0.45299999999999996</v>
      </c>
      <c r="Y111" s="111">
        <v>2849.6705000000002</v>
      </c>
      <c r="Z111" s="110">
        <v>0.29500000000000004</v>
      </c>
      <c r="AA111" s="111">
        <v>12597.9</v>
      </c>
      <c r="AB111" s="110">
        <v>0.245</v>
      </c>
      <c r="AC111" s="111">
        <v>9727.3680000000004</v>
      </c>
      <c r="AD111" s="110">
        <v>0.21</v>
      </c>
      <c r="AF111" s="64">
        <v>109</v>
      </c>
      <c r="AG111" s="109">
        <v>59629.866000000002</v>
      </c>
      <c r="AH111" s="111">
        <v>2024</v>
      </c>
      <c r="AI111" s="109">
        <v>440</v>
      </c>
      <c r="AJ111" s="59">
        <v>0.67</v>
      </c>
      <c r="AK111" s="59">
        <v>0.88</v>
      </c>
      <c r="AL111" s="59">
        <v>0.88</v>
      </c>
      <c r="AM111" s="110">
        <v>242.25</v>
      </c>
      <c r="AN111" s="111">
        <v>6671.7828</v>
      </c>
      <c r="AO111" s="59">
        <v>0.375</v>
      </c>
      <c r="AP111" s="55">
        <v>0.57299999999999995</v>
      </c>
      <c r="AQ111" s="109">
        <v>38891.199999999997</v>
      </c>
      <c r="AR111" s="111">
        <v>22653.375</v>
      </c>
      <c r="AS111" s="59">
        <v>0.87199999999999989</v>
      </c>
      <c r="AT111" s="55">
        <v>0.96499999999999997</v>
      </c>
      <c r="AU111" s="43"/>
      <c r="AV111" s="109">
        <v>982.601</v>
      </c>
      <c r="AW111" s="110">
        <v>0.39899986193790454</v>
      </c>
      <c r="AX111" s="109">
        <v>896.48599999999999</v>
      </c>
      <c r="AY111" s="110">
        <v>0.55786309894212815</v>
      </c>
      <c r="AZ111" s="109">
        <v>1121.4780000000001</v>
      </c>
      <c r="BA111" s="110">
        <v>0.5784392407674851</v>
      </c>
      <c r="BB111" s="43"/>
      <c r="BC111" s="112">
        <v>53641.616999999998</v>
      </c>
      <c r="BD111" s="110">
        <v>0.77049180327868849</v>
      </c>
      <c r="BE111" s="43"/>
      <c r="BF111" s="157">
        <v>32600</v>
      </c>
      <c r="BG111" s="43">
        <v>2362.9430000000002</v>
      </c>
      <c r="BH111" s="113">
        <v>4349.5309999999999</v>
      </c>
      <c r="BI111" s="114">
        <v>1</v>
      </c>
      <c r="BJ111" s="115">
        <v>0.17664554017296988</v>
      </c>
      <c r="BK111" s="113">
        <v>0</v>
      </c>
      <c r="BL111" s="113">
        <v>0</v>
      </c>
      <c r="BM111" s="113">
        <v>0</v>
      </c>
      <c r="BN111" s="113">
        <v>8091.558</v>
      </c>
      <c r="BO111" s="114">
        <v>0.60035301973586586</v>
      </c>
      <c r="BP111" s="115">
        <v>0</v>
      </c>
      <c r="BQ111" s="43">
        <v>7668</v>
      </c>
      <c r="BR111" s="43">
        <v>0</v>
      </c>
      <c r="BS111" s="43"/>
      <c r="BT111" s="116">
        <v>-700</v>
      </c>
      <c r="BU111" s="43">
        <v>0</v>
      </c>
      <c r="BV111" s="43">
        <v>4485</v>
      </c>
      <c r="BW111" s="43">
        <v>4485</v>
      </c>
      <c r="BX111" s="43">
        <v>0</v>
      </c>
      <c r="BY111" s="43">
        <v>0</v>
      </c>
      <c r="BZ111" s="43">
        <v>5000</v>
      </c>
      <c r="CA111" s="43">
        <v>5000</v>
      </c>
      <c r="CB111" s="43">
        <v>-5300</v>
      </c>
      <c r="CC111" s="43">
        <v>0</v>
      </c>
      <c r="CD111" s="43">
        <v>-4000</v>
      </c>
      <c r="CE111" s="43">
        <v>0</v>
      </c>
      <c r="CF111" s="43">
        <v>4800</v>
      </c>
      <c r="CG111" s="43">
        <v>4800</v>
      </c>
      <c r="CH111" s="43">
        <v>10552.88351562</v>
      </c>
      <c r="CI111" s="43">
        <v>10552.88351562</v>
      </c>
      <c r="CJ111" s="114">
        <v>24837.88351562</v>
      </c>
      <c r="CK111" s="43"/>
      <c r="CL111" s="116">
        <v>-700</v>
      </c>
      <c r="CM111" s="43">
        <v>700</v>
      </c>
      <c r="CN111" s="43">
        <v>4485</v>
      </c>
      <c r="CO111" s="43">
        <v>0</v>
      </c>
      <c r="CP111" s="43">
        <v>0</v>
      </c>
      <c r="CQ111" s="43">
        <v>0</v>
      </c>
      <c r="CR111" s="43">
        <v>5000</v>
      </c>
      <c r="CS111" s="43">
        <v>0</v>
      </c>
      <c r="CT111" s="43">
        <v>-5300</v>
      </c>
      <c r="CU111" s="43">
        <v>5300</v>
      </c>
      <c r="CV111" s="43">
        <v>-4000</v>
      </c>
      <c r="CW111" s="43">
        <v>4000</v>
      </c>
      <c r="CX111" s="43">
        <v>4800</v>
      </c>
      <c r="CY111" s="43">
        <v>0</v>
      </c>
      <c r="CZ111" s="43">
        <v>10552.88351562</v>
      </c>
      <c r="DA111" s="43">
        <v>0</v>
      </c>
      <c r="DB111" s="114">
        <v>10000</v>
      </c>
      <c r="DC111" s="43"/>
      <c r="DD111" s="117">
        <v>42480.237999999998</v>
      </c>
      <c r="DE111" s="55">
        <v>1575.827</v>
      </c>
      <c r="DF111" s="59">
        <v>2828.8714661115</v>
      </c>
      <c r="DG111" s="59">
        <v>46884.936466111496</v>
      </c>
      <c r="DH111" s="117">
        <v>13127.918</v>
      </c>
      <c r="DI111" s="117">
        <v>63534.411</v>
      </c>
      <c r="DJ111" s="55">
        <v>8251</v>
      </c>
      <c r="DK111" s="114">
        <v>71785.410999999993</v>
      </c>
      <c r="DL111" s="43"/>
      <c r="DM111" s="117">
        <v>844.00800000000004</v>
      </c>
      <c r="DN111" s="55">
        <v>10540.1958456256</v>
      </c>
      <c r="DO111" s="55">
        <v>11384.2038456256</v>
      </c>
      <c r="DP111" s="59">
        <v>1647.409224874164</v>
      </c>
      <c r="DQ111" s="59">
        <v>2924.2427275396881</v>
      </c>
      <c r="DR111" s="59">
        <v>436.89289445999998</v>
      </c>
      <c r="DS111" s="55">
        <v>3361.1356219996878</v>
      </c>
      <c r="DT111" s="55">
        <v>162.45792930776039</v>
      </c>
      <c r="DU111" s="55">
        <v>162.45792930776039</v>
      </c>
      <c r="DW111" s="121">
        <v>0</v>
      </c>
      <c r="DX111" s="122">
        <v>6779.6610170000004</v>
      </c>
      <c r="DY111" s="128">
        <v>1447.7400829999999</v>
      </c>
      <c r="DZ111" s="128">
        <v>0</v>
      </c>
      <c r="EA111" s="121">
        <v>0</v>
      </c>
      <c r="EB111" s="122">
        <v>243.37707069000001</v>
      </c>
      <c r="EC111" s="121">
        <v>0</v>
      </c>
      <c r="ED111" s="122">
        <v>1271.1864410000001</v>
      </c>
      <c r="EE111" s="121">
        <v>0</v>
      </c>
      <c r="EF111" s="122">
        <v>847.5</v>
      </c>
      <c r="EG111" s="121">
        <v>0</v>
      </c>
      <c r="EH111" s="122">
        <v>7397.5988710000001</v>
      </c>
      <c r="EI111" s="121">
        <v>0</v>
      </c>
      <c r="EJ111" s="122">
        <v>6779.6610170000004</v>
      </c>
      <c r="EK111" s="129">
        <v>243.37707069000001</v>
      </c>
      <c r="EL111" s="130">
        <v>847.5</v>
      </c>
      <c r="EM111" s="131">
        <v>735.83500000000004</v>
      </c>
      <c r="EN111" s="129">
        <v>436.89289445999998</v>
      </c>
      <c r="EO111" s="129">
        <v>10964.025395000001</v>
      </c>
      <c r="EP111" s="129">
        <v>0</v>
      </c>
      <c r="ER111" s="157">
        <v>0</v>
      </c>
      <c r="ES111" s="37">
        <v>0</v>
      </c>
      <c r="ET111" s="55">
        <f t="shared" si="10"/>
        <v>0</v>
      </c>
      <c r="EU111" s="157">
        <v>0</v>
      </c>
      <c r="EV111" s="37">
        <v>0</v>
      </c>
      <c r="EW111" s="55">
        <f t="shared" si="17"/>
        <v>0</v>
      </c>
      <c r="EY111" s="166">
        <v>0</v>
      </c>
      <c r="EZ111" s="37">
        <v>0</v>
      </c>
      <c r="FA111" s="164">
        <f t="shared" si="11"/>
        <v>0</v>
      </c>
      <c r="FB111" s="5">
        <v>0</v>
      </c>
      <c r="FC111" s="164">
        <f t="shared" si="12"/>
        <v>0</v>
      </c>
      <c r="FE111" s="5"/>
      <c r="FF111" s="166">
        <v>2897.4</v>
      </c>
      <c r="FG111" s="37">
        <v>10423.35</v>
      </c>
      <c r="FH111" s="164">
        <f t="shared" si="13"/>
        <v>1</v>
      </c>
      <c r="FI111" s="5">
        <v>3837</v>
      </c>
      <c r="FJ111" s="164">
        <f t="shared" si="14"/>
        <v>1</v>
      </c>
      <c r="FL111" s="169">
        <v>7873</v>
      </c>
      <c r="FM111" s="170">
        <f t="shared" si="15"/>
        <v>0.68245451314546257</v>
      </c>
      <c r="FN111" s="169">
        <v>2591</v>
      </c>
      <c r="FO111" s="170">
        <f t="shared" si="16"/>
        <v>0.82634348588741824</v>
      </c>
    </row>
    <row r="112" spans="16:171" x14ac:dyDescent="0.35">
      <c r="P112" s="64">
        <v>110</v>
      </c>
      <c r="Q112" s="109">
        <v>28635</v>
      </c>
      <c r="R112" s="110">
        <v>0.34499999999999997</v>
      </c>
      <c r="S112" s="111">
        <v>855.29</v>
      </c>
      <c r="T112" s="110">
        <v>0.17799999999999999</v>
      </c>
      <c r="U112" s="111">
        <v>13470</v>
      </c>
      <c r="V112" s="110">
        <v>0.44900000000000001</v>
      </c>
      <c r="W112" s="111">
        <v>7160.3436000000002</v>
      </c>
      <c r="X112" s="110">
        <v>0.498</v>
      </c>
      <c r="Y112" s="111">
        <v>3071.8481999999999</v>
      </c>
      <c r="Z112" s="110">
        <v>0.318</v>
      </c>
      <c r="AA112" s="111">
        <v>12135.12</v>
      </c>
      <c r="AB112" s="110">
        <v>0.23600000000000002</v>
      </c>
      <c r="AC112" s="111">
        <v>9310.4807999999994</v>
      </c>
      <c r="AD112" s="110">
        <v>0.20099999999999998</v>
      </c>
      <c r="AF112" s="64">
        <v>110</v>
      </c>
      <c r="AG112" s="109">
        <v>61320.862200000003</v>
      </c>
      <c r="AH112" s="111">
        <v>1945.8</v>
      </c>
      <c r="AI112" s="109">
        <v>423</v>
      </c>
      <c r="AJ112" s="59">
        <v>0.68900000000000006</v>
      </c>
      <c r="AK112" s="59">
        <v>0.84599999999999997</v>
      </c>
      <c r="AL112" s="59">
        <v>0.84599999999999997</v>
      </c>
      <c r="AM112" s="110">
        <v>239.02</v>
      </c>
      <c r="AN112" s="111">
        <v>7149.1704</v>
      </c>
      <c r="AO112" s="59">
        <v>0.37</v>
      </c>
      <c r="AP112" s="55">
        <v>0.61399999999999999</v>
      </c>
      <c r="AQ112" s="109">
        <v>39114.199999999997</v>
      </c>
      <c r="AR112" s="111">
        <v>22653.375</v>
      </c>
      <c r="AS112" s="59">
        <v>0.87699999999999989</v>
      </c>
      <c r="AT112" s="55">
        <v>0.96499999999999997</v>
      </c>
      <c r="AU112" s="43"/>
      <c r="AV112" s="109">
        <v>953.04899999999998</v>
      </c>
      <c r="AW112" s="110">
        <v>0.38699982945270561</v>
      </c>
      <c r="AX112" s="109">
        <v>870.77300000000002</v>
      </c>
      <c r="AY112" s="110">
        <v>0.54186247666459242</v>
      </c>
      <c r="AZ112" s="109">
        <v>1121.4780000000001</v>
      </c>
      <c r="BA112" s="110">
        <v>0.5784392407674851</v>
      </c>
      <c r="BB112" s="43"/>
      <c r="BC112" s="112">
        <v>53641.616999999998</v>
      </c>
      <c r="BD112" s="110">
        <v>0.77049180327868849</v>
      </c>
      <c r="BE112" s="43"/>
      <c r="BF112" s="157">
        <v>32600</v>
      </c>
      <c r="BG112" s="43">
        <v>3169.377</v>
      </c>
      <c r="BH112" s="113">
        <v>5493.5069999999996</v>
      </c>
      <c r="BI112" s="114">
        <v>1</v>
      </c>
      <c r="BJ112" s="115">
        <v>0.22797255134780081</v>
      </c>
      <c r="BK112" s="113">
        <v>0</v>
      </c>
      <c r="BL112" s="113">
        <v>0</v>
      </c>
      <c r="BM112" s="113">
        <v>0</v>
      </c>
      <c r="BN112" s="113">
        <v>8460.2009999999991</v>
      </c>
      <c r="BO112" s="114">
        <v>0.62770448137705881</v>
      </c>
      <c r="BP112" s="115">
        <v>0</v>
      </c>
      <c r="BQ112" s="43">
        <v>7668</v>
      </c>
      <c r="BR112" s="43">
        <v>0</v>
      </c>
      <c r="BS112" s="43"/>
      <c r="BT112" s="116">
        <v>-700</v>
      </c>
      <c r="BU112" s="43">
        <v>0</v>
      </c>
      <c r="BV112" s="43">
        <v>4485</v>
      </c>
      <c r="BW112" s="43">
        <v>4485</v>
      </c>
      <c r="BX112" s="43">
        <v>0</v>
      </c>
      <c r="BY112" s="43">
        <v>0</v>
      </c>
      <c r="BZ112" s="43">
        <v>3555.9885735799999</v>
      </c>
      <c r="CA112" s="43">
        <v>3555.9885735799999</v>
      </c>
      <c r="CB112" s="43">
        <v>-5300</v>
      </c>
      <c r="CC112" s="43">
        <v>0</v>
      </c>
      <c r="CD112" s="43">
        <v>-4000</v>
      </c>
      <c r="CE112" s="43">
        <v>0</v>
      </c>
      <c r="CF112" s="43">
        <v>4800</v>
      </c>
      <c r="CG112" s="43">
        <v>4800</v>
      </c>
      <c r="CH112" s="43">
        <v>11484.922907530001</v>
      </c>
      <c r="CI112" s="43">
        <v>11484.922907530001</v>
      </c>
      <c r="CJ112" s="114">
        <v>24325.911481110001</v>
      </c>
      <c r="CK112" s="43"/>
      <c r="CL112" s="116">
        <v>-700</v>
      </c>
      <c r="CM112" s="43">
        <v>700</v>
      </c>
      <c r="CN112" s="43">
        <v>4485</v>
      </c>
      <c r="CO112" s="43">
        <v>0</v>
      </c>
      <c r="CP112" s="43">
        <v>0</v>
      </c>
      <c r="CQ112" s="43">
        <v>0</v>
      </c>
      <c r="CR112" s="43">
        <v>3555.9885735799999</v>
      </c>
      <c r="CS112" s="43">
        <v>0</v>
      </c>
      <c r="CT112" s="43">
        <v>-5300</v>
      </c>
      <c r="CU112" s="43">
        <v>5300</v>
      </c>
      <c r="CV112" s="43">
        <v>-4000</v>
      </c>
      <c r="CW112" s="43">
        <v>4000</v>
      </c>
      <c r="CX112" s="43">
        <v>4800</v>
      </c>
      <c r="CY112" s="43">
        <v>0</v>
      </c>
      <c r="CZ112" s="43">
        <v>11484.922907530001</v>
      </c>
      <c r="DA112" s="43">
        <v>0</v>
      </c>
      <c r="DB112" s="114">
        <v>10000</v>
      </c>
      <c r="DC112" s="43"/>
      <c r="DD112" s="117">
        <v>42468.608999999997</v>
      </c>
      <c r="DE112" s="55">
        <v>1577.1130000000001</v>
      </c>
      <c r="DF112" s="59">
        <v>2549.8728148682999</v>
      </c>
      <c r="DG112" s="59">
        <v>46595.594814868295</v>
      </c>
      <c r="DH112" s="117">
        <v>13274.036</v>
      </c>
      <c r="DI112" s="117">
        <v>61613.411</v>
      </c>
      <c r="DJ112" s="55">
        <v>8122</v>
      </c>
      <c r="DK112" s="114">
        <v>69735.410999999993</v>
      </c>
      <c r="DL112" s="43"/>
      <c r="DM112" s="117">
        <v>827.58900000000006</v>
      </c>
      <c r="DN112" s="55">
        <v>10540.1958456256</v>
      </c>
      <c r="DO112" s="55">
        <v>11367.7848456256</v>
      </c>
      <c r="DP112" s="59">
        <v>1673.187244999664</v>
      </c>
      <c r="DQ112" s="59">
        <v>2924.2427275396881</v>
      </c>
      <c r="DR112" s="59">
        <v>436.89289445999998</v>
      </c>
      <c r="DS112" s="55">
        <v>3361.1356219996878</v>
      </c>
      <c r="DT112" s="55">
        <v>162.45792930776039</v>
      </c>
      <c r="DU112" s="55">
        <v>162.45792930776039</v>
      </c>
      <c r="DW112" s="121">
        <v>0</v>
      </c>
      <c r="DX112" s="122">
        <v>6779.6610170000004</v>
      </c>
      <c r="DY112" s="128">
        <v>1447.7400829999999</v>
      </c>
      <c r="DZ112" s="128">
        <v>0</v>
      </c>
      <c r="EA112" s="121">
        <v>0</v>
      </c>
      <c r="EB112" s="122">
        <v>243.37707069000001</v>
      </c>
      <c r="EC112" s="121">
        <v>0</v>
      </c>
      <c r="ED112" s="122">
        <v>1271.1864410000001</v>
      </c>
      <c r="EE112" s="121">
        <v>0</v>
      </c>
      <c r="EF112" s="122">
        <v>847.5</v>
      </c>
      <c r="EG112" s="121">
        <v>0</v>
      </c>
      <c r="EH112" s="122">
        <v>7397.5988710000001</v>
      </c>
      <c r="EI112" s="121">
        <v>0</v>
      </c>
      <c r="EJ112" s="122">
        <v>6779.6610170000004</v>
      </c>
      <c r="EK112" s="129">
        <v>243.37707069000001</v>
      </c>
      <c r="EL112" s="130">
        <v>847.5</v>
      </c>
      <c r="EM112" s="131">
        <v>735.83500000000004</v>
      </c>
      <c r="EN112" s="129">
        <v>436.89289445999998</v>
      </c>
      <c r="EO112" s="129">
        <v>10964.025395000001</v>
      </c>
      <c r="EP112" s="129">
        <v>0</v>
      </c>
      <c r="ER112" s="157">
        <v>0</v>
      </c>
      <c r="ES112" s="37">
        <v>0</v>
      </c>
      <c r="ET112" s="55">
        <f t="shared" si="10"/>
        <v>0</v>
      </c>
      <c r="EU112" s="157">
        <v>0</v>
      </c>
      <c r="EV112" s="37">
        <v>0</v>
      </c>
      <c r="EW112" s="55">
        <f t="shared" si="17"/>
        <v>0</v>
      </c>
      <c r="EY112" s="166">
        <v>0</v>
      </c>
      <c r="EZ112" s="37">
        <v>0</v>
      </c>
      <c r="FA112" s="164">
        <f t="shared" si="11"/>
        <v>0</v>
      </c>
      <c r="FB112" s="5">
        <v>0</v>
      </c>
      <c r="FC112" s="164">
        <f t="shared" si="12"/>
        <v>0</v>
      </c>
      <c r="FE112" s="5"/>
      <c r="FF112" s="166">
        <v>2897.4</v>
      </c>
      <c r="FG112" s="37">
        <v>10423.35</v>
      </c>
      <c r="FH112" s="164">
        <f t="shared" si="13"/>
        <v>1</v>
      </c>
      <c r="FI112" s="5">
        <v>3837</v>
      </c>
      <c r="FJ112" s="164">
        <f t="shared" si="14"/>
        <v>1</v>
      </c>
      <c r="FL112" s="169">
        <v>7873</v>
      </c>
      <c r="FM112" s="170">
        <f t="shared" si="15"/>
        <v>0.68245451314546257</v>
      </c>
      <c r="FN112" s="169">
        <v>2591</v>
      </c>
      <c r="FO112" s="170">
        <f t="shared" si="16"/>
        <v>0.82634348588741824</v>
      </c>
    </row>
    <row r="113" spans="16:171" x14ac:dyDescent="0.35">
      <c r="P113" s="64">
        <v>111</v>
      </c>
      <c r="Q113" s="109">
        <v>29050</v>
      </c>
      <c r="R113" s="110">
        <v>0.35</v>
      </c>
      <c r="S113" s="111">
        <v>884.12</v>
      </c>
      <c r="T113" s="110">
        <v>0.184</v>
      </c>
      <c r="U113" s="111">
        <v>12960</v>
      </c>
      <c r="V113" s="110">
        <v>0.432</v>
      </c>
      <c r="W113" s="111">
        <v>6844.0231999999996</v>
      </c>
      <c r="X113" s="110">
        <v>0.47599999999999992</v>
      </c>
      <c r="Y113" s="111">
        <v>2820.6907999999999</v>
      </c>
      <c r="Z113" s="110">
        <v>0.29199999999999998</v>
      </c>
      <c r="AA113" s="111">
        <v>9924.06</v>
      </c>
      <c r="AB113" s="110">
        <v>0.19299999999999998</v>
      </c>
      <c r="AC113" s="111">
        <v>7503.9696000000004</v>
      </c>
      <c r="AD113" s="110">
        <v>0.16200000000000001</v>
      </c>
      <c r="AF113" s="64">
        <v>111</v>
      </c>
      <c r="AG113" s="109">
        <v>62032.8606</v>
      </c>
      <c r="AH113" s="111">
        <v>1865.3</v>
      </c>
      <c r="AI113" s="109">
        <v>405.5</v>
      </c>
      <c r="AJ113" s="59">
        <v>0.69699999999999995</v>
      </c>
      <c r="AK113" s="59">
        <v>0.81099999999999994</v>
      </c>
      <c r="AL113" s="59">
        <v>0.81100000000000005</v>
      </c>
      <c r="AM113" s="110">
        <v>237.08199999999999</v>
      </c>
      <c r="AN113" s="111">
        <v>7300.5371999999998</v>
      </c>
      <c r="AO113" s="59">
        <v>0.36699999999999999</v>
      </c>
      <c r="AP113" s="55">
        <v>0.627</v>
      </c>
      <c r="AQ113" s="109">
        <v>38935.800000000003</v>
      </c>
      <c r="AR113" s="111">
        <v>22606.424999999999</v>
      </c>
      <c r="AS113" s="59">
        <v>0.87300000000000011</v>
      </c>
      <c r="AT113" s="55">
        <v>0.96299999999999997</v>
      </c>
      <c r="AU113" s="43"/>
      <c r="AV113" s="109">
        <v>962.9</v>
      </c>
      <c r="AW113" s="110">
        <v>0.39099997563610084</v>
      </c>
      <c r="AX113" s="109">
        <v>879.36</v>
      </c>
      <c r="AY113" s="110">
        <v>0.54720597386434355</v>
      </c>
      <c r="AZ113" s="109">
        <v>1121.4780000000001</v>
      </c>
      <c r="BA113" s="110">
        <v>0.5784392407674851</v>
      </c>
      <c r="BB113" s="43"/>
      <c r="BC113" s="112">
        <v>53641.616999999998</v>
      </c>
      <c r="BD113" s="110">
        <v>0.77049180327868849</v>
      </c>
      <c r="BE113" s="43"/>
      <c r="BF113" s="157">
        <v>32600</v>
      </c>
      <c r="BG113" s="43">
        <v>3135.9090000000001</v>
      </c>
      <c r="BH113" s="113">
        <v>5589.6419999999998</v>
      </c>
      <c r="BI113" s="114">
        <v>1</v>
      </c>
      <c r="BJ113" s="115">
        <v>0.22962169681428896</v>
      </c>
      <c r="BK113" s="113">
        <v>0</v>
      </c>
      <c r="BL113" s="113">
        <v>0</v>
      </c>
      <c r="BM113" s="113">
        <v>0</v>
      </c>
      <c r="BN113" s="113">
        <v>8134.8890000000001</v>
      </c>
      <c r="BO113" s="114">
        <v>0.60356796260572787</v>
      </c>
      <c r="BP113" s="115">
        <v>0</v>
      </c>
      <c r="BQ113" s="43">
        <v>7668</v>
      </c>
      <c r="BR113" s="43">
        <v>0</v>
      </c>
      <c r="BS113" s="43"/>
      <c r="BT113" s="116">
        <v>-700</v>
      </c>
      <c r="BU113" s="43">
        <v>0</v>
      </c>
      <c r="BV113" s="43">
        <v>4485</v>
      </c>
      <c r="BW113" s="43">
        <v>4485</v>
      </c>
      <c r="BX113" s="43">
        <v>0</v>
      </c>
      <c r="BY113" s="43">
        <v>0</v>
      </c>
      <c r="BZ113" s="43">
        <v>-995.56056506000004</v>
      </c>
      <c r="CA113" s="43">
        <v>0</v>
      </c>
      <c r="CB113" s="43">
        <v>-5300</v>
      </c>
      <c r="CC113" s="43">
        <v>0</v>
      </c>
      <c r="CD113" s="43">
        <v>-4000</v>
      </c>
      <c r="CE113" s="43">
        <v>0</v>
      </c>
      <c r="CF113" s="43">
        <v>2951.2179388</v>
      </c>
      <c r="CG113" s="43">
        <v>2951.2179388</v>
      </c>
      <c r="CH113" s="43">
        <v>12298.22679348</v>
      </c>
      <c r="CI113" s="43">
        <v>12298.22679348</v>
      </c>
      <c r="CJ113" s="114">
        <v>19734.444732280001</v>
      </c>
      <c r="CK113" s="43"/>
      <c r="CL113" s="116">
        <v>-700</v>
      </c>
      <c r="CM113" s="43">
        <v>700</v>
      </c>
      <c r="CN113" s="43">
        <v>4485</v>
      </c>
      <c r="CO113" s="43">
        <v>0</v>
      </c>
      <c r="CP113" s="43">
        <v>0</v>
      </c>
      <c r="CQ113" s="43">
        <v>0</v>
      </c>
      <c r="CR113" s="43">
        <v>-995.56056506000004</v>
      </c>
      <c r="CS113" s="43">
        <v>995.56056506000004</v>
      </c>
      <c r="CT113" s="43">
        <v>-5300</v>
      </c>
      <c r="CU113" s="43">
        <v>5300</v>
      </c>
      <c r="CV113" s="43">
        <v>-4000</v>
      </c>
      <c r="CW113" s="43">
        <v>4000</v>
      </c>
      <c r="CX113" s="43">
        <v>2951.2179388</v>
      </c>
      <c r="CY113" s="43">
        <v>0</v>
      </c>
      <c r="CZ113" s="43">
        <v>12298.22679348</v>
      </c>
      <c r="DA113" s="43">
        <v>0</v>
      </c>
      <c r="DB113" s="114">
        <v>10995.560565060001</v>
      </c>
      <c r="DC113" s="43"/>
      <c r="DD113" s="117">
        <v>41659.599000000002</v>
      </c>
      <c r="DE113" s="55">
        <v>1577.7929999999999</v>
      </c>
      <c r="DF113" s="59">
        <v>1928.9288241557999</v>
      </c>
      <c r="DG113" s="59">
        <v>45166.320824155802</v>
      </c>
      <c r="DH113" s="117">
        <v>13002.319</v>
      </c>
      <c r="DI113" s="117">
        <v>61476.411</v>
      </c>
      <c r="DJ113" s="55">
        <v>8084</v>
      </c>
      <c r="DK113" s="114">
        <v>69560.410999999993</v>
      </c>
      <c r="DL113" s="43"/>
      <c r="DM113" s="117">
        <v>825.79899999999998</v>
      </c>
      <c r="DN113" s="55">
        <v>10555.905846475949</v>
      </c>
      <c r="DO113" s="55">
        <v>11381.70484647595</v>
      </c>
      <c r="DP113" s="59">
        <v>1647.409224874164</v>
      </c>
      <c r="DQ113" s="59">
        <v>2932.5206019649299</v>
      </c>
      <c r="DR113" s="59">
        <v>428.61502003999999</v>
      </c>
      <c r="DS113" s="55">
        <v>3361.1356220049302</v>
      </c>
      <c r="DT113" s="55">
        <v>162.9178112202739</v>
      </c>
      <c r="DU113" s="55">
        <v>162.9178112202739</v>
      </c>
      <c r="DW113" s="121">
        <v>0</v>
      </c>
      <c r="DX113" s="122">
        <v>6779.6610170000004</v>
      </c>
      <c r="DY113" s="128">
        <v>1447.7400829999999</v>
      </c>
      <c r="DZ113" s="128">
        <v>0</v>
      </c>
      <c r="EA113" s="121">
        <v>0</v>
      </c>
      <c r="EB113" s="122">
        <v>242.91718878</v>
      </c>
      <c r="EC113" s="121">
        <v>0</v>
      </c>
      <c r="ED113" s="122">
        <v>1271.1864410000001</v>
      </c>
      <c r="EE113" s="121">
        <v>0</v>
      </c>
      <c r="EF113" s="122">
        <v>847.5</v>
      </c>
      <c r="EG113" s="121">
        <v>0</v>
      </c>
      <c r="EH113" s="122">
        <v>7397.5988710000001</v>
      </c>
      <c r="EI113" s="121">
        <v>0</v>
      </c>
      <c r="EJ113" s="122">
        <v>6779.6610170000004</v>
      </c>
      <c r="EK113" s="129">
        <v>242.91718878</v>
      </c>
      <c r="EL113" s="130">
        <v>847.5</v>
      </c>
      <c r="EM113" s="131">
        <v>735.83500000000004</v>
      </c>
      <c r="EN113" s="129">
        <v>428.61502003999999</v>
      </c>
      <c r="EO113" s="129">
        <v>10964.025395000001</v>
      </c>
      <c r="EP113" s="129">
        <v>0</v>
      </c>
      <c r="ER113" s="157">
        <v>0</v>
      </c>
      <c r="ES113" s="37">
        <v>0</v>
      </c>
      <c r="ET113" s="55">
        <f t="shared" si="10"/>
        <v>0</v>
      </c>
      <c r="EU113" s="157">
        <v>0</v>
      </c>
      <c r="EV113" s="37">
        <v>0</v>
      </c>
      <c r="EW113" s="55">
        <f t="shared" si="17"/>
        <v>0</v>
      </c>
      <c r="EY113" s="166">
        <v>0</v>
      </c>
      <c r="EZ113" s="37">
        <v>0</v>
      </c>
      <c r="FA113" s="164">
        <f t="shared" si="11"/>
        <v>0</v>
      </c>
      <c r="FB113" s="5">
        <v>0</v>
      </c>
      <c r="FC113" s="164">
        <f t="shared" si="12"/>
        <v>0</v>
      </c>
      <c r="FE113" s="5"/>
      <c r="FF113" s="166">
        <v>2897.4</v>
      </c>
      <c r="FG113" s="37">
        <v>10423.35</v>
      </c>
      <c r="FH113" s="164">
        <f t="shared" si="13"/>
        <v>1</v>
      </c>
      <c r="FI113" s="5">
        <v>3837</v>
      </c>
      <c r="FJ113" s="164">
        <f t="shared" si="14"/>
        <v>1</v>
      </c>
      <c r="FL113" s="169">
        <v>7873</v>
      </c>
      <c r="FM113" s="170">
        <f t="shared" si="15"/>
        <v>0.68245451314546257</v>
      </c>
      <c r="FN113" s="169">
        <v>2591</v>
      </c>
      <c r="FO113" s="170">
        <f t="shared" si="16"/>
        <v>0.82634348588741824</v>
      </c>
    </row>
    <row r="114" spans="16:171" x14ac:dyDescent="0.35">
      <c r="P114" s="64">
        <v>112</v>
      </c>
      <c r="Q114" s="109">
        <v>26643</v>
      </c>
      <c r="R114" s="110">
        <v>0.32100000000000001</v>
      </c>
      <c r="S114" s="111">
        <v>715.94500000000005</v>
      </c>
      <c r="T114" s="110">
        <v>0.14900000000000002</v>
      </c>
      <c r="U114" s="111">
        <v>10050</v>
      </c>
      <c r="V114" s="110">
        <v>0.33500000000000002</v>
      </c>
      <c r="W114" s="111">
        <v>5564.3634000000002</v>
      </c>
      <c r="X114" s="110">
        <v>0.38700000000000001</v>
      </c>
      <c r="Y114" s="111">
        <v>2173.4775</v>
      </c>
      <c r="Z114" s="110">
        <v>0.22500000000000001</v>
      </c>
      <c r="AA114" s="111">
        <v>7147.38</v>
      </c>
      <c r="AB114" s="110">
        <v>0.13900000000000001</v>
      </c>
      <c r="AC114" s="111">
        <v>5141.6088</v>
      </c>
      <c r="AD114" s="110">
        <v>0.11099999999999999</v>
      </c>
      <c r="AF114" s="64">
        <v>112</v>
      </c>
      <c r="AG114" s="109">
        <v>61142.8626</v>
      </c>
      <c r="AH114" s="111">
        <v>1787.1</v>
      </c>
      <c r="AI114" s="109">
        <v>388.5</v>
      </c>
      <c r="AJ114" s="59">
        <v>0.68699999999999994</v>
      </c>
      <c r="AK114" s="59">
        <v>0.77699999999999991</v>
      </c>
      <c r="AL114" s="59">
        <v>0.77700000000000002</v>
      </c>
      <c r="AM114" s="110">
        <v>237.72800000000001</v>
      </c>
      <c r="AN114" s="111">
        <v>6997.8036000000002</v>
      </c>
      <c r="AO114" s="59">
        <v>0.36799999999999999</v>
      </c>
      <c r="AP114" s="55">
        <v>0.60099999999999998</v>
      </c>
      <c r="AQ114" s="109">
        <v>38846.6</v>
      </c>
      <c r="AR114" s="111">
        <v>22559.474999999999</v>
      </c>
      <c r="AS114" s="59">
        <v>0.871</v>
      </c>
      <c r="AT114" s="55">
        <v>0.96099999999999997</v>
      </c>
      <c r="AU114" s="43"/>
      <c r="AV114" s="109">
        <v>950.58699999999999</v>
      </c>
      <c r="AW114" s="110">
        <v>0.38600009745559682</v>
      </c>
      <c r="AX114" s="109">
        <v>885.97900000000004</v>
      </c>
      <c r="AY114" s="110">
        <v>0.55132482887367773</v>
      </c>
      <c r="AZ114" s="109">
        <v>1121.4780000000001</v>
      </c>
      <c r="BA114" s="110">
        <v>0.5784392407674851</v>
      </c>
      <c r="BB114" s="43"/>
      <c r="BC114" s="112">
        <v>53641.616999999998</v>
      </c>
      <c r="BD114" s="110">
        <v>0.77049180327868849</v>
      </c>
      <c r="BE114" s="43"/>
      <c r="BF114" s="157">
        <v>32600</v>
      </c>
      <c r="BG114" s="43">
        <v>1934.6579999999999</v>
      </c>
      <c r="BH114" s="113">
        <v>4054.1350000000002</v>
      </c>
      <c r="BI114" s="114">
        <v>1</v>
      </c>
      <c r="BJ114" s="115">
        <v>0.15760114295699332</v>
      </c>
      <c r="BK114" s="113">
        <v>0</v>
      </c>
      <c r="BL114" s="113">
        <v>0</v>
      </c>
      <c r="BM114" s="113">
        <v>0</v>
      </c>
      <c r="BN114" s="113">
        <v>7156.723</v>
      </c>
      <c r="BO114" s="114">
        <v>0.53099295147648018</v>
      </c>
      <c r="BP114" s="115">
        <v>0</v>
      </c>
      <c r="BQ114" s="43">
        <v>7668</v>
      </c>
      <c r="BR114" s="43">
        <v>0</v>
      </c>
      <c r="BS114" s="43"/>
      <c r="BT114" s="116">
        <v>-700</v>
      </c>
      <c r="BU114" s="43">
        <v>0</v>
      </c>
      <c r="BV114" s="43">
        <v>4485</v>
      </c>
      <c r="BW114" s="43">
        <v>4485</v>
      </c>
      <c r="BX114" s="43">
        <v>0</v>
      </c>
      <c r="BY114" s="43">
        <v>0</v>
      </c>
      <c r="BZ114" s="43">
        <v>-2917.1529999999998</v>
      </c>
      <c r="CA114" s="43">
        <v>0</v>
      </c>
      <c r="CB114" s="43">
        <v>-5300</v>
      </c>
      <c r="CC114" s="43">
        <v>0</v>
      </c>
      <c r="CD114" s="43">
        <v>-4000</v>
      </c>
      <c r="CE114" s="43">
        <v>0</v>
      </c>
      <c r="CF114" s="43">
        <v>-4800</v>
      </c>
      <c r="CG114" s="43">
        <v>0</v>
      </c>
      <c r="CH114" s="43">
        <v>12550.807885370001</v>
      </c>
      <c r="CI114" s="43">
        <v>12550.807885370001</v>
      </c>
      <c r="CJ114" s="114">
        <v>17035.807885369999</v>
      </c>
      <c r="CK114" s="43"/>
      <c r="CL114" s="116">
        <v>-700</v>
      </c>
      <c r="CM114" s="43">
        <v>700</v>
      </c>
      <c r="CN114" s="43">
        <v>4485</v>
      </c>
      <c r="CO114" s="43">
        <v>0</v>
      </c>
      <c r="CP114" s="43">
        <v>0</v>
      </c>
      <c r="CQ114" s="43">
        <v>0</v>
      </c>
      <c r="CR114" s="43">
        <v>-2917.1529999999998</v>
      </c>
      <c r="CS114" s="43">
        <v>2917.1529999999998</v>
      </c>
      <c r="CT114" s="43">
        <v>-5300</v>
      </c>
      <c r="CU114" s="43">
        <v>5300</v>
      </c>
      <c r="CV114" s="43">
        <v>-4000</v>
      </c>
      <c r="CW114" s="43">
        <v>4000</v>
      </c>
      <c r="CX114" s="43">
        <v>-4800</v>
      </c>
      <c r="CY114" s="43">
        <v>4800</v>
      </c>
      <c r="CZ114" s="43">
        <v>12550.807885370001</v>
      </c>
      <c r="DA114" s="43">
        <v>0</v>
      </c>
      <c r="DB114" s="114">
        <v>17717.152999999998</v>
      </c>
      <c r="DC114" s="43"/>
      <c r="DD114" s="117">
        <v>41520.131999999998</v>
      </c>
      <c r="DE114" s="55">
        <v>1575.827</v>
      </c>
      <c r="DF114" s="59">
        <v>1651.1755228426</v>
      </c>
      <c r="DG114" s="59">
        <v>44747.134522842593</v>
      </c>
      <c r="DH114" s="117">
        <v>12251.795</v>
      </c>
      <c r="DI114" s="117">
        <v>62539.411</v>
      </c>
      <c r="DJ114" s="55">
        <v>8534</v>
      </c>
      <c r="DK114" s="114">
        <v>71073.410999999993</v>
      </c>
      <c r="DL114" s="43"/>
      <c r="DM114" s="117">
        <v>836.94500000000005</v>
      </c>
      <c r="DN114" s="55">
        <v>10571.615847326309</v>
      </c>
      <c r="DO114" s="55">
        <v>11408.560847326309</v>
      </c>
      <c r="DP114" s="59">
        <v>1647.409224874164</v>
      </c>
      <c r="DQ114" s="59">
        <v>2940.7984763901732</v>
      </c>
      <c r="DR114" s="59">
        <v>420.33714560999999</v>
      </c>
      <c r="DS114" s="55">
        <v>3361.135622000173</v>
      </c>
      <c r="DT114" s="55">
        <v>163.37769313278741</v>
      </c>
      <c r="DU114" s="55">
        <v>163.37769313278741</v>
      </c>
      <c r="DW114" s="121">
        <v>0</v>
      </c>
      <c r="DX114" s="122">
        <v>6779.6610170000004</v>
      </c>
      <c r="DY114" s="128">
        <v>1447.7400829999999</v>
      </c>
      <c r="DZ114" s="128">
        <v>0</v>
      </c>
      <c r="EA114" s="121">
        <v>0</v>
      </c>
      <c r="EB114" s="122">
        <v>242.45730687</v>
      </c>
      <c r="EC114" s="121">
        <v>0</v>
      </c>
      <c r="ED114" s="122">
        <v>1271.1864410000001</v>
      </c>
      <c r="EE114" s="121">
        <v>0</v>
      </c>
      <c r="EF114" s="122">
        <v>847.5</v>
      </c>
      <c r="EG114" s="121">
        <v>0</v>
      </c>
      <c r="EH114" s="122">
        <v>7397.5988710000001</v>
      </c>
      <c r="EI114" s="121">
        <v>0</v>
      </c>
      <c r="EJ114" s="122">
        <v>6779.6610170000004</v>
      </c>
      <c r="EK114" s="129">
        <v>242.45730687</v>
      </c>
      <c r="EL114" s="130">
        <v>847.5</v>
      </c>
      <c r="EM114" s="131">
        <v>735.83500000000004</v>
      </c>
      <c r="EN114" s="129">
        <v>420.33714560999999</v>
      </c>
      <c r="EO114" s="129">
        <v>10964.025395000001</v>
      </c>
      <c r="EP114" s="129">
        <v>0</v>
      </c>
      <c r="ER114" s="157">
        <v>0</v>
      </c>
      <c r="ES114" s="37">
        <v>0</v>
      </c>
      <c r="ET114" s="55">
        <f t="shared" si="10"/>
        <v>0</v>
      </c>
      <c r="EU114" s="157">
        <v>0</v>
      </c>
      <c r="EV114" s="37">
        <v>0</v>
      </c>
      <c r="EW114" s="55">
        <f t="shared" si="17"/>
        <v>0</v>
      </c>
      <c r="EY114" s="166">
        <v>0</v>
      </c>
      <c r="EZ114" s="37">
        <v>0</v>
      </c>
      <c r="FA114" s="164">
        <f t="shared" si="11"/>
        <v>0</v>
      </c>
      <c r="FB114" s="5">
        <v>0</v>
      </c>
      <c r="FC114" s="164">
        <f t="shared" si="12"/>
        <v>0</v>
      </c>
      <c r="FE114" s="5"/>
      <c r="FF114" s="166">
        <v>2897.4</v>
      </c>
      <c r="FG114" s="37">
        <v>10423.35</v>
      </c>
      <c r="FH114" s="164">
        <f t="shared" si="13"/>
        <v>1</v>
      </c>
      <c r="FI114" s="5">
        <v>3837</v>
      </c>
      <c r="FJ114" s="164">
        <f t="shared" si="14"/>
        <v>1</v>
      </c>
      <c r="FL114" s="169">
        <v>7873</v>
      </c>
      <c r="FM114" s="170">
        <f t="shared" si="15"/>
        <v>0.68245451314546257</v>
      </c>
      <c r="FN114" s="169">
        <v>2591</v>
      </c>
      <c r="FO114" s="170">
        <f t="shared" si="16"/>
        <v>0.82634348588741824</v>
      </c>
    </row>
    <row r="115" spans="16:171" x14ac:dyDescent="0.35">
      <c r="P115" s="64">
        <v>113</v>
      </c>
      <c r="Q115" s="109">
        <v>18924</v>
      </c>
      <c r="R115" s="110">
        <v>0.22800000000000001</v>
      </c>
      <c r="S115" s="111">
        <v>403.62</v>
      </c>
      <c r="T115" s="110">
        <v>8.4000000000000005E-2</v>
      </c>
      <c r="U115" s="111">
        <v>6000</v>
      </c>
      <c r="V115" s="110">
        <v>0.2</v>
      </c>
      <c r="W115" s="111">
        <v>3695.1974</v>
      </c>
      <c r="X115" s="110">
        <v>0.25700000000000001</v>
      </c>
      <c r="Y115" s="111">
        <v>1294.4266</v>
      </c>
      <c r="Z115" s="110">
        <v>0.13400000000000001</v>
      </c>
      <c r="AA115" s="111">
        <v>3599.4</v>
      </c>
      <c r="AB115" s="110">
        <v>7.0000000000000007E-2</v>
      </c>
      <c r="AC115" s="111">
        <v>2316.04</v>
      </c>
      <c r="AD115" s="110">
        <v>4.9999999999999996E-2</v>
      </c>
      <c r="AF115" s="64">
        <v>113</v>
      </c>
      <c r="AG115" s="109">
        <v>59896.865400000002</v>
      </c>
      <c r="AH115" s="111">
        <v>1715.8</v>
      </c>
      <c r="AI115" s="109">
        <v>373</v>
      </c>
      <c r="AJ115" s="59">
        <v>0.67300000000000004</v>
      </c>
      <c r="AK115" s="59">
        <v>0.746</v>
      </c>
      <c r="AL115" s="59">
        <v>0.746</v>
      </c>
      <c r="AM115" s="110">
        <v>237.72800000000001</v>
      </c>
      <c r="AN115" s="111">
        <v>6520.4160000000002</v>
      </c>
      <c r="AO115" s="59">
        <v>0.36799999999999999</v>
      </c>
      <c r="AP115" s="55">
        <v>0.55999999999999994</v>
      </c>
      <c r="AQ115" s="109">
        <v>39515.599999999999</v>
      </c>
      <c r="AR115" s="111">
        <v>22489.05</v>
      </c>
      <c r="AS115" s="59">
        <v>0.88600000000000001</v>
      </c>
      <c r="AT115" s="55">
        <v>0.95799999999999996</v>
      </c>
      <c r="AU115" s="43"/>
      <c r="AV115" s="109">
        <v>982.601</v>
      </c>
      <c r="AW115" s="110">
        <v>0.39899986193790454</v>
      </c>
      <c r="AX115" s="109">
        <v>881.79200000000003</v>
      </c>
      <c r="AY115" s="110">
        <v>0.54871935283136286</v>
      </c>
      <c r="AZ115" s="109">
        <v>1121.4780000000001</v>
      </c>
      <c r="BA115" s="110">
        <v>0.5784392407674851</v>
      </c>
      <c r="BB115" s="43"/>
      <c r="BC115" s="112">
        <v>53641.616999999998</v>
      </c>
      <c r="BD115" s="110">
        <v>0.77049180327868849</v>
      </c>
      <c r="BE115" s="43"/>
      <c r="BF115" s="157">
        <v>32600</v>
      </c>
      <c r="BG115" s="43">
        <v>270.45600000000002</v>
      </c>
      <c r="BH115" s="113">
        <v>850.08799999999997</v>
      </c>
      <c r="BI115" s="114">
        <v>1</v>
      </c>
      <c r="BJ115" s="115">
        <v>2.9488248322091133E-2</v>
      </c>
      <c r="BK115" s="113">
        <v>0</v>
      </c>
      <c r="BL115" s="113">
        <v>0</v>
      </c>
      <c r="BM115" s="113">
        <v>0</v>
      </c>
      <c r="BN115" s="113">
        <v>5775.0230000000001</v>
      </c>
      <c r="BO115" s="114">
        <v>0.42847774150467427</v>
      </c>
      <c r="BP115" s="115">
        <v>0</v>
      </c>
      <c r="BQ115" s="43">
        <v>7668</v>
      </c>
      <c r="BR115" s="43">
        <v>0</v>
      </c>
      <c r="BS115" s="43"/>
      <c r="BT115" s="116">
        <v>-700</v>
      </c>
      <c r="BU115" s="43">
        <v>0</v>
      </c>
      <c r="BV115" s="43">
        <v>4485</v>
      </c>
      <c r="BW115" s="43">
        <v>4485</v>
      </c>
      <c r="BX115" s="43">
        <v>0</v>
      </c>
      <c r="BY115" s="43">
        <v>0</v>
      </c>
      <c r="BZ115" s="43">
        <v>0</v>
      </c>
      <c r="CA115" s="43">
        <v>0</v>
      </c>
      <c r="CB115" s="43">
        <v>-5300</v>
      </c>
      <c r="CC115" s="43">
        <v>0</v>
      </c>
      <c r="CD115" s="43">
        <v>-4000</v>
      </c>
      <c r="CE115" s="43">
        <v>0</v>
      </c>
      <c r="CF115" s="43">
        <v>-4800</v>
      </c>
      <c r="CG115" s="43">
        <v>0</v>
      </c>
      <c r="CH115" s="43">
        <v>9026.9640415499998</v>
      </c>
      <c r="CI115" s="43">
        <v>9026.9640415499998</v>
      </c>
      <c r="CJ115" s="114">
        <v>13511.96404155</v>
      </c>
      <c r="CK115" s="43"/>
      <c r="CL115" s="116">
        <v>-700</v>
      </c>
      <c r="CM115" s="43">
        <v>700</v>
      </c>
      <c r="CN115" s="43">
        <v>4485</v>
      </c>
      <c r="CO115" s="43">
        <v>0</v>
      </c>
      <c r="CP115" s="43">
        <v>0</v>
      </c>
      <c r="CQ115" s="43">
        <v>0</v>
      </c>
      <c r="CR115" s="43">
        <v>0</v>
      </c>
      <c r="CS115" s="43">
        <v>0</v>
      </c>
      <c r="CT115" s="43">
        <v>-5300</v>
      </c>
      <c r="CU115" s="43">
        <v>5300</v>
      </c>
      <c r="CV115" s="43">
        <v>-4000</v>
      </c>
      <c r="CW115" s="43">
        <v>4000</v>
      </c>
      <c r="CX115" s="43">
        <v>-4800</v>
      </c>
      <c r="CY115" s="43">
        <v>4800</v>
      </c>
      <c r="CZ115" s="43">
        <v>9026.9640415499998</v>
      </c>
      <c r="DA115" s="43">
        <v>0</v>
      </c>
      <c r="DB115" s="114">
        <v>14800</v>
      </c>
      <c r="DC115" s="43"/>
      <c r="DD115" s="117">
        <v>41808.337</v>
      </c>
      <c r="DE115" s="55">
        <v>2011.9390000000001</v>
      </c>
      <c r="DF115" s="59">
        <v>1660.8051449955001</v>
      </c>
      <c r="DG115" s="59">
        <v>45481.0811449955</v>
      </c>
      <c r="DH115" s="117">
        <v>11383.609</v>
      </c>
      <c r="DI115" s="117">
        <v>65726.410999999993</v>
      </c>
      <c r="DJ115" s="55">
        <v>8543</v>
      </c>
      <c r="DK115" s="114">
        <v>74269.410999999993</v>
      </c>
      <c r="DL115" s="43"/>
      <c r="DM115" s="117">
        <v>846.47</v>
      </c>
      <c r="DN115" s="55">
        <v>10571.615847326309</v>
      </c>
      <c r="DO115" s="55">
        <v>11418.085847326309</v>
      </c>
      <c r="DP115" s="59">
        <v>1647.409224874164</v>
      </c>
      <c r="DQ115" s="59">
        <v>2940.7984763901732</v>
      </c>
      <c r="DR115" s="59">
        <v>420.33714560999999</v>
      </c>
      <c r="DS115" s="55">
        <v>3361.135622000173</v>
      </c>
      <c r="DT115" s="55">
        <v>163.37769313278741</v>
      </c>
      <c r="DU115" s="55">
        <v>163.37769313278741</v>
      </c>
      <c r="DW115" s="121">
        <v>0</v>
      </c>
      <c r="DX115" s="122">
        <v>6779.6610170000004</v>
      </c>
      <c r="DY115" s="128">
        <v>1447.7400829999999</v>
      </c>
      <c r="DZ115" s="128">
        <v>0</v>
      </c>
      <c r="EA115" s="121">
        <v>0</v>
      </c>
      <c r="EB115" s="122">
        <v>242.45730687</v>
      </c>
      <c r="EC115" s="121">
        <v>0</v>
      </c>
      <c r="ED115" s="122">
        <v>1271.1864410000001</v>
      </c>
      <c r="EE115" s="121">
        <v>0</v>
      </c>
      <c r="EF115" s="122">
        <v>847.5</v>
      </c>
      <c r="EG115" s="121">
        <v>0</v>
      </c>
      <c r="EH115" s="122">
        <v>7397.5988710000001</v>
      </c>
      <c r="EI115" s="121">
        <v>0</v>
      </c>
      <c r="EJ115" s="122">
        <v>6779.6610170000004</v>
      </c>
      <c r="EK115" s="129">
        <v>242.45730687</v>
      </c>
      <c r="EL115" s="130">
        <v>847.5</v>
      </c>
      <c r="EM115" s="131">
        <v>735.83500000000004</v>
      </c>
      <c r="EN115" s="129">
        <v>420.33714560999999</v>
      </c>
      <c r="EO115" s="129">
        <v>10964.025395000001</v>
      </c>
      <c r="EP115" s="129">
        <v>0</v>
      </c>
      <c r="ER115" s="157">
        <v>0</v>
      </c>
      <c r="ES115" s="37">
        <v>0</v>
      </c>
      <c r="ET115" s="55">
        <f t="shared" si="10"/>
        <v>0</v>
      </c>
      <c r="EU115" s="157">
        <v>0</v>
      </c>
      <c r="EV115" s="37">
        <v>0</v>
      </c>
      <c r="EW115" s="55">
        <f t="shared" si="17"/>
        <v>0</v>
      </c>
      <c r="EY115" s="166">
        <v>0</v>
      </c>
      <c r="EZ115" s="37">
        <v>0</v>
      </c>
      <c r="FA115" s="164">
        <f t="shared" si="11"/>
        <v>0</v>
      </c>
      <c r="FB115" s="5">
        <v>0</v>
      </c>
      <c r="FC115" s="164">
        <f t="shared" si="12"/>
        <v>0</v>
      </c>
      <c r="FE115" s="5"/>
      <c r="FF115" s="166">
        <v>2897.4</v>
      </c>
      <c r="FG115" s="37">
        <v>10423.35</v>
      </c>
      <c r="FH115" s="164">
        <f t="shared" si="13"/>
        <v>1</v>
      </c>
      <c r="FI115" s="5">
        <v>3837</v>
      </c>
      <c r="FJ115" s="164">
        <f t="shared" si="14"/>
        <v>1</v>
      </c>
      <c r="FL115" s="169">
        <v>7873</v>
      </c>
      <c r="FM115" s="170">
        <f t="shared" si="15"/>
        <v>0.68245451314546257</v>
      </c>
      <c r="FN115" s="169">
        <v>2591</v>
      </c>
      <c r="FO115" s="170">
        <f t="shared" si="16"/>
        <v>0.82634348588741824</v>
      </c>
    </row>
    <row r="116" spans="16:171" x14ac:dyDescent="0.35">
      <c r="P116" s="64">
        <v>114</v>
      </c>
      <c r="Q116" s="109">
        <v>4814</v>
      </c>
      <c r="R116" s="110">
        <v>5.8000000000000003E-2</v>
      </c>
      <c r="S116" s="111">
        <v>52.854999999999997</v>
      </c>
      <c r="T116" s="110">
        <v>1.0999999999999999E-2</v>
      </c>
      <c r="U116" s="111">
        <v>1680</v>
      </c>
      <c r="V116" s="110">
        <v>5.6000000000000001E-2</v>
      </c>
      <c r="W116" s="111">
        <v>1581.6020000000001</v>
      </c>
      <c r="X116" s="110">
        <v>0.11</v>
      </c>
      <c r="Y116" s="111">
        <v>454.01530000000002</v>
      </c>
      <c r="Z116" s="110">
        <v>4.7000000000000007E-2</v>
      </c>
      <c r="AA116" s="111">
        <v>0</v>
      </c>
      <c r="AB116" s="110">
        <v>0</v>
      </c>
      <c r="AC116" s="111">
        <v>0</v>
      </c>
      <c r="AD116" s="110">
        <v>0</v>
      </c>
      <c r="AF116" s="64">
        <v>114</v>
      </c>
      <c r="AG116" s="109">
        <v>54289.877999999997</v>
      </c>
      <c r="AH116" s="111">
        <v>1646.8</v>
      </c>
      <c r="AI116" s="109">
        <v>358</v>
      </c>
      <c r="AJ116" s="59">
        <v>0.61</v>
      </c>
      <c r="AK116" s="59">
        <v>0.71599999999999997</v>
      </c>
      <c r="AL116" s="59">
        <v>0.71599999999999997</v>
      </c>
      <c r="AM116" s="110">
        <v>238.374</v>
      </c>
      <c r="AN116" s="111">
        <v>3865.6752000000001</v>
      </c>
      <c r="AO116" s="59">
        <v>0.36899999999999999</v>
      </c>
      <c r="AP116" s="55">
        <v>0.33200000000000002</v>
      </c>
      <c r="AQ116" s="109">
        <v>39783.199999999997</v>
      </c>
      <c r="AR116" s="111">
        <v>22348.2</v>
      </c>
      <c r="AS116" s="59">
        <v>0.8919999999999999</v>
      </c>
      <c r="AT116" s="55">
        <v>0.95200000000000007</v>
      </c>
      <c r="AU116" s="43"/>
      <c r="AV116" s="109">
        <v>1108.1969999999999</v>
      </c>
      <c r="AW116" s="110">
        <v>0.44999999999999996</v>
      </c>
      <c r="AX116" s="109">
        <v>889.20500000000004</v>
      </c>
      <c r="AY116" s="110">
        <v>0.55333229620410707</v>
      </c>
      <c r="AZ116" s="109">
        <v>1121.4780000000001</v>
      </c>
      <c r="BA116" s="110">
        <v>0.5784392407674851</v>
      </c>
      <c r="BB116" s="43"/>
      <c r="BC116" s="112">
        <v>53641.616999999998</v>
      </c>
      <c r="BD116" s="110">
        <v>0.77049180327868849</v>
      </c>
      <c r="BE116" s="43"/>
      <c r="BF116" s="157">
        <v>25377.251</v>
      </c>
      <c r="BG116" s="43">
        <v>0</v>
      </c>
      <c r="BH116" s="113">
        <v>0</v>
      </c>
      <c r="BI116" s="114">
        <v>0.77844328220858894</v>
      </c>
      <c r="BJ116" s="115">
        <v>0</v>
      </c>
      <c r="BK116" s="113">
        <v>0</v>
      </c>
      <c r="BL116" s="113">
        <v>0</v>
      </c>
      <c r="BM116" s="113">
        <v>0</v>
      </c>
      <c r="BN116" s="113">
        <v>4320.308</v>
      </c>
      <c r="BO116" s="114">
        <v>0.32054518474551119</v>
      </c>
      <c r="BP116" s="115">
        <v>0</v>
      </c>
      <c r="BQ116" s="43">
        <v>7668</v>
      </c>
      <c r="BR116" s="43">
        <v>0</v>
      </c>
      <c r="BS116" s="43"/>
      <c r="BT116" s="116">
        <v>-700</v>
      </c>
      <c r="BU116" s="43">
        <v>0</v>
      </c>
      <c r="BV116" s="43">
        <v>4485</v>
      </c>
      <c r="BW116" s="43">
        <v>4485</v>
      </c>
      <c r="BX116" s="43">
        <v>0</v>
      </c>
      <c r="BY116" s="43">
        <v>0</v>
      </c>
      <c r="BZ116" s="43">
        <v>-3737.8609913499999</v>
      </c>
      <c r="CA116" s="43">
        <v>0</v>
      </c>
      <c r="CB116" s="43">
        <v>-5300</v>
      </c>
      <c r="CC116" s="43">
        <v>0</v>
      </c>
      <c r="CD116" s="43">
        <v>-4000</v>
      </c>
      <c r="CE116" s="43">
        <v>0</v>
      </c>
      <c r="CF116" s="43">
        <v>-4800</v>
      </c>
      <c r="CG116" s="43">
        <v>0</v>
      </c>
      <c r="CH116" s="43">
        <v>11524.949312229999</v>
      </c>
      <c r="CI116" s="43">
        <v>11524.949312229999</v>
      </c>
      <c r="CJ116" s="114">
        <v>16009.949312229999</v>
      </c>
      <c r="CK116" s="43"/>
      <c r="CL116" s="116">
        <v>-700</v>
      </c>
      <c r="CM116" s="43">
        <v>700</v>
      </c>
      <c r="CN116" s="43">
        <v>4485</v>
      </c>
      <c r="CO116" s="43">
        <v>0</v>
      </c>
      <c r="CP116" s="43">
        <v>0</v>
      </c>
      <c r="CQ116" s="43">
        <v>0</v>
      </c>
      <c r="CR116" s="43">
        <v>-3737.8609913499999</v>
      </c>
      <c r="CS116" s="43">
        <v>3737.8609913499999</v>
      </c>
      <c r="CT116" s="43">
        <v>-5300</v>
      </c>
      <c r="CU116" s="43">
        <v>5300</v>
      </c>
      <c r="CV116" s="43">
        <v>-4000</v>
      </c>
      <c r="CW116" s="43">
        <v>4000</v>
      </c>
      <c r="CX116" s="43">
        <v>-4800</v>
      </c>
      <c r="CY116" s="43">
        <v>4800</v>
      </c>
      <c r="CZ116" s="43">
        <v>11524.949312229999</v>
      </c>
      <c r="DA116" s="43">
        <v>0</v>
      </c>
      <c r="DB116" s="114">
        <v>18537.86099135</v>
      </c>
      <c r="DC116" s="43"/>
      <c r="DD116" s="117">
        <v>43783.383000000002</v>
      </c>
      <c r="DE116" s="55">
        <v>2277.067</v>
      </c>
      <c r="DF116" s="59">
        <v>1747.132531102</v>
      </c>
      <c r="DG116" s="59">
        <v>47807.582531102002</v>
      </c>
      <c r="DH116" s="117">
        <v>10698.816999999999</v>
      </c>
      <c r="DI116" s="117">
        <v>70836.410999999993</v>
      </c>
      <c r="DJ116" s="55">
        <v>8690</v>
      </c>
      <c r="DK116" s="114">
        <v>79526.410999999993</v>
      </c>
      <c r="DL116" s="43"/>
      <c r="DM116" s="117">
        <v>858.72900000000004</v>
      </c>
      <c r="DN116" s="55">
        <v>10571.615847326309</v>
      </c>
      <c r="DO116" s="55">
        <v>11430.344847326309</v>
      </c>
      <c r="DP116" s="59">
        <v>1647.409224874164</v>
      </c>
      <c r="DQ116" s="59">
        <v>2940.7984763901732</v>
      </c>
      <c r="DR116" s="59">
        <v>420.33714560999999</v>
      </c>
      <c r="DS116" s="55">
        <v>3361.135622000173</v>
      </c>
      <c r="DT116" s="55">
        <v>163.37769313278741</v>
      </c>
      <c r="DU116" s="55">
        <v>163.37769313278741</v>
      </c>
      <c r="DW116" s="121">
        <v>0</v>
      </c>
      <c r="DX116" s="122">
        <v>6779.6610170000004</v>
      </c>
      <c r="DY116" s="128">
        <v>1447.7400829999999</v>
      </c>
      <c r="DZ116" s="128">
        <v>0</v>
      </c>
      <c r="EA116" s="121">
        <v>0</v>
      </c>
      <c r="EB116" s="122">
        <v>572.45730687000002</v>
      </c>
      <c r="EC116" s="121">
        <v>0</v>
      </c>
      <c r="ED116" s="122">
        <v>1271.1864410000001</v>
      </c>
      <c r="EE116" s="121">
        <v>0</v>
      </c>
      <c r="EF116" s="122">
        <v>847.5</v>
      </c>
      <c r="EG116" s="121">
        <v>0</v>
      </c>
      <c r="EH116" s="122">
        <v>7397.5988710000001</v>
      </c>
      <c r="EI116" s="121">
        <v>0</v>
      </c>
      <c r="EJ116" s="122">
        <v>6779.6610170000004</v>
      </c>
      <c r="EK116" s="129">
        <v>572.45730687000002</v>
      </c>
      <c r="EL116" s="130">
        <v>847.5</v>
      </c>
      <c r="EM116" s="131">
        <v>735.83500000000004</v>
      </c>
      <c r="EN116" s="129">
        <v>420.33714560999999</v>
      </c>
      <c r="EO116" s="129">
        <v>10964.025395000001</v>
      </c>
      <c r="EP116" s="129">
        <v>0</v>
      </c>
      <c r="ER116" s="157">
        <v>0</v>
      </c>
      <c r="ES116" s="37">
        <v>0</v>
      </c>
      <c r="ET116" s="55">
        <f t="shared" si="10"/>
        <v>0</v>
      </c>
      <c r="EU116" s="157">
        <v>0</v>
      </c>
      <c r="EV116" s="37">
        <v>0</v>
      </c>
      <c r="EW116" s="55">
        <f t="shared" si="17"/>
        <v>0</v>
      </c>
      <c r="EY116" s="166">
        <v>0</v>
      </c>
      <c r="EZ116" s="37">
        <v>0</v>
      </c>
      <c r="FA116" s="164">
        <f t="shared" si="11"/>
        <v>0</v>
      </c>
      <c r="FB116" s="5">
        <v>4613</v>
      </c>
      <c r="FC116" s="164">
        <f t="shared" si="12"/>
        <v>1</v>
      </c>
      <c r="FE116" s="5"/>
      <c r="FF116" s="166">
        <v>0</v>
      </c>
      <c r="FG116" s="37">
        <v>0</v>
      </c>
      <c r="FH116" s="164">
        <f t="shared" si="13"/>
        <v>0</v>
      </c>
      <c r="FI116" s="5">
        <v>0</v>
      </c>
      <c r="FJ116" s="164">
        <f t="shared" si="14"/>
        <v>0</v>
      </c>
      <c r="FL116" s="169">
        <v>7873</v>
      </c>
      <c r="FM116" s="170">
        <f t="shared" si="15"/>
        <v>0.68245451314546257</v>
      </c>
      <c r="FN116" s="169">
        <v>2591</v>
      </c>
      <c r="FO116" s="170">
        <f t="shared" si="16"/>
        <v>0.82634348588741824</v>
      </c>
    </row>
    <row r="117" spans="16:171" x14ac:dyDescent="0.35">
      <c r="P117" s="64">
        <v>115</v>
      </c>
      <c r="Q117" s="109">
        <v>0</v>
      </c>
      <c r="R117" s="110">
        <v>0</v>
      </c>
      <c r="S117" s="111">
        <v>0</v>
      </c>
      <c r="T117" s="110">
        <v>0</v>
      </c>
      <c r="U117" s="111">
        <v>0</v>
      </c>
      <c r="V117" s="110">
        <v>0</v>
      </c>
      <c r="W117" s="111">
        <v>0</v>
      </c>
      <c r="X117" s="110">
        <v>0</v>
      </c>
      <c r="Y117" s="111">
        <v>0</v>
      </c>
      <c r="Z117" s="110">
        <v>0</v>
      </c>
      <c r="AA117" s="111">
        <v>0</v>
      </c>
      <c r="AB117" s="110">
        <v>0</v>
      </c>
      <c r="AC117" s="111">
        <v>0</v>
      </c>
      <c r="AD117" s="110">
        <v>0</v>
      </c>
      <c r="AF117" s="64">
        <v>115</v>
      </c>
      <c r="AG117" s="109">
        <v>47525.893199999999</v>
      </c>
      <c r="AH117" s="111">
        <v>1607.7</v>
      </c>
      <c r="AI117" s="109">
        <v>349.5</v>
      </c>
      <c r="AJ117" s="59">
        <v>0.53399999999999992</v>
      </c>
      <c r="AK117" s="59">
        <v>0.69900000000000007</v>
      </c>
      <c r="AL117" s="59">
        <v>0.69899999999999995</v>
      </c>
      <c r="AM117" s="110">
        <v>233.20599999999999</v>
      </c>
      <c r="AN117" s="111">
        <v>1979.412</v>
      </c>
      <c r="AO117" s="59">
        <v>0.36099999999999999</v>
      </c>
      <c r="AP117" s="55">
        <v>0.16999999999999998</v>
      </c>
      <c r="AQ117" s="109">
        <v>39649.4</v>
      </c>
      <c r="AR117" s="111">
        <v>22348.2</v>
      </c>
      <c r="AS117" s="59">
        <v>0.88900000000000001</v>
      </c>
      <c r="AT117" s="55">
        <v>0.95200000000000007</v>
      </c>
      <c r="AU117" s="43"/>
      <c r="AV117" s="109">
        <v>1130.3610000000001</v>
      </c>
      <c r="AW117" s="110">
        <v>0.45900002436389925</v>
      </c>
      <c r="AX117" s="109">
        <v>907.56899999999996</v>
      </c>
      <c r="AY117" s="110">
        <v>0.56475980087118849</v>
      </c>
      <c r="AZ117" s="109">
        <v>1121.4780000000001</v>
      </c>
      <c r="BA117" s="110">
        <v>0.5784392407674851</v>
      </c>
      <c r="BB117" s="43"/>
      <c r="BC117" s="112">
        <v>54782.928</v>
      </c>
      <c r="BD117" s="110">
        <v>0.78688524590163933</v>
      </c>
      <c r="BE117" s="43"/>
      <c r="BF117" s="157">
        <v>20292.266</v>
      </c>
      <c r="BG117" s="43">
        <v>0</v>
      </c>
      <c r="BH117" s="113">
        <v>0</v>
      </c>
      <c r="BI117" s="114">
        <v>0.62246214723926374</v>
      </c>
      <c r="BJ117" s="115">
        <v>0</v>
      </c>
      <c r="BK117" s="113">
        <v>0</v>
      </c>
      <c r="BL117" s="113">
        <v>0</v>
      </c>
      <c r="BM117" s="113">
        <v>0</v>
      </c>
      <c r="BN117" s="113">
        <v>3319.6089999999999</v>
      </c>
      <c r="BO117" s="114">
        <v>0.24629833803234902</v>
      </c>
      <c r="BP117" s="115">
        <v>0</v>
      </c>
      <c r="BQ117" s="43">
        <v>7668</v>
      </c>
      <c r="BR117" s="43">
        <v>0</v>
      </c>
      <c r="BS117" s="43"/>
      <c r="BT117" s="116">
        <v>-700</v>
      </c>
      <c r="BU117" s="43">
        <v>0</v>
      </c>
      <c r="BV117" s="43">
        <v>4485</v>
      </c>
      <c r="BW117" s="43">
        <v>4485</v>
      </c>
      <c r="BX117" s="43">
        <v>0</v>
      </c>
      <c r="BY117" s="43">
        <v>0</v>
      </c>
      <c r="BZ117" s="43">
        <v>-5000</v>
      </c>
      <c r="CA117" s="43">
        <v>0</v>
      </c>
      <c r="CB117" s="43">
        <v>-5300</v>
      </c>
      <c r="CC117" s="43">
        <v>0</v>
      </c>
      <c r="CD117" s="43">
        <v>-4000</v>
      </c>
      <c r="CE117" s="43">
        <v>0</v>
      </c>
      <c r="CF117" s="43">
        <v>-4800</v>
      </c>
      <c r="CG117" s="43">
        <v>0</v>
      </c>
      <c r="CH117" s="43">
        <v>11713.61048397</v>
      </c>
      <c r="CI117" s="43">
        <v>11713.61048397</v>
      </c>
      <c r="CJ117" s="114">
        <v>16198.61048397</v>
      </c>
      <c r="CK117" s="43"/>
      <c r="CL117" s="116">
        <v>-700</v>
      </c>
      <c r="CM117" s="43">
        <v>700</v>
      </c>
      <c r="CN117" s="43">
        <v>4485</v>
      </c>
      <c r="CO117" s="43">
        <v>0</v>
      </c>
      <c r="CP117" s="43">
        <v>0</v>
      </c>
      <c r="CQ117" s="43">
        <v>0</v>
      </c>
      <c r="CR117" s="43">
        <v>-5000</v>
      </c>
      <c r="CS117" s="43">
        <v>5000</v>
      </c>
      <c r="CT117" s="43">
        <v>-5300</v>
      </c>
      <c r="CU117" s="43">
        <v>5300</v>
      </c>
      <c r="CV117" s="43">
        <v>-4000</v>
      </c>
      <c r="CW117" s="43">
        <v>4000</v>
      </c>
      <c r="CX117" s="43">
        <v>-4800</v>
      </c>
      <c r="CY117" s="43">
        <v>4800</v>
      </c>
      <c r="CZ117" s="43">
        <v>11713.61048397</v>
      </c>
      <c r="DA117" s="43">
        <v>0</v>
      </c>
      <c r="DB117" s="114">
        <v>19800</v>
      </c>
      <c r="DC117" s="43"/>
      <c r="DD117" s="117">
        <v>44847.722000000002</v>
      </c>
      <c r="DE117" s="55">
        <v>2316.8290000000002</v>
      </c>
      <c r="DF117" s="59">
        <v>1864.8376933604</v>
      </c>
      <c r="DG117" s="59">
        <v>49029.388693360401</v>
      </c>
      <c r="DH117" s="117">
        <v>10403.48</v>
      </c>
      <c r="DI117" s="117">
        <v>72897.410999999993</v>
      </c>
      <c r="DJ117" s="55">
        <v>8186</v>
      </c>
      <c r="DK117" s="114">
        <v>81083.410999999993</v>
      </c>
      <c r="DL117" s="43"/>
      <c r="DM117" s="117">
        <v>855.72400000000005</v>
      </c>
      <c r="DN117" s="55">
        <v>10555.905846475949</v>
      </c>
      <c r="DO117" s="55">
        <v>11411.629846475949</v>
      </c>
      <c r="DP117" s="59">
        <v>1647.409224874164</v>
      </c>
      <c r="DQ117" s="59">
        <v>2932.5206019649299</v>
      </c>
      <c r="DR117" s="59">
        <v>428.61502003999999</v>
      </c>
      <c r="DS117" s="55">
        <v>3361.1356220049302</v>
      </c>
      <c r="DT117" s="55">
        <v>162.9178112202739</v>
      </c>
      <c r="DU117" s="55">
        <v>162.9178112202739</v>
      </c>
      <c r="DW117" s="121">
        <v>0</v>
      </c>
      <c r="DX117" s="122">
        <v>6779.6610170000004</v>
      </c>
      <c r="DY117" s="128">
        <v>1447.7400829999999</v>
      </c>
      <c r="DZ117" s="128">
        <v>0</v>
      </c>
      <c r="EA117" s="121">
        <v>0</v>
      </c>
      <c r="EB117" s="122">
        <v>572.91718877999995</v>
      </c>
      <c r="EC117" s="121">
        <v>0</v>
      </c>
      <c r="ED117" s="122">
        <v>1271.1864410000001</v>
      </c>
      <c r="EE117" s="121">
        <v>0</v>
      </c>
      <c r="EF117" s="122">
        <v>847.5</v>
      </c>
      <c r="EG117" s="121">
        <v>0</v>
      </c>
      <c r="EH117" s="122">
        <v>7397.5988710000001</v>
      </c>
      <c r="EI117" s="121">
        <v>0</v>
      </c>
      <c r="EJ117" s="122">
        <v>6779.6610170000004</v>
      </c>
      <c r="EK117" s="129">
        <v>572.91718877999995</v>
      </c>
      <c r="EL117" s="130">
        <v>847.5</v>
      </c>
      <c r="EM117" s="131">
        <v>735.83500000000004</v>
      </c>
      <c r="EN117" s="129">
        <v>428.61502003999999</v>
      </c>
      <c r="EO117" s="129">
        <v>10964.025395000001</v>
      </c>
      <c r="EP117" s="129">
        <v>0</v>
      </c>
      <c r="ER117" s="157">
        <v>0</v>
      </c>
      <c r="ES117" s="37">
        <v>0</v>
      </c>
      <c r="ET117" s="55">
        <f t="shared" si="10"/>
        <v>0</v>
      </c>
      <c r="EU117" s="157">
        <v>0</v>
      </c>
      <c r="EV117" s="37">
        <v>0</v>
      </c>
      <c r="EW117" s="55">
        <f t="shared" si="17"/>
        <v>0</v>
      </c>
      <c r="EY117" s="166">
        <v>0</v>
      </c>
      <c r="EZ117" s="37">
        <v>0</v>
      </c>
      <c r="FA117" s="164">
        <f t="shared" si="11"/>
        <v>0</v>
      </c>
      <c r="FB117" s="5">
        <v>4613</v>
      </c>
      <c r="FC117" s="164">
        <f t="shared" si="12"/>
        <v>1</v>
      </c>
      <c r="FE117" s="5"/>
      <c r="FF117" s="166">
        <v>0</v>
      </c>
      <c r="FG117" s="37">
        <v>0</v>
      </c>
      <c r="FH117" s="164">
        <f t="shared" si="13"/>
        <v>0</v>
      </c>
      <c r="FI117" s="5">
        <v>0</v>
      </c>
      <c r="FJ117" s="164">
        <f t="shared" si="14"/>
        <v>0</v>
      </c>
      <c r="FL117" s="169">
        <v>7873</v>
      </c>
      <c r="FM117" s="170">
        <f t="shared" si="15"/>
        <v>0.68245451314546257</v>
      </c>
      <c r="FN117" s="169">
        <v>2591</v>
      </c>
      <c r="FO117" s="170">
        <f t="shared" si="16"/>
        <v>0.82634348588741824</v>
      </c>
    </row>
    <row r="118" spans="16:171" x14ac:dyDescent="0.35">
      <c r="P118" s="64">
        <v>116</v>
      </c>
      <c r="Q118" s="109">
        <v>0</v>
      </c>
      <c r="R118" s="110">
        <v>0</v>
      </c>
      <c r="S118" s="111">
        <v>0</v>
      </c>
      <c r="T118" s="110">
        <v>0</v>
      </c>
      <c r="U118" s="111">
        <v>0</v>
      </c>
      <c r="V118" s="110">
        <v>0</v>
      </c>
      <c r="W118" s="111">
        <v>0</v>
      </c>
      <c r="X118" s="110">
        <v>0</v>
      </c>
      <c r="Y118" s="111">
        <v>0</v>
      </c>
      <c r="Z118" s="110">
        <v>0</v>
      </c>
      <c r="AA118" s="111">
        <v>0</v>
      </c>
      <c r="AB118" s="110">
        <v>0</v>
      </c>
      <c r="AC118" s="111">
        <v>0</v>
      </c>
      <c r="AD118" s="110">
        <v>0</v>
      </c>
      <c r="AF118" s="64">
        <v>116</v>
      </c>
      <c r="AG118" s="109">
        <v>42986.903400000003</v>
      </c>
      <c r="AH118" s="111">
        <v>1575.5</v>
      </c>
      <c r="AI118" s="109">
        <v>342.5</v>
      </c>
      <c r="AJ118" s="59">
        <v>0.48300000000000004</v>
      </c>
      <c r="AK118" s="59">
        <v>0.68500000000000005</v>
      </c>
      <c r="AL118" s="59">
        <v>0.68500000000000005</v>
      </c>
      <c r="AM118" s="110">
        <v>218.994</v>
      </c>
      <c r="AN118" s="111">
        <v>1618.4603999999999</v>
      </c>
      <c r="AO118" s="59">
        <v>0.33900000000000002</v>
      </c>
      <c r="AP118" s="55">
        <v>0.13899999999999998</v>
      </c>
      <c r="AQ118" s="109">
        <v>39471</v>
      </c>
      <c r="AR118" s="111">
        <v>22395.15</v>
      </c>
      <c r="AS118" s="59">
        <v>0.88500000000000001</v>
      </c>
      <c r="AT118" s="55">
        <v>0.95400000000000007</v>
      </c>
      <c r="AU118" s="43"/>
      <c r="AV118" s="109">
        <v>1132.8240000000001</v>
      </c>
      <c r="AW118" s="110">
        <v>0.46000016242599473</v>
      </c>
      <c r="AX118" s="109">
        <v>923.32399999999996</v>
      </c>
      <c r="AY118" s="110">
        <v>0.57456378344741754</v>
      </c>
      <c r="AZ118" s="109">
        <v>1121.4780000000001</v>
      </c>
      <c r="BA118" s="110">
        <v>0.5784392407674851</v>
      </c>
      <c r="BB118" s="43"/>
      <c r="BC118" s="112">
        <v>54782.928</v>
      </c>
      <c r="BD118" s="110">
        <v>0.78688524590163933</v>
      </c>
      <c r="BE118" s="43"/>
      <c r="BF118" s="157">
        <v>18369.428</v>
      </c>
      <c r="BG118" s="43">
        <v>0</v>
      </c>
      <c r="BH118" s="113">
        <v>0</v>
      </c>
      <c r="BI118" s="114">
        <v>0.5634793865030675</v>
      </c>
      <c r="BJ118" s="115">
        <v>0</v>
      </c>
      <c r="BK118" s="113">
        <v>0</v>
      </c>
      <c r="BL118" s="113">
        <v>0</v>
      </c>
      <c r="BM118" s="113">
        <v>0</v>
      </c>
      <c r="BN118" s="113">
        <v>3084.5709999999999</v>
      </c>
      <c r="BO118" s="114">
        <v>0.22885969728446356</v>
      </c>
      <c r="BP118" s="115">
        <v>0</v>
      </c>
      <c r="BQ118" s="43">
        <v>7668</v>
      </c>
      <c r="BR118" s="43">
        <v>0</v>
      </c>
      <c r="BS118" s="43"/>
      <c r="BT118" s="116">
        <v>-700</v>
      </c>
      <c r="BU118" s="43">
        <v>0</v>
      </c>
      <c r="BV118" s="43">
        <v>4485</v>
      </c>
      <c r="BW118" s="43">
        <v>4485</v>
      </c>
      <c r="BX118" s="43">
        <v>0</v>
      </c>
      <c r="BY118" s="43">
        <v>0</v>
      </c>
      <c r="BZ118" s="43">
        <v>-5000</v>
      </c>
      <c r="CA118" s="43">
        <v>0</v>
      </c>
      <c r="CB118" s="43">
        <v>-5300</v>
      </c>
      <c r="CC118" s="43">
        <v>0</v>
      </c>
      <c r="CD118" s="43">
        <v>-4000</v>
      </c>
      <c r="CE118" s="43">
        <v>0</v>
      </c>
      <c r="CF118" s="43">
        <v>-4800</v>
      </c>
      <c r="CG118" s="43">
        <v>0</v>
      </c>
      <c r="CH118" s="43">
        <v>11760.33301574</v>
      </c>
      <c r="CI118" s="43">
        <v>11760.33301574</v>
      </c>
      <c r="CJ118" s="114">
        <v>16245.33301574</v>
      </c>
      <c r="CK118" s="43"/>
      <c r="CL118" s="116">
        <v>-700</v>
      </c>
      <c r="CM118" s="43">
        <v>700</v>
      </c>
      <c r="CN118" s="43">
        <v>4485</v>
      </c>
      <c r="CO118" s="43">
        <v>0</v>
      </c>
      <c r="CP118" s="43">
        <v>0</v>
      </c>
      <c r="CQ118" s="43">
        <v>0</v>
      </c>
      <c r="CR118" s="43">
        <v>-5000</v>
      </c>
      <c r="CS118" s="43">
        <v>5000</v>
      </c>
      <c r="CT118" s="43">
        <v>-5300</v>
      </c>
      <c r="CU118" s="43">
        <v>5300</v>
      </c>
      <c r="CV118" s="43">
        <v>-4000</v>
      </c>
      <c r="CW118" s="43">
        <v>4000</v>
      </c>
      <c r="CX118" s="43">
        <v>-4800</v>
      </c>
      <c r="CY118" s="43">
        <v>4800</v>
      </c>
      <c r="CZ118" s="43">
        <v>11760.33301574</v>
      </c>
      <c r="DA118" s="43">
        <v>0</v>
      </c>
      <c r="DB118" s="114">
        <v>19800</v>
      </c>
      <c r="DC118" s="43"/>
      <c r="DD118" s="117">
        <v>44044.006000000001</v>
      </c>
      <c r="DE118" s="55">
        <v>2318.2829999999999</v>
      </c>
      <c r="DF118" s="59">
        <v>1983.5491821516</v>
      </c>
      <c r="DG118" s="59">
        <v>48345.838182151601</v>
      </c>
      <c r="DH118" s="117">
        <v>10403.647000000001</v>
      </c>
      <c r="DI118" s="117">
        <v>71880.410999999993</v>
      </c>
      <c r="DJ118" s="55">
        <v>7683</v>
      </c>
      <c r="DK118" s="114">
        <v>79563.410999999993</v>
      </c>
      <c r="DL118" s="43"/>
      <c r="DM118" s="117">
        <v>836.77</v>
      </c>
      <c r="DN118" s="55">
        <v>10540.1958456256</v>
      </c>
      <c r="DO118" s="55">
        <v>11376.9658456256</v>
      </c>
      <c r="DP118" s="59">
        <v>1492.7411041211651</v>
      </c>
      <c r="DQ118" s="59">
        <v>2924.2427275396881</v>
      </c>
      <c r="DR118" s="59">
        <v>436.89289445999998</v>
      </c>
      <c r="DS118" s="55">
        <v>3361.1356219996878</v>
      </c>
      <c r="DT118" s="55">
        <v>162.45792930776039</v>
      </c>
      <c r="DU118" s="55">
        <v>162.45792930776039</v>
      </c>
      <c r="DW118" s="121">
        <v>0</v>
      </c>
      <c r="DX118" s="122">
        <v>6779.6610170000004</v>
      </c>
      <c r="DY118" s="128">
        <v>1447.7400829999999</v>
      </c>
      <c r="DZ118" s="128">
        <v>0</v>
      </c>
      <c r="EA118" s="121">
        <v>0</v>
      </c>
      <c r="EB118" s="122">
        <v>903.37707068999998</v>
      </c>
      <c r="EC118" s="121">
        <v>0</v>
      </c>
      <c r="ED118" s="122">
        <v>1271.1864410000001</v>
      </c>
      <c r="EE118" s="121">
        <v>0</v>
      </c>
      <c r="EF118" s="122">
        <v>847.5</v>
      </c>
      <c r="EG118" s="121">
        <v>0</v>
      </c>
      <c r="EH118" s="122">
        <v>7397.5988710000001</v>
      </c>
      <c r="EI118" s="121">
        <v>0</v>
      </c>
      <c r="EJ118" s="122">
        <v>6779.6610170000004</v>
      </c>
      <c r="EK118" s="129">
        <v>903.37707068999998</v>
      </c>
      <c r="EL118" s="130">
        <v>847.5</v>
      </c>
      <c r="EM118" s="131">
        <v>735.83500000000004</v>
      </c>
      <c r="EN118" s="129">
        <v>436.89289445999998</v>
      </c>
      <c r="EO118" s="129">
        <v>10964.025395000001</v>
      </c>
      <c r="EP118" s="129">
        <v>0</v>
      </c>
      <c r="ER118" s="157">
        <v>0</v>
      </c>
      <c r="ES118" s="37">
        <v>0</v>
      </c>
      <c r="ET118" s="55">
        <f t="shared" si="10"/>
        <v>0</v>
      </c>
      <c r="EU118" s="157">
        <v>0</v>
      </c>
      <c r="EV118" s="37">
        <v>0</v>
      </c>
      <c r="EW118" s="55">
        <f t="shared" si="17"/>
        <v>0</v>
      </c>
      <c r="EY118" s="166">
        <v>7328.80704702</v>
      </c>
      <c r="EZ118" s="37">
        <v>0</v>
      </c>
      <c r="FA118" s="164">
        <f t="shared" si="11"/>
        <v>0.53872521475479973</v>
      </c>
      <c r="FB118" s="5">
        <v>4613</v>
      </c>
      <c r="FC118" s="164">
        <f t="shared" si="12"/>
        <v>1</v>
      </c>
      <c r="FE118" s="5"/>
      <c r="FF118" s="166">
        <v>0</v>
      </c>
      <c r="FG118" s="37">
        <v>0</v>
      </c>
      <c r="FH118" s="164">
        <f t="shared" si="13"/>
        <v>0</v>
      </c>
      <c r="FI118" s="5">
        <v>0</v>
      </c>
      <c r="FJ118" s="164">
        <f t="shared" si="14"/>
        <v>0</v>
      </c>
      <c r="FL118" s="169">
        <v>7873</v>
      </c>
      <c r="FM118" s="170">
        <f t="shared" si="15"/>
        <v>0.68245451314546257</v>
      </c>
      <c r="FN118" s="169">
        <v>2591</v>
      </c>
      <c r="FO118" s="170">
        <f t="shared" si="16"/>
        <v>0.82634348588741824</v>
      </c>
    </row>
    <row r="119" spans="16:171" x14ac:dyDescent="0.35">
      <c r="P119" s="64">
        <v>117</v>
      </c>
      <c r="Q119" s="109">
        <v>0</v>
      </c>
      <c r="R119" s="110">
        <v>0</v>
      </c>
      <c r="S119" s="111">
        <v>0</v>
      </c>
      <c r="T119" s="110">
        <v>0</v>
      </c>
      <c r="U119" s="111">
        <v>0</v>
      </c>
      <c r="V119" s="110">
        <v>0</v>
      </c>
      <c r="W119" s="111">
        <v>0</v>
      </c>
      <c r="X119" s="110">
        <v>0</v>
      </c>
      <c r="Y119" s="111">
        <v>0</v>
      </c>
      <c r="Z119" s="110">
        <v>0</v>
      </c>
      <c r="AA119" s="111">
        <v>0</v>
      </c>
      <c r="AB119" s="110">
        <v>0</v>
      </c>
      <c r="AC119" s="111">
        <v>0</v>
      </c>
      <c r="AD119" s="110">
        <v>0</v>
      </c>
      <c r="AF119" s="64">
        <v>117</v>
      </c>
      <c r="AG119" s="109">
        <v>41829.906000000003</v>
      </c>
      <c r="AH119" s="111">
        <v>1541</v>
      </c>
      <c r="AI119" s="109">
        <v>335</v>
      </c>
      <c r="AJ119" s="59">
        <v>0.47000000000000003</v>
      </c>
      <c r="AK119" s="59">
        <v>0.67</v>
      </c>
      <c r="AL119" s="59">
        <v>0.67</v>
      </c>
      <c r="AM119" s="110">
        <v>203.49</v>
      </c>
      <c r="AN119" s="111">
        <v>1758.1836000000001</v>
      </c>
      <c r="AO119" s="59">
        <v>0.315</v>
      </c>
      <c r="AP119" s="55">
        <v>0.151</v>
      </c>
      <c r="AQ119" s="109">
        <v>39515.599999999999</v>
      </c>
      <c r="AR119" s="111">
        <v>22465.575000000001</v>
      </c>
      <c r="AS119" s="59">
        <v>0.88600000000000001</v>
      </c>
      <c r="AT119" s="55">
        <v>0.95700000000000007</v>
      </c>
      <c r="AU119" s="43"/>
      <c r="AV119" s="109">
        <v>1132.8240000000001</v>
      </c>
      <c r="AW119" s="110">
        <v>0.46000016242599473</v>
      </c>
      <c r="AX119" s="109">
        <v>912.42499999999995</v>
      </c>
      <c r="AY119" s="110">
        <v>0.56778158058494088</v>
      </c>
      <c r="AZ119" s="109">
        <v>1121.4780000000001</v>
      </c>
      <c r="BA119" s="110">
        <v>0.5784392407674851</v>
      </c>
      <c r="BB119" s="43"/>
      <c r="BC119" s="112">
        <v>55924.239000000001</v>
      </c>
      <c r="BD119" s="110">
        <v>0.80327868852459017</v>
      </c>
      <c r="BE119" s="43"/>
      <c r="BF119" s="157">
        <v>17857.973000000002</v>
      </c>
      <c r="BG119" s="43">
        <v>0</v>
      </c>
      <c r="BH119" s="113">
        <v>0</v>
      </c>
      <c r="BI119" s="114">
        <v>0.54779058282208593</v>
      </c>
      <c r="BJ119" s="115">
        <v>0</v>
      </c>
      <c r="BK119" s="113">
        <v>0</v>
      </c>
      <c r="BL119" s="113">
        <v>0</v>
      </c>
      <c r="BM119" s="113">
        <v>0</v>
      </c>
      <c r="BN119" s="113">
        <v>2869.6019999999999</v>
      </c>
      <c r="BO119" s="114">
        <v>0.21291007567888409</v>
      </c>
      <c r="BP119" s="115">
        <v>0</v>
      </c>
      <c r="BQ119" s="43">
        <v>7668</v>
      </c>
      <c r="BR119" s="43">
        <v>0</v>
      </c>
      <c r="BS119" s="43"/>
      <c r="BT119" s="116">
        <v>-700</v>
      </c>
      <c r="BU119" s="43">
        <v>0</v>
      </c>
      <c r="BV119" s="43">
        <v>4485</v>
      </c>
      <c r="BW119" s="43">
        <v>4485</v>
      </c>
      <c r="BX119" s="43">
        <v>0</v>
      </c>
      <c r="BY119" s="43">
        <v>0</v>
      </c>
      <c r="BZ119" s="43">
        <v>-5000</v>
      </c>
      <c r="CA119" s="43">
        <v>0</v>
      </c>
      <c r="CB119" s="43">
        <v>-5300</v>
      </c>
      <c r="CC119" s="43">
        <v>0</v>
      </c>
      <c r="CD119" s="43">
        <v>-4000</v>
      </c>
      <c r="CE119" s="43">
        <v>0</v>
      </c>
      <c r="CF119" s="43">
        <v>-4800</v>
      </c>
      <c r="CG119" s="43">
        <v>0</v>
      </c>
      <c r="CH119" s="43">
        <v>11831.92975979</v>
      </c>
      <c r="CI119" s="43">
        <v>11831.92975979</v>
      </c>
      <c r="CJ119" s="114">
        <v>16316.92975979</v>
      </c>
      <c r="CK119" s="43"/>
      <c r="CL119" s="116">
        <v>-700</v>
      </c>
      <c r="CM119" s="43">
        <v>700</v>
      </c>
      <c r="CN119" s="43">
        <v>4485</v>
      </c>
      <c r="CO119" s="43">
        <v>0</v>
      </c>
      <c r="CP119" s="43">
        <v>0</v>
      </c>
      <c r="CQ119" s="43">
        <v>0</v>
      </c>
      <c r="CR119" s="43">
        <v>-5000</v>
      </c>
      <c r="CS119" s="43">
        <v>5000</v>
      </c>
      <c r="CT119" s="43">
        <v>-5300</v>
      </c>
      <c r="CU119" s="43">
        <v>5300</v>
      </c>
      <c r="CV119" s="43">
        <v>-4000</v>
      </c>
      <c r="CW119" s="43">
        <v>4000</v>
      </c>
      <c r="CX119" s="43">
        <v>-4800</v>
      </c>
      <c r="CY119" s="43">
        <v>4800</v>
      </c>
      <c r="CZ119" s="43">
        <v>11831.92975979</v>
      </c>
      <c r="DA119" s="43">
        <v>0</v>
      </c>
      <c r="DB119" s="114">
        <v>19800</v>
      </c>
      <c r="DC119" s="43"/>
      <c r="DD119" s="117">
        <v>42255.771000000001</v>
      </c>
      <c r="DE119" s="55">
        <v>2318.5100000000002</v>
      </c>
      <c r="DF119" s="59">
        <v>1940.210437809</v>
      </c>
      <c r="DG119" s="59">
        <v>46514.491437809003</v>
      </c>
      <c r="DH119" s="117">
        <v>10024.235000000001</v>
      </c>
      <c r="DI119" s="117">
        <v>67551.410999999993</v>
      </c>
      <c r="DJ119" s="55">
        <v>7850</v>
      </c>
      <c r="DK119" s="114">
        <v>75401.410999999993</v>
      </c>
      <c r="DL119" s="43"/>
      <c r="DM119" s="117">
        <v>793.16600000000005</v>
      </c>
      <c r="DN119" s="55">
        <v>10524.485844775239</v>
      </c>
      <c r="DO119" s="55">
        <v>11317.651844775239</v>
      </c>
      <c r="DP119" s="59">
        <v>1389.6290236191651</v>
      </c>
      <c r="DQ119" s="59">
        <v>2915.9648531144448</v>
      </c>
      <c r="DR119" s="59">
        <v>445.17076888999998</v>
      </c>
      <c r="DS119" s="55">
        <v>3361.1356220044449</v>
      </c>
      <c r="DT119" s="55">
        <v>161.99804739524691</v>
      </c>
      <c r="DU119" s="55">
        <v>161.99804739524691</v>
      </c>
      <c r="DW119" s="121">
        <v>0</v>
      </c>
      <c r="DX119" s="122">
        <v>6779.6610170000004</v>
      </c>
      <c r="DY119" s="128">
        <v>1447.7400829999999</v>
      </c>
      <c r="DZ119" s="128">
        <v>0</v>
      </c>
      <c r="EA119" s="121">
        <v>0</v>
      </c>
      <c r="EB119" s="122">
        <v>903.83695260000002</v>
      </c>
      <c r="EC119" s="121">
        <v>0</v>
      </c>
      <c r="ED119" s="122">
        <v>1271.1864410000001</v>
      </c>
      <c r="EE119" s="121">
        <v>0</v>
      </c>
      <c r="EF119" s="122">
        <v>847.5</v>
      </c>
      <c r="EG119" s="121">
        <v>0</v>
      </c>
      <c r="EH119" s="122">
        <v>7397.5988710000001</v>
      </c>
      <c r="EI119" s="121">
        <v>0</v>
      </c>
      <c r="EJ119" s="122">
        <v>6779.6610170000004</v>
      </c>
      <c r="EK119" s="129">
        <v>903.83695260000002</v>
      </c>
      <c r="EL119" s="130">
        <v>847.5</v>
      </c>
      <c r="EM119" s="131">
        <v>735.83500000000004</v>
      </c>
      <c r="EN119" s="129">
        <v>445.17076888999998</v>
      </c>
      <c r="EO119" s="129">
        <v>10964.025395000001</v>
      </c>
      <c r="EP119" s="129">
        <v>0</v>
      </c>
      <c r="ER119" s="157">
        <v>0</v>
      </c>
      <c r="ES119" s="37">
        <v>0</v>
      </c>
      <c r="ET119" s="55">
        <f t="shared" si="10"/>
        <v>0</v>
      </c>
      <c r="EU119" s="157">
        <v>0</v>
      </c>
      <c r="EV119" s="37">
        <v>0</v>
      </c>
      <c r="EW119" s="55">
        <f t="shared" si="17"/>
        <v>0</v>
      </c>
      <c r="EY119" s="166">
        <v>5717.4052838600001</v>
      </c>
      <c r="EZ119" s="37">
        <v>0</v>
      </c>
      <c r="FA119" s="164">
        <f t="shared" si="11"/>
        <v>0.42027445525941676</v>
      </c>
      <c r="FB119" s="5">
        <v>4613</v>
      </c>
      <c r="FC119" s="164">
        <f t="shared" si="12"/>
        <v>1</v>
      </c>
      <c r="FE119" s="5"/>
      <c r="FF119" s="166">
        <v>0</v>
      </c>
      <c r="FG119" s="37">
        <v>0</v>
      </c>
      <c r="FH119" s="164">
        <f t="shared" si="13"/>
        <v>0</v>
      </c>
      <c r="FI119" s="5">
        <v>0</v>
      </c>
      <c r="FJ119" s="164">
        <f t="shared" si="14"/>
        <v>0</v>
      </c>
      <c r="FL119" s="169">
        <v>7873</v>
      </c>
      <c r="FM119" s="170">
        <f t="shared" si="15"/>
        <v>0.68245451314546257</v>
      </c>
      <c r="FN119" s="169">
        <v>2591</v>
      </c>
      <c r="FO119" s="170">
        <f t="shared" si="16"/>
        <v>0.82634348588741824</v>
      </c>
    </row>
    <row r="120" spans="16:171" x14ac:dyDescent="0.35">
      <c r="P120" s="64">
        <v>118</v>
      </c>
      <c r="Q120" s="109">
        <v>0</v>
      </c>
      <c r="R120" s="110">
        <v>0</v>
      </c>
      <c r="S120" s="111">
        <v>0</v>
      </c>
      <c r="T120" s="110">
        <v>0</v>
      </c>
      <c r="U120" s="111">
        <v>0</v>
      </c>
      <c r="V120" s="110">
        <v>0</v>
      </c>
      <c r="W120" s="111">
        <v>0</v>
      </c>
      <c r="X120" s="110">
        <v>0</v>
      </c>
      <c r="Y120" s="111">
        <v>0</v>
      </c>
      <c r="Z120" s="110">
        <v>0</v>
      </c>
      <c r="AA120" s="111">
        <v>0</v>
      </c>
      <c r="AB120" s="110">
        <v>0</v>
      </c>
      <c r="AC120" s="111">
        <v>0</v>
      </c>
      <c r="AD120" s="110">
        <v>0</v>
      </c>
      <c r="AF120" s="64">
        <v>118</v>
      </c>
      <c r="AG120" s="109">
        <v>41829.906000000003</v>
      </c>
      <c r="AH120" s="111">
        <v>1520.3</v>
      </c>
      <c r="AI120" s="109">
        <v>330.5</v>
      </c>
      <c r="AJ120" s="59">
        <v>0.47000000000000003</v>
      </c>
      <c r="AK120" s="59">
        <v>0.66100000000000003</v>
      </c>
      <c r="AL120" s="59">
        <v>0.66100000000000003</v>
      </c>
      <c r="AM120" s="110">
        <v>184.11</v>
      </c>
      <c r="AN120" s="111">
        <v>2223.9276</v>
      </c>
      <c r="AO120" s="59">
        <v>0.28500000000000003</v>
      </c>
      <c r="AP120" s="55">
        <v>0.191</v>
      </c>
      <c r="AQ120" s="109">
        <v>39649.4</v>
      </c>
      <c r="AR120" s="111">
        <v>22489.05</v>
      </c>
      <c r="AS120" s="59">
        <v>0.88900000000000001</v>
      </c>
      <c r="AT120" s="55">
        <v>0.95799999999999996</v>
      </c>
      <c r="AU120" s="43"/>
      <c r="AV120" s="109">
        <v>1127.8979999999999</v>
      </c>
      <c r="AW120" s="110">
        <v>0.45799988630180372</v>
      </c>
      <c r="AX120" s="109">
        <v>912.06700000000001</v>
      </c>
      <c r="AY120" s="110">
        <v>0.56755880522713131</v>
      </c>
      <c r="AZ120" s="109">
        <v>1121.4780000000001</v>
      </c>
      <c r="BA120" s="110">
        <v>0.5784392407674851</v>
      </c>
      <c r="BB120" s="43"/>
      <c r="BC120" s="112">
        <v>55924.239000000001</v>
      </c>
      <c r="BD120" s="110">
        <v>0.80327868852459017</v>
      </c>
      <c r="BE120" s="43"/>
      <c r="BF120" s="157">
        <v>17869.876</v>
      </c>
      <c r="BG120" s="43">
        <v>0</v>
      </c>
      <c r="BH120" s="113">
        <v>0</v>
      </c>
      <c r="BI120" s="114">
        <v>0.54815570552147241</v>
      </c>
      <c r="BJ120" s="115">
        <v>0</v>
      </c>
      <c r="BK120" s="113">
        <v>0</v>
      </c>
      <c r="BL120" s="113">
        <v>0</v>
      </c>
      <c r="BM120" s="113">
        <v>0</v>
      </c>
      <c r="BN120" s="113">
        <v>2597.09</v>
      </c>
      <c r="BO120" s="114">
        <v>0.19269105208487908</v>
      </c>
      <c r="BP120" s="115">
        <v>0</v>
      </c>
      <c r="BQ120" s="43">
        <v>7668</v>
      </c>
      <c r="BR120" s="43">
        <v>0</v>
      </c>
      <c r="BS120" s="43"/>
      <c r="BT120" s="116">
        <v>-700</v>
      </c>
      <c r="BU120" s="43">
        <v>0</v>
      </c>
      <c r="BV120" s="43">
        <v>4485</v>
      </c>
      <c r="BW120" s="43">
        <v>4485</v>
      </c>
      <c r="BX120" s="43">
        <v>0</v>
      </c>
      <c r="BY120" s="43">
        <v>0</v>
      </c>
      <c r="BZ120" s="43">
        <v>-5000</v>
      </c>
      <c r="CA120" s="43">
        <v>0</v>
      </c>
      <c r="CB120" s="43">
        <v>-5300</v>
      </c>
      <c r="CC120" s="43">
        <v>0</v>
      </c>
      <c r="CD120" s="43">
        <v>-4000</v>
      </c>
      <c r="CE120" s="43">
        <v>0</v>
      </c>
      <c r="CF120" s="43">
        <v>-4800</v>
      </c>
      <c r="CG120" s="43">
        <v>0</v>
      </c>
      <c r="CH120" s="43">
        <v>11775.675734840001</v>
      </c>
      <c r="CI120" s="43">
        <v>11775.675734840001</v>
      </c>
      <c r="CJ120" s="114">
        <v>16260.675734840001</v>
      </c>
      <c r="CK120" s="43"/>
      <c r="CL120" s="116">
        <v>-700</v>
      </c>
      <c r="CM120" s="43">
        <v>700</v>
      </c>
      <c r="CN120" s="43">
        <v>4485</v>
      </c>
      <c r="CO120" s="43">
        <v>0</v>
      </c>
      <c r="CP120" s="43">
        <v>0</v>
      </c>
      <c r="CQ120" s="43">
        <v>0</v>
      </c>
      <c r="CR120" s="43">
        <v>-5000</v>
      </c>
      <c r="CS120" s="43">
        <v>5000</v>
      </c>
      <c r="CT120" s="43">
        <v>-5300</v>
      </c>
      <c r="CU120" s="43">
        <v>5300</v>
      </c>
      <c r="CV120" s="43">
        <v>-4000</v>
      </c>
      <c r="CW120" s="43">
        <v>4000</v>
      </c>
      <c r="CX120" s="43">
        <v>-4800</v>
      </c>
      <c r="CY120" s="43">
        <v>4800</v>
      </c>
      <c r="CZ120" s="43">
        <v>11775.675734840001</v>
      </c>
      <c r="DA120" s="43">
        <v>0</v>
      </c>
      <c r="DB120" s="114">
        <v>19800</v>
      </c>
      <c r="DC120" s="43"/>
      <c r="DD120" s="117">
        <v>39857.08</v>
      </c>
      <c r="DE120" s="55">
        <v>2319.0369999999998</v>
      </c>
      <c r="DF120" s="59">
        <v>1853.9826188326999</v>
      </c>
      <c r="DG120" s="59">
        <v>44030.099618832697</v>
      </c>
      <c r="DH120" s="117">
        <v>9508.4040000000005</v>
      </c>
      <c r="DI120" s="117">
        <v>64817.411</v>
      </c>
      <c r="DJ120" s="55">
        <v>7549</v>
      </c>
      <c r="DK120" s="114">
        <v>72366.410999999993</v>
      </c>
      <c r="DL120" s="43"/>
      <c r="DM120" s="117">
        <v>686.38300000000004</v>
      </c>
      <c r="DN120" s="55">
        <v>10508.77584392489</v>
      </c>
      <c r="DO120" s="55">
        <v>11195.15884392489</v>
      </c>
      <c r="DP120" s="59">
        <v>1312.2949632426651</v>
      </c>
      <c r="DQ120" s="59">
        <v>2907.686978689203</v>
      </c>
      <c r="DR120" s="59">
        <v>453.44864331000002</v>
      </c>
      <c r="DS120" s="55">
        <v>3361.1356219992031</v>
      </c>
      <c r="DT120" s="55">
        <v>161.53816548273349</v>
      </c>
      <c r="DU120" s="55">
        <v>161.53816548273349</v>
      </c>
      <c r="DW120" s="121">
        <v>0</v>
      </c>
      <c r="DX120" s="122">
        <v>6779.6610170000004</v>
      </c>
      <c r="DY120" s="128">
        <v>1447.7400829999999</v>
      </c>
      <c r="DZ120" s="128">
        <v>0</v>
      </c>
      <c r="EA120" s="121">
        <v>0</v>
      </c>
      <c r="EB120" s="122">
        <v>574.29683451999995</v>
      </c>
      <c r="EC120" s="121">
        <v>0</v>
      </c>
      <c r="ED120" s="122">
        <v>1271.1864410000001</v>
      </c>
      <c r="EE120" s="121">
        <v>0</v>
      </c>
      <c r="EF120" s="122">
        <v>847.5</v>
      </c>
      <c r="EG120" s="121">
        <v>0</v>
      </c>
      <c r="EH120" s="122">
        <v>7397.5988710000001</v>
      </c>
      <c r="EI120" s="121">
        <v>0</v>
      </c>
      <c r="EJ120" s="122">
        <v>6779.6610170000004</v>
      </c>
      <c r="EK120" s="129">
        <v>574.29683451999995</v>
      </c>
      <c r="EL120" s="130">
        <v>847.5</v>
      </c>
      <c r="EM120" s="131">
        <v>735.83500000000004</v>
      </c>
      <c r="EN120" s="129">
        <v>453.44864331000002</v>
      </c>
      <c r="EO120" s="129">
        <v>10964.025395000001</v>
      </c>
      <c r="EP120" s="129">
        <v>0</v>
      </c>
      <c r="ER120" s="157">
        <v>0</v>
      </c>
      <c r="ES120" s="37">
        <v>0</v>
      </c>
      <c r="ET120" s="55">
        <f t="shared" si="10"/>
        <v>0</v>
      </c>
      <c r="EU120" s="157">
        <v>0</v>
      </c>
      <c r="EV120" s="37">
        <v>0</v>
      </c>
      <c r="EW120" s="55">
        <f t="shared" si="17"/>
        <v>0</v>
      </c>
      <c r="EY120" s="166">
        <v>0</v>
      </c>
      <c r="EZ120" s="37">
        <v>0</v>
      </c>
      <c r="FA120" s="164">
        <f t="shared" si="11"/>
        <v>0</v>
      </c>
      <c r="FB120" s="5">
        <v>4613</v>
      </c>
      <c r="FC120" s="164">
        <f t="shared" si="12"/>
        <v>1</v>
      </c>
      <c r="FE120" s="5"/>
      <c r="FF120" s="166">
        <v>0</v>
      </c>
      <c r="FG120" s="37">
        <v>0</v>
      </c>
      <c r="FH120" s="164">
        <f t="shared" si="13"/>
        <v>0</v>
      </c>
      <c r="FI120" s="5">
        <v>0</v>
      </c>
      <c r="FJ120" s="164">
        <f t="shared" si="14"/>
        <v>0</v>
      </c>
      <c r="FL120" s="169">
        <v>7873</v>
      </c>
      <c r="FM120" s="170">
        <f t="shared" si="15"/>
        <v>0.68245451314546257</v>
      </c>
      <c r="FN120" s="169">
        <v>2591</v>
      </c>
      <c r="FO120" s="170">
        <f t="shared" si="16"/>
        <v>0.82634348588741824</v>
      </c>
    </row>
    <row r="121" spans="16:171" x14ac:dyDescent="0.35">
      <c r="P121" s="64">
        <v>119</v>
      </c>
      <c r="Q121" s="109">
        <v>0</v>
      </c>
      <c r="R121" s="110">
        <v>0</v>
      </c>
      <c r="S121" s="111">
        <v>0</v>
      </c>
      <c r="T121" s="110">
        <v>0</v>
      </c>
      <c r="U121" s="111">
        <v>0</v>
      </c>
      <c r="V121" s="110">
        <v>0</v>
      </c>
      <c r="W121" s="111">
        <v>0</v>
      </c>
      <c r="X121" s="110">
        <v>0</v>
      </c>
      <c r="Y121" s="111">
        <v>0</v>
      </c>
      <c r="Z121" s="110">
        <v>0</v>
      </c>
      <c r="AA121" s="111">
        <v>0</v>
      </c>
      <c r="AB121" s="110">
        <v>0</v>
      </c>
      <c r="AC121" s="111">
        <v>0</v>
      </c>
      <c r="AD121" s="110">
        <v>0</v>
      </c>
      <c r="AF121" s="64">
        <v>119</v>
      </c>
      <c r="AG121" s="109">
        <v>41740.906199999998</v>
      </c>
      <c r="AH121" s="111">
        <v>1469.7</v>
      </c>
      <c r="AI121" s="109">
        <v>319.5</v>
      </c>
      <c r="AJ121" s="59">
        <v>0.46899999999999997</v>
      </c>
      <c r="AK121" s="59">
        <v>0.63900000000000001</v>
      </c>
      <c r="AL121" s="59">
        <v>0.63900000000000001</v>
      </c>
      <c r="AM121" s="110">
        <v>158.916</v>
      </c>
      <c r="AN121" s="111">
        <v>2782.8204000000001</v>
      </c>
      <c r="AO121" s="59">
        <v>0.246</v>
      </c>
      <c r="AP121" s="55">
        <v>0.23899999999999999</v>
      </c>
      <c r="AQ121" s="109">
        <v>39604.800000000003</v>
      </c>
      <c r="AR121" s="111">
        <v>22489.05</v>
      </c>
      <c r="AS121" s="59">
        <v>0.88800000000000001</v>
      </c>
      <c r="AT121" s="55">
        <v>0.95799999999999996</v>
      </c>
      <c r="AU121" s="43"/>
      <c r="AV121" s="109">
        <v>1113.1220000000001</v>
      </c>
      <c r="AW121" s="110">
        <v>0.45199987005920433</v>
      </c>
      <c r="AX121" s="109">
        <v>897.75900000000001</v>
      </c>
      <c r="AY121" s="110">
        <v>0.55865525824517737</v>
      </c>
      <c r="AZ121" s="109">
        <v>1121.4780000000001</v>
      </c>
      <c r="BA121" s="110">
        <v>0.5784392407674851</v>
      </c>
      <c r="BB121" s="43"/>
      <c r="BC121" s="112">
        <v>55924.239000000001</v>
      </c>
      <c r="BD121" s="110">
        <v>0.80327868852459017</v>
      </c>
      <c r="BE121" s="43"/>
      <c r="BF121" s="157">
        <v>17835.053</v>
      </c>
      <c r="BG121" s="43">
        <v>0</v>
      </c>
      <c r="BH121" s="113">
        <v>0</v>
      </c>
      <c r="BI121" s="114">
        <v>0.54708751533742328</v>
      </c>
      <c r="BJ121" s="115">
        <v>0</v>
      </c>
      <c r="BK121" s="113">
        <v>0</v>
      </c>
      <c r="BL121" s="113">
        <v>0</v>
      </c>
      <c r="BM121" s="113">
        <v>0</v>
      </c>
      <c r="BN121" s="113">
        <v>2245.3850000000002</v>
      </c>
      <c r="BO121" s="114">
        <v>0.16659630508977594</v>
      </c>
      <c r="BP121" s="115">
        <v>0</v>
      </c>
      <c r="BQ121" s="43">
        <v>7668</v>
      </c>
      <c r="BR121" s="43">
        <v>0</v>
      </c>
      <c r="BS121" s="43"/>
      <c r="BT121" s="116">
        <v>-700</v>
      </c>
      <c r="BU121" s="43">
        <v>0</v>
      </c>
      <c r="BV121" s="43">
        <v>4485</v>
      </c>
      <c r="BW121" s="43">
        <v>4485</v>
      </c>
      <c r="BX121" s="43">
        <v>0</v>
      </c>
      <c r="BY121" s="43">
        <v>0</v>
      </c>
      <c r="BZ121" s="43">
        <v>-2790.6289000000002</v>
      </c>
      <c r="CA121" s="43">
        <v>0</v>
      </c>
      <c r="CB121" s="43">
        <v>-5300</v>
      </c>
      <c r="CC121" s="43">
        <v>0</v>
      </c>
      <c r="CD121" s="43">
        <v>-4000</v>
      </c>
      <c r="CE121" s="43">
        <v>0</v>
      </c>
      <c r="CF121" s="43">
        <v>-4800</v>
      </c>
      <c r="CG121" s="43">
        <v>0</v>
      </c>
      <c r="CH121" s="43">
        <v>12826.10865459</v>
      </c>
      <c r="CI121" s="43">
        <v>12826.10865459</v>
      </c>
      <c r="CJ121" s="114">
        <v>17311.10865459</v>
      </c>
      <c r="CK121" s="43"/>
      <c r="CL121" s="116">
        <v>-700</v>
      </c>
      <c r="CM121" s="43">
        <v>700</v>
      </c>
      <c r="CN121" s="43">
        <v>4485</v>
      </c>
      <c r="CO121" s="43">
        <v>0</v>
      </c>
      <c r="CP121" s="43">
        <v>0</v>
      </c>
      <c r="CQ121" s="43">
        <v>0</v>
      </c>
      <c r="CR121" s="43">
        <v>-2790.6289000000002</v>
      </c>
      <c r="CS121" s="43">
        <v>2790.6289000000002</v>
      </c>
      <c r="CT121" s="43">
        <v>-5300</v>
      </c>
      <c r="CU121" s="43">
        <v>5300</v>
      </c>
      <c r="CV121" s="43">
        <v>-4000</v>
      </c>
      <c r="CW121" s="43">
        <v>4000</v>
      </c>
      <c r="CX121" s="43">
        <v>-4800</v>
      </c>
      <c r="CY121" s="43">
        <v>4800</v>
      </c>
      <c r="CZ121" s="43">
        <v>12826.10865459</v>
      </c>
      <c r="DA121" s="43">
        <v>0</v>
      </c>
      <c r="DB121" s="114">
        <v>17590.6289</v>
      </c>
      <c r="DC121" s="43"/>
      <c r="DD121" s="117">
        <v>37536.061999999998</v>
      </c>
      <c r="DE121" s="55">
        <v>2311.5770000000002</v>
      </c>
      <c r="DF121" s="59">
        <v>1859.5453471346</v>
      </c>
      <c r="DG121" s="59">
        <v>41707.184347134593</v>
      </c>
      <c r="DH121" s="117">
        <v>9459.2720000000008</v>
      </c>
      <c r="DI121" s="117">
        <v>61242.411</v>
      </c>
      <c r="DJ121" s="55">
        <v>7979</v>
      </c>
      <c r="DK121" s="114">
        <v>69221.410999999993</v>
      </c>
      <c r="DL121" s="43"/>
      <c r="DM121" s="117">
        <v>602.58399999999995</v>
      </c>
      <c r="DN121" s="55">
        <v>10493.065843074541</v>
      </c>
      <c r="DO121" s="55">
        <v>11095.649843074541</v>
      </c>
      <c r="DP121" s="59">
        <v>1260.738922991665</v>
      </c>
      <c r="DQ121" s="59">
        <v>2899.4091042639602</v>
      </c>
      <c r="DR121" s="59">
        <v>461.72651774000002</v>
      </c>
      <c r="DS121" s="55">
        <v>3361.1356220039602</v>
      </c>
      <c r="DT121" s="55">
        <v>161.07828357022001</v>
      </c>
      <c r="DU121" s="55">
        <v>161.07828357022001</v>
      </c>
      <c r="DW121" s="121">
        <v>0</v>
      </c>
      <c r="DX121" s="122">
        <v>6779.6610170000004</v>
      </c>
      <c r="DY121" s="128">
        <v>1447.7400829999999</v>
      </c>
      <c r="DZ121" s="128">
        <v>0</v>
      </c>
      <c r="EA121" s="121">
        <v>0</v>
      </c>
      <c r="EB121" s="122">
        <v>904.75671642999998</v>
      </c>
      <c r="EC121" s="121">
        <v>0</v>
      </c>
      <c r="ED121" s="122">
        <v>1271.1864410000001</v>
      </c>
      <c r="EE121" s="121">
        <v>0</v>
      </c>
      <c r="EF121" s="122">
        <v>847.5</v>
      </c>
      <c r="EG121" s="121">
        <v>0</v>
      </c>
      <c r="EH121" s="122">
        <v>7397.5988710000001</v>
      </c>
      <c r="EI121" s="121">
        <v>0</v>
      </c>
      <c r="EJ121" s="122">
        <v>6779.6610170000004</v>
      </c>
      <c r="EK121" s="129">
        <v>904.75671642999998</v>
      </c>
      <c r="EL121" s="130">
        <v>847.5</v>
      </c>
      <c r="EM121" s="131">
        <v>735.83500000000004</v>
      </c>
      <c r="EN121" s="129">
        <v>461.72651774000002</v>
      </c>
      <c r="EO121" s="129">
        <v>10964.025395000001</v>
      </c>
      <c r="EP121" s="129">
        <v>0</v>
      </c>
      <c r="ER121" s="157">
        <v>0</v>
      </c>
      <c r="ES121" s="37">
        <v>0</v>
      </c>
      <c r="ET121" s="55">
        <f t="shared" si="10"/>
        <v>0</v>
      </c>
      <c r="EU121" s="157">
        <v>0</v>
      </c>
      <c r="EV121" s="37">
        <v>0</v>
      </c>
      <c r="EW121" s="55">
        <f t="shared" si="17"/>
        <v>0</v>
      </c>
      <c r="EY121" s="166">
        <v>4495.2225401100004</v>
      </c>
      <c r="EZ121" s="37">
        <v>0</v>
      </c>
      <c r="FA121" s="164">
        <f t="shared" si="11"/>
        <v>0.33043436847966556</v>
      </c>
      <c r="FB121" s="5">
        <v>4613</v>
      </c>
      <c r="FC121" s="164">
        <f t="shared" si="12"/>
        <v>1</v>
      </c>
      <c r="FE121" s="5"/>
      <c r="FF121" s="166">
        <v>0</v>
      </c>
      <c r="FG121" s="37">
        <v>0</v>
      </c>
      <c r="FH121" s="164">
        <f t="shared" si="13"/>
        <v>0</v>
      </c>
      <c r="FI121" s="5">
        <v>0</v>
      </c>
      <c r="FJ121" s="164">
        <f t="shared" si="14"/>
        <v>0</v>
      </c>
      <c r="FL121" s="169">
        <v>7873</v>
      </c>
      <c r="FM121" s="170">
        <f t="shared" si="15"/>
        <v>0.68245451314546257</v>
      </c>
      <c r="FN121" s="169">
        <v>2591</v>
      </c>
      <c r="FO121" s="170">
        <f t="shared" si="16"/>
        <v>0.82634348588741824</v>
      </c>
    </row>
    <row r="122" spans="16:171" x14ac:dyDescent="0.35">
      <c r="P122" s="64">
        <v>120</v>
      </c>
      <c r="Q122" s="109">
        <v>0</v>
      </c>
      <c r="R122" s="110">
        <v>0</v>
      </c>
      <c r="S122" s="111">
        <v>0</v>
      </c>
      <c r="T122" s="110">
        <v>0</v>
      </c>
      <c r="U122" s="111">
        <v>0</v>
      </c>
      <c r="V122" s="110">
        <v>0</v>
      </c>
      <c r="W122" s="111">
        <v>0</v>
      </c>
      <c r="X122" s="110">
        <v>0</v>
      </c>
      <c r="Y122" s="111">
        <v>0</v>
      </c>
      <c r="Z122" s="110">
        <v>0</v>
      </c>
      <c r="AA122" s="111">
        <v>0</v>
      </c>
      <c r="AB122" s="110">
        <v>0</v>
      </c>
      <c r="AC122" s="111">
        <v>0</v>
      </c>
      <c r="AD122" s="110">
        <v>0</v>
      </c>
      <c r="AF122" s="64">
        <v>120</v>
      </c>
      <c r="AG122" s="109">
        <v>42630.904199999997</v>
      </c>
      <c r="AH122" s="111">
        <v>1458.2</v>
      </c>
      <c r="AI122" s="109">
        <v>317</v>
      </c>
      <c r="AJ122" s="59">
        <v>0.47899999999999993</v>
      </c>
      <c r="AK122" s="59">
        <v>0.63400000000000001</v>
      </c>
      <c r="AL122" s="59">
        <v>0.63400000000000001</v>
      </c>
      <c r="AM122" s="110">
        <v>136.952</v>
      </c>
      <c r="AN122" s="111">
        <v>3167.0592000000001</v>
      </c>
      <c r="AO122" s="59">
        <v>0.21199999999999999</v>
      </c>
      <c r="AP122" s="55">
        <v>0.27200000000000002</v>
      </c>
      <c r="AQ122" s="109">
        <v>39292.6</v>
      </c>
      <c r="AR122" s="111">
        <v>22442.1</v>
      </c>
      <c r="AS122" s="59">
        <v>0.88100000000000001</v>
      </c>
      <c r="AT122" s="55">
        <v>0.95599999999999996</v>
      </c>
      <c r="AU122" s="43"/>
      <c r="AV122" s="109">
        <v>1071.2570000000001</v>
      </c>
      <c r="AW122" s="110">
        <v>0.43499995939350139</v>
      </c>
      <c r="AX122" s="109">
        <v>896.00099999999998</v>
      </c>
      <c r="AY122" s="110">
        <v>0.55756129433727442</v>
      </c>
      <c r="AZ122" s="109">
        <v>1121.4780000000001</v>
      </c>
      <c r="BA122" s="110">
        <v>0.5784392407674851</v>
      </c>
      <c r="BB122" s="43"/>
      <c r="BC122" s="112">
        <v>55924.239000000001</v>
      </c>
      <c r="BD122" s="110">
        <v>0.80327868852459017</v>
      </c>
      <c r="BE122" s="43"/>
      <c r="BF122" s="157">
        <v>18192.03</v>
      </c>
      <c r="BG122" s="43">
        <v>0</v>
      </c>
      <c r="BH122" s="113">
        <v>0</v>
      </c>
      <c r="BI122" s="114">
        <v>0.55803773006134971</v>
      </c>
      <c r="BJ122" s="115">
        <v>0</v>
      </c>
      <c r="BK122" s="113">
        <v>0</v>
      </c>
      <c r="BL122" s="113">
        <v>0</v>
      </c>
      <c r="BM122" s="113">
        <v>0</v>
      </c>
      <c r="BN122" s="113">
        <v>1942.35</v>
      </c>
      <c r="BO122" s="114">
        <v>0.14411262798634811</v>
      </c>
      <c r="BP122" s="115">
        <v>0</v>
      </c>
      <c r="BQ122" s="43">
        <v>7668</v>
      </c>
      <c r="BR122" s="43">
        <v>0</v>
      </c>
      <c r="BS122" s="43"/>
      <c r="BT122" s="116">
        <v>-700</v>
      </c>
      <c r="BU122" s="43">
        <v>0</v>
      </c>
      <c r="BV122" s="43">
        <v>4485</v>
      </c>
      <c r="BW122" s="43">
        <v>4485</v>
      </c>
      <c r="BX122" s="43">
        <v>0</v>
      </c>
      <c r="BY122" s="43">
        <v>0</v>
      </c>
      <c r="BZ122" s="43">
        <v>-683.88580000000002</v>
      </c>
      <c r="CA122" s="43">
        <v>0</v>
      </c>
      <c r="CB122" s="43">
        <v>-5300</v>
      </c>
      <c r="CC122" s="43">
        <v>0</v>
      </c>
      <c r="CD122" s="43">
        <v>-4000</v>
      </c>
      <c r="CE122" s="43">
        <v>0</v>
      </c>
      <c r="CF122" s="43">
        <v>-4800</v>
      </c>
      <c r="CG122" s="43">
        <v>0</v>
      </c>
      <c r="CH122" s="43">
        <v>13306.642140329999</v>
      </c>
      <c r="CI122" s="43">
        <v>13306.642140329999</v>
      </c>
      <c r="CJ122" s="114">
        <v>17791.642140329997</v>
      </c>
      <c r="CK122" s="43"/>
      <c r="CL122" s="116">
        <v>-700</v>
      </c>
      <c r="CM122" s="43">
        <v>700</v>
      </c>
      <c r="CN122" s="43">
        <v>4485</v>
      </c>
      <c r="CO122" s="43">
        <v>0</v>
      </c>
      <c r="CP122" s="43">
        <v>0</v>
      </c>
      <c r="CQ122" s="43">
        <v>0</v>
      </c>
      <c r="CR122" s="43">
        <v>-683.88580000000002</v>
      </c>
      <c r="CS122" s="43">
        <v>683.88580000000002</v>
      </c>
      <c r="CT122" s="43">
        <v>-5300</v>
      </c>
      <c r="CU122" s="43">
        <v>5300</v>
      </c>
      <c r="CV122" s="43">
        <v>-4000</v>
      </c>
      <c r="CW122" s="43">
        <v>4000</v>
      </c>
      <c r="CX122" s="43">
        <v>-4800</v>
      </c>
      <c r="CY122" s="43">
        <v>4800</v>
      </c>
      <c r="CZ122" s="43">
        <v>13306.642140329999</v>
      </c>
      <c r="DA122" s="43">
        <v>0</v>
      </c>
      <c r="DB122" s="114">
        <v>15483.8858</v>
      </c>
      <c r="DC122" s="43"/>
      <c r="DD122" s="117">
        <v>35256.648000000001</v>
      </c>
      <c r="DE122" s="55">
        <v>2218.6370000000002</v>
      </c>
      <c r="DF122" s="59">
        <v>1550.2014247498</v>
      </c>
      <c r="DG122" s="59">
        <v>39025.486424749804</v>
      </c>
      <c r="DH122" s="117">
        <v>9036.2420000000002</v>
      </c>
      <c r="DI122" s="117">
        <v>60391.411</v>
      </c>
      <c r="DJ122" s="55">
        <v>8219</v>
      </c>
      <c r="DK122" s="114">
        <v>68610.410999999993</v>
      </c>
      <c r="DL122" s="43"/>
      <c r="DM122" s="117">
        <v>615.07899999999995</v>
      </c>
      <c r="DN122" s="55">
        <v>10493.065843074541</v>
      </c>
      <c r="DO122" s="55">
        <v>11108.14484307454</v>
      </c>
      <c r="DP122" s="59">
        <v>1260.738922991665</v>
      </c>
      <c r="DQ122" s="59">
        <v>2899.4091042639602</v>
      </c>
      <c r="DR122" s="59">
        <v>461.72651774000002</v>
      </c>
      <c r="DS122" s="55">
        <v>3361.1356220039602</v>
      </c>
      <c r="DT122" s="55">
        <v>161.07828357022001</v>
      </c>
      <c r="DU122" s="55">
        <v>161.07828357022001</v>
      </c>
      <c r="DW122" s="121">
        <v>0</v>
      </c>
      <c r="DX122" s="122">
        <v>6779.6610170000004</v>
      </c>
      <c r="DY122" s="128">
        <v>1447.7400829999999</v>
      </c>
      <c r="DZ122" s="128">
        <v>0</v>
      </c>
      <c r="EA122" s="121">
        <v>0</v>
      </c>
      <c r="EB122" s="122">
        <v>574.75671642999998</v>
      </c>
      <c r="EC122" s="121">
        <v>0</v>
      </c>
      <c r="ED122" s="122">
        <v>1271.1864410000001</v>
      </c>
      <c r="EE122" s="121">
        <v>0</v>
      </c>
      <c r="EF122" s="122">
        <v>847.5</v>
      </c>
      <c r="EG122" s="121">
        <v>0</v>
      </c>
      <c r="EH122" s="122">
        <v>7397.5988710000001</v>
      </c>
      <c r="EI122" s="121">
        <v>0</v>
      </c>
      <c r="EJ122" s="122">
        <v>6779.6610170000004</v>
      </c>
      <c r="EK122" s="129">
        <v>574.75671642999998</v>
      </c>
      <c r="EL122" s="130">
        <v>847.5</v>
      </c>
      <c r="EM122" s="131">
        <v>735.83500000000004</v>
      </c>
      <c r="EN122" s="129">
        <v>461.72651774000002</v>
      </c>
      <c r="EO122" s="129">
        <v>10964.025395000001</v>
      </c>
      <c r="EP122" s="129">
        <v>0</v>
      </c>
      <c r="ER122" s="157">
        <v>0</v>
      </c>
      <c r="ES122" s="37">
        <v>0</v>
      </c>
      <c r="ET122" s="55">
        <f t="shared" si="10"/>
        <v>0</v>
      </c>
      <c r="EU122" s="157">
        <v>0</v>
      </c>
      <c r="EV122" s="37">
        <v>0</v>
      </c>
      <c r="EW122" s="55">
        <f t="shared" si="17"/>
        <v>0</v>
      </c>
      <c r="EY122" s="166">
        <v>4735.6556124700001</v>
      </c>
      <c r="EZ122" s="37">
        <v>0</v>
      </c>
      <c r="FA122" s="164">
        <f t="shared" si="11"/>
        <v>0.34810809869391163</v>
      </c>
      <c r="FB122" s="5">
        <v>4613</v>
      </c>
      <c r="FC122" s="164">
        <f t="shared" si="12"/>
        <v>1</v>
      </c>
      <c r="FE122" s="5"/>
      <c r="FF122" s="166">
        <v>0</v>
      </c>
      <c r="FG122" s="37">
        <v>0</v>
      </c>
      <c r="FH122" s="164">
        <f t="shared" si="13"/>
        <v>0</v>
      </c>
      <c r="FI122" s="5">
        <v>0</v>
      </c>
      <c r="FJ122" s="164">
        <f t="shared" si="14"/>
        <v>0</v>
      </c>
      <c r="FL122" s="169">
        <v>7873</v>
      </c>
      <c r="FM122" s="170">
        <f t="shared" si="15"/>
        <v>0.68245451314546257</v>
      </c>
      <c r="FN122" s="169">
        <v>2591</v>
      </c>
      <c r="FO122" s="170">
        <f t="shared" si="16"/>
        <v>0.82634348588741824</v>
      </c>
    </row>
    <row r="123" spans="16:171" x14ac:dyDescent="0.35">
      <c r="P123" s="64">
        <v>121</v>
      </c>
      <c r="Q123" s="109">
        <v>0</v>
      </c>
      <c r="R123" s="110">
        <v>0</v>
      </c>
      <c r="S123" s="111">
        <v>0</v>
      </c>
      <c r="T123" s="110">
        <v>0</v>
      </c>
      <c r="U123" s="111">
        <v>0</v>
      </c>
      <c r="V123" s="110">
        <v>0</v>
      </c>
      <c r="W123" s="111">
        <v>0</v>
      </c>
      <c r="X123" s="110">
        <v>0</v>
      </c>
      <c r="Y123" s="111">
        <v>0</v>
      </c>
      <c r="Z123" s="110">
        <v>0</v>
      </c>
      <c r="AA123" s="111">
        <v>0</v>
      </c>
      <c r="AB123" s="110">
        <v>0</v>
      </c>
      <c r="AC123" s="111">
        <v>0</v>
      </c>
      <c r="AD123" s="110">
        <v>0</v>
      </c>
      <c r="AF123" s="64">
        <v>121</v>
      </c>
      <c r="AG123" s="109">
        <v>43876.901400000002</v>
      </c>
      <c r="AH123" s="111">
        <v>1455.9</v>
      </c>
      <c r="AI123" s="109">
        <v>316.5</v>
      </c>
      <c r="AJ123" s="59">
        <v>0.49299999999999999</v>
      </c>
      <c r="AK123" s="59">
        <v>0.63300000000000001</v>
      </c>
      <c r="AL123" s="59">
        <v>0.63300000000000001</v>
      </c>
      <c r="AM123" s="110">
        <v>115.634</v>
      </c>
      <c r="AN123" s="111">
        <v>3271.8516</v>
      </c>
      <c r="AO123" s="59">
        <v>0.17899999999999999</v>
      </c>
      <c r="AP123" s="55">
        <v>0.28099999999999997</v>
      </c>
      <c r="AQ123" s="109">
        <v>38356</v>
      </c>
      <c r="AR123" s="111">
        <v>22348.2</v>
      </c>
      <c r="AS123" s="59">
        <v>0.86</v>
      </c>
      <c r="AT123" s="55">
        <v>0.95200000000000007</v>
      </c>
      <c r="AU123" s="43"/>
      <c r="AV123" s="109">
        <v>886.55799999999999</v>
      </c>
      <c r="AW123" s="110">
        <v>0.3600001624259947</v>
      </c>
      <c r="AX123" s="109">
        <v>875.71799999999996</v>
      </c>
      <c r="AY123" s="110">
        <v>0.5449396390790292</v>
      </c>
      <c r="AZ123" s="109">
        <v>1121.4780000000001</v>
      </c>
      <c r="BA123" s="110">
        <v>0.5784392407674851</v>
      </c>
      <c r="BB123" s="43"/>
      <c r="BC123" s="112">
        <v>55924.239000000001</v>
      </c>
      <c r="BD123" s="110">
        <v>0.80327868852459017</v>
      </c>
      <c r="BE123" s="43"/>
      <c r="BF123" s="157">
        <v>18734.704000000002</v>
      </c>
      <c r="BG123" s="43">
        <v>0</v>
      </c>
      <c r="BH123" s="113">
        <v>0</v>
      </c>
      <c r="BI123" s="114">
        <v>0.57468417177914111</v>
      </c>
      <c r="BJ123" s="115">
        <v>0</v>
      </c>
      <c r="BK123" s="113">
        <v>0</v>
      </c>
      <c r="BL123" s="113">
        <v>0</v>
      </c>
      <c r="BM123" s="113">
        <v>0</v>
      </c>
      <c r="BN123" s="113">
        <v>1651.961</v>
      </c>
      <c r="BO123" s="114">
        <v>0.12256722065588366</v>
      </c>
      <c r="BP123" s="115">
        <v>0</v>
      </c>
      <c r="BQ123" s="43">
        <v>7668</v>
      </c>
      <c r="BR123" s="43">
        <v>0</v>
      </c>
      <c r="BS123" s="43"/>
      <c r="BT123" s="116">
        <v>-700</v>
      </c>
      <c r="BU123" s="43">
        <v>0</v>
      </c>
      <c r="BV123" s="43">
        <v>4485</v>
      </c>
      <c r="BW123" s="43">
        <v>4485</v>
      </c>
      <c r="BX123" s="43">
        <v>0</v>
      </c>
      <c r="BY123" s="43">
        <v>0</v>
      </c>
      <c r="BZ123" s="43">
        <v>5000</v>
      </c>
      <c r="CA123" s="43">
        <v>5000</v>
      </c>
      <c r="CB123" s="43">
        <v>-5300</v>
      </c>
      <c r="CC123" s="43">
        <v>0</v>
      </c>
      <c r="CD123" s="43">
        <v>-4000</v>
      </c>
      <c r="CE123" s="43">
        <v>0</v>
      </c>
      <c r="CF123" s="43">
        <v>-4800</v>
      </c>
      <c r="CG123" s="43">
        <v>0</v>
      </c>
      <c r="CH123" s="43">
        <v>12220.270911269999</v>
      </c>
      <c r="CI123" s="43">
        <v>12220.270911269999</v>
      </c>
      <c r="CJ123" s="114">
        <v>21705.270911269999</v>
      </c>
      <c r="CK123" s="43"/>
      <c r="CL123" s="116">
        <v>-700</v>
      </c>
      <c r="CM123" s="43">
        <v>700</v>
      </c>
      <c r="CN123" s="43">
        <v>4485</v>
      </c>
      <c r="CO123" s="43">
        <v>0</v>
      </c>
      <c r="CP123" s="43">
        <v>0</v>
      </c>
      <c r="CQ123" s="43">
        <v>0</v>
      </c>
      <c r="CR123" s="43">
        <v>5000</v>
      </c>
      <c r="CS123" s="43">
        <v>0</v>
      </c>
      <c r="CT123" s="43">
        <v>-5300</v>
      </c>
      <c r="CU123" s="43">
        <v>5300</v>
      </c>
      <c r="CV123" s="43">
        <v>-4000</v>
      </c>
      <c r="CW123" s="43">
        <v>4000</v>
      </c>
      <c r="CX123" s="43">
        <v>-4800</v>
      </c>
      <c r="CY123" s="43">
        <v>4800</v>
      </c>
      <c r="CZ123" s="43">
        <v>12220.270911269999</v>
      </c>
      <c r="DA123" s="43">
        <v>0</v>
      </c>
      <c r="DB123" s="114">
        <v>14800</v>
      </c>
      <c r="DC123" s="43"/>
      <c r="DD123" s="117">
        <v>32288.242999999999</v>
      </c>
      <c r="DE123" s="55">
        <v>2115.34</v>
      </c>
      <c r="DF123" s="59">
        <v>1260.0656243142</v>
      </c>
      <c r="DG123" s="59">
        <v>35663.648624314199</v>
      </c>
      <c r="DH123" s="117">
        <v>8261.5229999999992</v>
      </c>
      <c r="DI123" s="117">
        <v>55637.411</v>
      </c>
      <c r="DJ123" s="55">
        <v>8225</v>
      </c>
      <c r="DK123" s="114">
        <v>63862.411</v>
      </c>
      <c r="DL123" s="43"/>
      <c r="DM123" s="117">
        <v>651.60199999999998</v>
      </c>
      <c r="DN123" s="55">
        <v>10490.3985776968</v>
      </c>
      <c r="DO123" s="55">
        <v>11142.000577696801</v>
      </c>
      <c r="DP123" s="59">
        <v>1601.956469328378</v>
      </c>
      <c r="DQ123" s="59">
        <v>2897.904127127681</v>
      </c>
      <c r="DR123" s="59">
        <v>463.23149487000001</v>
      </c>
      <c r="DS123" s="55">
        <v>3361.135621997681</v>
      </c>
      <c r="DT123" s="55">
        <v>160.99467372931559</v>
      </c>
      <c r="DU123" s="55">
        <v>160.99467372931559</v>
      </c>
      <c r="DW123" s="121">
        <v>0</v>
      </c>
      <c r="DX123" s="122">
        <v>6779.6610170000004</v>
      </c>
      <c r="DY123" s="128">
        <v>1447.7400829999999</v>
      </c>
      <c r="DZ123" s="128">
        <v>0</v>
      </c>
      <c r="EA123" s="121">
        <v>0</v>
      </c>
      <c r="EB123" s="122">
        <v>244.84032626999999</v>
      </c>
      <c r="EC123" s="121">
        <v>0</v>
      </c>
      <c r="ED123" s="122">
        <v>1271.1864410000001</v>
      </c>
      <c r="EE123" s="121">
        <v>0</v>
      </c>
      <c r="EF123" s="122">
        <v>847.5</v>
      </c>
      <c r="EG123" s="121">
        <v>0</v>
      </c>
      <c r="EH123" s="122">
        <v>7397.5988710000001</v>
      </c>
      <c r="EI123" s="121">
        <v>0</v>
      </c>
      <c r="EJ123" s="122">
        <v>6779.6610170000004</v>
      </c>
      <c r="EK123" s="129">
        <v>244.84032626999999</v>
      </c>
      <c r="EL123" s="130">
        <v>847.5</v>
      </c>
      <c r="EM123" s="131">
        <v>735.83500000000004</v>
      </c>
      <c r="EN123" s="129">
        <v>463.23149487000001</v>
      </c>
      <c r="EO123" s="129">
        <v>10964.025395000001</v>
      </c>
      <c r="EP123" s="129">
        <v>0</v>
      </c>
      <c r="ER123" s="157">
        <v>0</v>
      </c>
      <c r="ES123" s="37">
        <v>0</v>
      </c>
      <c r="ET123" s="55">
        <f t="shared" si="10"/>
        <v>0</v>
      </c>
      <c r="EU123" s="157">
        <v>0</v>
      </c>
      <c r="EV123" s="37">
        <v>0</v>
      </c>
      <c r="EW123" s="55">
        <f t="shared" si="17"/>
        <v>0</v>
      </c>
      <c r="EY123" s="166">
        <v>5087.1292435699997</v>
      </c>
      <c r="EZ123" s="37">
        <v>0</v>
      </c>
      <c r="FA123" s="164">
        <f t="shared" si="11"/>
        <v>0.3739441871841917</v>
      </c>
      <c r="FB123" s="5">
        <v>4613</v>
      </c>
      <c r="FC123" s="164">
        <f t="shared" si="12"/>
        <v>1</v>
      </c>
      <c r="FE123" s="5"/>
      <c r="FF123" s="166">
        <v>2897.4</v>
      </c>
      <c r="FG123" s="37">
        <v>0</v>
      </c>
      <c r="FH123" s="164">
        <f t="shared" si="13"/>
        <v>0.21751027532233547</v>
      </c>
      <c r="FI123" s="5">
        <v>0</v>
      </c>
      <c r="FJ123" s="164">
        <f t="shared" si="14"/>
        <v>0</v>
      </c>
      <c r="FL123" s="169">
        <v>7873</v>
      </c>
      <c r="FM123" s="170">
        <f t="shared" si="15"/>
        <v>0.68245451314546257</v>
      </c>
      <c r="FN123" s="169">
        <v>2591</v>
      </c>
      <c r="FO123" s="170">
        <f t="shared" si="16"/>
        <v>0.82634348588741824</v>
      </c>
    </row>
    <row r="124" spans="16:171" x14ac:dyDescent="0.35">
      <c r="P124" s="64">
        <v>122</v>
      </c>
      <c r="Q124" s="109">
        <v>0</v>
      </c>
      <c r="R124" s="110">
        <v>0</v>
      </c>
      <c r="S124" s="111">
        <v>0</v>
      </c>
      <c r="T124" s="110">
        <v>0</v>
      </c>
      <c r="U124" s="111">
        <v>0</v>
      </c>
      <c r="V124" s="110">
        <v>0</v>
      </c>
      <c r="W124" s="111">
        <v>0</v>
      </c>
      <c r="X124" s="110">
        <v>0</v>
      </c>
      <c r="Y124" s="111">
        <v>0</v>
      </c>
      <c r="Z124" s="110">
        <v>0</v>
      </c>
      <c r="AA124" s="111">
        <v>0</v>
      </c>
      <c r="AB124" s="110">
        <v>0</v>
      </c>
      <c r="AC124" s="111">
        <v>0</v>
      </c>
      <c r="AD124" s="110">
        <v>0</v>
      </c>
      <c r="AF124" s="64">
        <v>122</v>
      </c>
      <c r="AG124" s="109">
        <v>43965.9012</v>
      </c>
      <c r="AH124" s="111">
        <v>1465.1</v>
      </c>
      <c r="AI124" s="109">
        <v>318.5</v>
      </c>
      <c r="AJ124" s="59">
        <v>0.49399999999999999</v>
      </c>
      <c r="AK124" s="59">
        <v>0.63700000000000001</v>
      </c>
      <c r="AL124" s="59">
        <v>0.63700000000000001</v>
      </c>
      <c r="AM124" s="110">
        <v>95.608000000000004</v>
      </c>
      <c r="AN124" s="111">
        <v>2980.7615999999998</v>
      </c>
      <c r="AO124" s="59">
        <v>0.14799999999999999</v>
      </c>
      <c r="AP124" s="55">
        <v>0.25599999999999995</v>
      </c>
      <c r="AQ124" s="109">
        <v>36795</v>
      </c>
      <c r="AR124" s="111">
        <v>22301.25</v>
      </c>
      <c r="AS124" s="59">
        <v>0.82499999999999996</v>
      </c>
      <c r="AT124" s="55">
        <v>0.95</v>
      </c>
      <c r="AU124" s="43"/>
      <c r="AV124" s="109">
        <v>871.78200000000004</v>
      </c>
      <c r="AW124" s="110">
        <v>0.3540001461833952</v>
      </c>
      <c r="AX124" s="109">
        <v>867.94899999999996</v>
      </c>
      <c r="AY124" s="110">
        <v>0.54010516490354699</v>
      </c>
      <c r="AZ124" s="109">
        <v>1121.4780000000001</v>
      </c>
      <c r="BA124" s="110">
        <v>0.5784392407674851</v>
      </c>
      <c r="BB124" s="43"/>
      <c r="BC124" s="112">
        <v>55924.239000000001</v>
      </c>
      <c r="BD124" s="110">
        <v>0.80327868852459017</v>
      </c>
      <c r="BE124" s="43"/>
      <c r="BF124" s="157">
        <v>18766.608</v>
      </c>
      <c r="BG124" s="43">
        <v>0</v>
      </c>
      <c r="BH124" s="113">
        <v>0</v>
      </c>
      <c r="BI124" s="114">
        <v>0.57566282208588959</v>
      </c>
      <c r="BJ124" s="115">
        <v>0</v>
      </c>
      <c r="BK124" s="113">
        <v>0</v>
      </c>
      <c r="BL124" s="113">
        <v>0</v>
      </c>
      <c r="BM124" s="113">
        <v>0</v>
      </c>
      <c r="BN124" s="113">
        <v>1385.38</v>
      </c>
      <c r="BO124" s="114">
        <v>0.10278824751446804</v>
      </c>
      <c r="BP124" s="115">
        <v>0</v>
      </c>
      <c r="BQ124" s="43">
        <v>7668</v>
      </c>
      <c r="BR124" s="43">
        <v>0</v>
      </c>
      <c r="BS124" s="43"/>
      <c r="BT124" s="116">
        <v>-700</v>
      </c>
      <c r="BU124" s="43">
        <v>0</v>
      </c>
      <c r="BV124" s="43">
        <v>4485</v>
      </c>
      <c r="BW124" s="43">
        <v>4485</v>
      </c>
      <c r="BX124" s="43">
        <v>0</v>
      </c>
      <c r="BY124" s="43">
        <v>0</v>
      </c>
      <c r="BZ124" s="43">
        <v>5000</v>
      </c>
      <c r="CA124" s="43">
        <v>5000</v>
      </c>
      <c r="CB124" s="43">
        <v>-5300</v>
      </c>
      <c r="CC124" s="43">
        <v>0</v>
      </c>
      <c r="CD124" s="43">
        <v>-4000</v>
      </c>
      <c r="CE124" s="43">
        <v>0</v>
      </c>
      <c r="CF124" s="43">
        <v>-4800</v>
      </c>
      <c r="CG124" s="43">
        <v>0</v>
      </c>
      <c r="CH124" s="43">
        <v>13063.90643606</v>
      </c>
      <c r="CI124" s="43">
        <v>13063.90643606</v>
      </c>
      <c r="CJ124" s="114">
        <v>22548.906436060002</v>
      </c>
      <c r="CK124" s="43"/>
      <c r="CL124" s="116">
        <v>-700</v>
      </c>
      <c r="CM124" s="43">
        <v>700</v>
      </c>
      <c r="CN124" s="43">
        <v>4485</v>
      </c>
      <c r="CO124" s="43">
        <v>0</v>
      </c>
      <c r="CP124" s="43">
        <v>0</v>
      </c>
      <c r="CQ124" s="43">
        <v>0</v>
      </c>
      <c r="CR124" s="43">
        <v>5000</v>
      </c>
      <c r="CS124" s="43">
        <v>0</v>
      </c>
      <c r="CT124" s="43">
        <v>-5300</v>
      </c>
      <c r="CU124" s="43">
        <v>5300</v>
      </c>
      <c r="CV124" s="43">
        <v>-4000</v>
      </c>
      <c r="CW124" s="43">
        <v>4000</v>
      </c>
      <c r="CX124" s="43">
        <v>-4800</v>
      </c>
      <c r="CY124" s="43">
        <v>4800</v>
      </c>
      <c r="CZ124" s="43">
        <v>13063.90643606</v>
      </c>
      <c r="DA124" s="43">
        <v>0</v>
      </c>
      <c r="DB124" s="114">
        <v>14800</v>
      </c>
      <c r="DC124" s="43"/>
      <c r="DD124" s="117">
        <v>30245.455000000002</v>
      </c>
      <c r="DE124" s="55">
        <v>2040.8309999999999</v>
      </c>
      <c r="DF124" s="59">
        <v>950.67906937949999</v>
      </c>
      <c r="DG124" s="59">
        <v>33236.965069379497</v>
      </c>
      <c r="DH124" s="117">
        <v>7829.38</v>
      </c>
      <c r="DI124" s="117">
        <v>53203.411</v>
      </c>
      <c r="DJ124" s="55">
        <v>8281</v>
      </c>
      <c r="DK124" s="114">
        <v>61484.411</v>
      </c>
      <c r="DL124" s="43"/>
      <c r="DM124" s="117">
        <v>676.44600000000003</v>
      </c>
      <c r="DN124" s="55">
        <v>10490.3985776968</v>
      </c>
      <c r="DO124" s="55">
        <v>11166.8445776968</v>
      </c>
      <c r="DP124" s="59">
        <v>1601.956469328378</v>
      </c>
      <c r="DQ124" s="59">
        <v>2897.904127127681</v>
      </c>
      <c r="DR124" s="59">
        <v>463.23149487000001</v>
      </c>
      <c r="DS124" s="55">
        <v>3361.135621997681</v>
      </c>
      <c r="DT124" s="55">
        <v>160.99467372931559</v>
      </c>
      <c r="DU124" s="55">
        <v>160.99467372931559</v>
      </c>
      <c r="DW124" s="121">
        <v>0</v>
      </c>
      <c r="DX124" s="122">
        <v>6779.6610170000004</v>
      </c>
      <c r="DY124" s="128">
        <v>1447.7400829999999</v>
      </c>
      <c r="DZ124" s="128">
        <v>0</v>
      </c>
      <c r="EA124" s="121">
        <v>0</v>
      </c>
      <c r="EB124" s="122">
        <v>282.01795542000002</v>
      </c>
      <c r="EC124" s="121">
        <v>0</v>
      </c>
      <c r="ED124" s="122">
        <v>1271.1864410000001</v>
      </c>
      <c r="EE124" s="121">
        <v>0</v>
      </c>
      <c r="EF124" s="122">
        <v>847.5</v>
      </c>
      <c r="EG124" s="121">
        <v>0</v>
      </c>
      <c r="EH124" s="122">
        <v>7397.5988710000001</v>
      </c>
      <c r="EI124" s="121">
        <v>0</v>
      </c>
      <c r="EJ124" s="122">
        <v>6779.6610170000004</v>
      </c>
      <c r="EK124" s="129">
        <v>282.01795542000002</v>
      </c>
      <c r="EL124" s="130">
        <v>847.5</v>
      </c>
      <c r="EM124" s="131">
        <v>735.83500000000004</v>
      </c>
      <c r="EN124" s="129">
        <v>463.23149487000001</v>
      </c>
      <c r="EO124" s="129">
        <v>10964.025395000001</v>
      </c>
      <c r="EP124" s="129">
        <v>0</v>
      </c>
      <c r="ER124" s="157">
        <v>0</v>
      </c>
      <c r="ES124" s="37">
        <v>0</v>
      </c>
      <c r="ET124" s="55">
        <f t="shared" si="10"/>
        <v>0</v>
      </c>
      <c r="EU124" s="157">
        <v>0</v>
      </c>
      <c r="EV124" s="37">
        <v>0</v>
      </c>
      <c r="EW124" s="55">
        <f t="shared" si="17"/>
        <v>0</v>
      </c>
      <c r="EY124" s="166">
        <v>0</v>
      </c>
      <c r="EZ124" s="37">
        <v>0</v>
      </c>
      <c r="FA124" s="164">
        <f t="shared" si="11"/>
        <v>0</v>
      </c>
      <c r="FB124" s="5">
        <v>4613</v>
      </c>
      <c r="FC124" s="164">
        <f t="shared" si="12"/>
        <v>1</v>
      </c>
      <c r="FE124" s="5"/>
      <c r="FF124" s="166">
        <v>2897.4</v>
      </c>
      <c r="FG124" s="37">
        <v>0</v>
      </c>
      <c r="FH124" s="164">
        <f t="shared" si="13"/>
        <v>0.21751027532233547</v>
      </c>
      <c r="FI124" s="5">
        <v>0</v>
      </c>
      <c r="FJ124" s="164">
        <f t="shared" si="14"/>
        <v>0</v>
      </c>
      <c r="FL124" s="169">
        <v>7873</v>
      </c>
      <c r="FM124" s="170">
        <f t="shared" si="15"/>
        <v>0.68245451314546257</v>
      </c>
      <c r="FN124" s="169">
        <v>2591</v>
      </c>
      <c r="FO124" s="170">
        <f t="shared" si="16"/>
        <v>0.82634348588741824</v>
      </c>
    </row>
    <row r="125" spans="16:171" x14ac:dyDescent="0.35">
      <c r="P125" s="64">
        <v>123</v>
      </c>
      <c r="Q125" s="109">
        <v>0</v>
      </c>
      <c r="R125" s="110">
        <v>0</v>
      </c>
      <c r="S125" s="111">
        <v>0</v>
      </c>
      <c r="T125" s="110">
        <v>0</v>
      </c>
      <c r="U125" s="111">
        <v>0</v>
      </c>
      <c r="V125" s="110">
        <v>0</v>
      </c>
      <c r="W125" s="111">
        <v>0</v>
      </c>
      <c r="X125" s="110">
        <v>0</v>
      </c>
      <c r="Y125" s="111">
        <v>0</v>
      </c>
      <c r="Z125" s="110">
        <v>0</v>
      </c>
      <c r="AA125" s="111">
        <v>0</v>
      </c>
      <c r="AB125" s="110">
        <v>0</v>
      </c>
      <c r="AC125" s="111">
        <v>0</v>
      </c>
      <c r="AD125" s="110">
        <v>0</v>
      </c>
      <c r="AF125" s="64">
        <v>123</v>
      </c>
      <c r="AG125" s="109">
        <v>43342.902600000001</v>
      </c>
      <c r="AH125" s="111">
        <v>1485.8</v>
      </c>
      <c r="AI125" s="109">
        <v>323</v>
      </c>
      <c r="AJ125" s="59">
        <v>0.48699999999999999</v>
      </c>
      <c r="AK125" s="59">
        <v>0.64600000000000002</v>
      </c>
      <c r="AL125" s="59">
        <v>0.64600000000000002</v>
      </c>
      <c r="AM125" s="110">
        <v>82.042000000000002</v>
      </c>
      <c r="AN125" s="111">
        <v>2573.2356</v>
      </c>
      <c r="AO125" s="59">
        <v>0.127</v>
      </c>
      <c r="AP125" s="55">
        <v>0.221</v>
      </c>
      <c r="AQ125" s="109">
        <v>35323.199999999997</v>
      </c>
      <c r="AR125" s="111">
        <v>22277.775000000001</v>
      </c>
      <c r="AS125" s="59">
        <v>0.79199999999999993</v>
      </c>
      <c r="AT125" s="55">
        <v>0.94900000000000007</v>
      </c>
      <c r="AU125" s="43"/>
      <c r="AV125" s="109">
        <v>864.39400000000001</v>
      </c>
      <c r="AW125" s="110">
        <v>0.35100013806209546</v>
      </c>
      <c r="AX125" s="109">
        <v>865.53800000000001</v>
      </c>
      <c r="AY125" s="110">
        <v>0.53860485376477907</v>
      </c>
      <c r="AZ125" s="109">
        <v>1121.4780000000001</v>
      </c>
      <c r="BA125" s="110">
        <v>0.5784392407674851</v>
      </c>
      <c r="BB125" s="43"/>
      <c r="BC125" s="112">
        <v>54782.928</v>
      </c>
      <c r="BD125" s="110">
        <v>0.78688524590163933</v>
      </c>
      <c r="BE125" s="43"/>
      <c r="BF125" s="157">
        <v>18516.809000000001</v>
      </c>
      <c r="BG125" s="43">
        <v>0</v>
      </c>
      <c r="BH125" s="113">
        <v>0</v>
      </c>
      <c r="BI125" s="114">
        <v>0.56800027607361969</v>
      </c>
      <c r="BJ125" s="115">
        <v>0</v>
      </c>
      <c r="BK125" s="113">
        <v>0</v>
      </c>
      <c r="BL125" s="113">
        <v>0</v>
      </c>
      <c r="BM125" s="113">
        <v>0</v>
      </c>
      <c r="BN125" s="113">
        <v>1210.2760000000001</v>
      </c>
      <c r="BO125" s="114">
        <v>8.9796408962754121E-2</v>
      </c>
      <c r="BP125" s="115">
        <v>0</v>
      </c>
      <c r="BQ125" s="43">
        <v>7668</v>
      </c>
      <c r="BR125" s="43">
        <v>0</v>
      </c>
      <c r="BS125" s="43"/>
      <c r="BT125" s="116">
        <v>-700</v>
      </c>
      <c r="BU125" s="43">
        <v>0</v>
      </c>
      <c r="BV125" s="43">
        <v>4485</v>
      </c>
      <c r="BW125" s="43">
        <v>4485</v>
      </c>
      <c r="BX125" s="43">
        <v>0</v>
      </c>
      <c r="BY125" s="43">
        <v>0</v>
      </c>
      <c r="BZ125" s="43">
        <v>5000</v>
      </c>
      <c r="CA125" s="43">
        <v>5000</v>
      </c>
      <c r="CB125" s="43">
        <v>-5300</v>
      </c>
      <c r="CC125" s="43">
        <v>0</v>
      </c>
      <c r="CD125" s="43">
        <v>-4000</v>
      </c>
      <c r="CE125" s="43">
        <v>0</v>
      </c>
      <c r="CF125" s="43">
        <v>-4800</v>
      </c>
      <c r="CG125" s="43">
        <v>0</v>
      </c>
      <c r="CH125" s="43">
        <v>12577.671658990001</v>
      </c>
      <c r="CI125" s="43">
        <v>12577.671658990001</v>
      </c>
      <c r="CJ125" s="114">
        <v>22062.671658990002</v>
      </c>
      <c r="CK125" s="43"/>
      <c r="CL125" s="116">
        <v>-700</v>
      </c>
      <c r="CM125" s="43">
        <v>700</v>
      </c>
      <c r="CN125" s="43">
        <v>4485</v>
      </c>
      <c r="CO125" s="43">
        <v>0</v>
      </c>
      <c r="CP125" s="43">
        <v>0</v>
      </c>
      <c r="CQ125" s="43">
        <v>0</v>
      </c>
      <c r="CR125" s="43">
        <v>5000</v>
      </c>
      <c r="CS125" s="43">
        <v>0</v>
      </c>
      <c r="CT125" s="43">
        <v>-5300</v>
      </c>
      <c r="CU125" s="43">
        <v>5300</v>
      </c>
      <c r="CV125" s="43">
        <v>-4000</v>
      </c>
      <c r="CW125" s="43">
        <v>4000</v>
      </c>
      <c r="CX125" s="43">
        <v>-4800</v>
      </c>
      <c r="CY125" s="43">
        <v>4800</v>
      </c>
      <c r="CZ125" s="43">
        <v>12577.671658990001</v>
      </c>
      <c r="DA125" s="43">
        <v>0</v>
      </c>
      <c r="DB125" s="114">
        <v>14800</v>
      </c>
      <c r="DC125" s="43"/>
      <c r="DD125" s="117">
        <v>28715.371999999999</v>
      </c>
      <c r="DE125" s="55">
        <v>1992.9269999999999</v>
      </c>
      <c r="DF125" s="59">
        <v>1573.8567565034</v>
      </c>
      <c r="DG125" s="59">
        <v>32282.155756503398</v>
      </c>
      <c r="DH125" s="117">
        <v>7422.616</v>
      </c>
      <c r="DI125" s="117">
        <v>51297.411</v>
      </c>
      <c r="DJ125" s="55">
        <v>8434</v>
      </c>
      <c r="DK125" s="114">
        <v>59731.411</v>
      </c>
      <c r="DL125" s="43"/>
      <c r="DM125" s="117">
        <v>733.84299999999996</v>
      </c>
      <c r="DN125" s="55">
        <v>10490.3985776968</v>
      </c>
      <c r="DO125" s="55">
        <v>11224.241577696801</v>
      </c>
      <c r="DP125" s="59">
        <v>1601.956469328378</v>
      </c>
      <c r="DQ125" s="59">
        <v>2897.904127127681</v>
      </c>
      <c r="DR125" s="59">
        <v>463.23149487000001</v>
      </c>
      <c r="DS125" s="55">
        <v>3361.135621997681</v>
      </c>
      <c r="DT125" s="55">
        <v>160.99467372931559</v>
      </c>
      <c r="DU125" s="55">
        <v>160.99467372931559</v>
      </c>
      <c r="DW125" s="121">
        <v>0</v>
      </c>
      <c r="DX125" s="122">
        <v>6779.6610170000004</v>
      </c>
      <c r="DY125" s="128">
        <v>1447.7400829999999</v>
      </c>
      <c r="DZ125" s="128">
        <v>0</v>
      </c>
      <c r="EA125" s="121">
        <v>0</v>
      </c>
      <c r="EB125" s="122">
        <v>574.84032626999999</v>
      </c>
      <c r="EC125" s="121">
        <v>0</v>
      </c>
      <c r="ED125" s="122">
        <v>1271.1864410000001</v>
      </c>
      <c r="EE125" s="121">
        <v>0</v>
      </c>
      <c r="EF125" s="122">
        <v>847.5</v>
      </c>
      <c r="EG125" s="121">
        <v>0</v>
      </c>
      <c r="EH125" s="122">
        <v>7397.5988710000001</v>
      </c>
      <c r="EI125" s="121">
        <v>0</v>
      </c>
      <c r="EJ125" s="122">
        <v>6779.6610170000004</v>
      </c>
      <c r="EK125" s="129">
        <v>574.84032626999999</v>
      </c>
      <c r="EL125" s="130">
        <v>847.5</v>
      </c>
      <c r="EM125" s="131">
        <v>735.83500000000004</v>
      </c>
      <c r="EN125" s="129">
        <v>463.23149487000001</v>
      </c>
      <c r="EO125" s="129">
        <v>10964.025395000001</v>
      </c>
      <c r="EP125" s="129">
        <v>0</v>
      </c>
      <c r="ER125" s="157">
        <v>0</v>
      </c>
      <c r="ES125" s="37">
        <v>0</v>
      </c>
      <c r="ET125" s="55">
        <f t="shared" si="10"/>
        <v>0</v>
      </c>
      <c r="EU125" s="157">
        <v>0</v>
      </c>
      <c r="EV125" s="37">
        <v>0</v>
      </c>
      <c r="EW125" s="55">
        <f t="shared" si="17"/>
        <v>0</v>
      </c>
      <c r="EY125" s="166">
        <v>0</v>
      </c>
      <c r="EZ125" s="37">
        <v>0</v>
      </c>
      <c r="FA125" s="164">
        <f t="shared" si="11"/>
        <v>0</v>
      </c>
      <c r="FB125" s="5">
        <v>4613</v>
      </c>
      <c r="FC125" s="164">
        <f t="shared" si="12"/>
        <v>1</v>
      </c>
      <c r="FE125" s="5"/>
      <c r="FF125" s="166">
        <v>2897.4</v>
      </c>
      <c r="FG125" s="37">
        <v>0</v>
      </c>
      <c r="FH125" s="164">
        <f t="shared" si="13"/>
        <v>0.21751027532233547</v>
      </c>
      <c r="FI125" s="5">
        <v>3193.1925787199998</v>
      </c>
      <c r="FJ125" s="164">
        <f t="shared" si="14"/>
        <v>0.83221073200938223</v>
      </c>
      <c r="FL125" s="169">
        <v>7873</v>
      </c>
      <c r="FM125" s="170">
        <f t="shared" si="15"/>
        <v>0.68245451314546257</v>
      </c>
      <c r="FN125" s="169">
        <v>2591</v>
      </c>
      <c r="FO125" s="170">
        <f t="shared" si="16"/>
        <v>0.82634348588741824</v>
      </c>
    </row>
    <row r="126" spans="16:171" x14ac:dyDescent="0.35">
      <c r="P126" s="64">
        <v>124</v>
      </c>
      <c r="Q126" s="109">
        <v>0</v>
      </c>
      <c r="R126" s="110">
        <v>0</v>
      </c>
      <c r="S126" s="111">
        <v>0</v>
      </c>
      <c r="T126" s="110">
        <v>0</v>
      </c>
      <c r="U126" s="111">
        <v>0</v>
      </c>
      <c r="V126" s="110">
        <v>0</v>
      </c>
      <c r="W126" s="111">
        <v>0</v>
      </c>
      <c r="X126" s="110">
        <v>0</v>
      </c>
      <c r="Y126" s="111">
        <v>0</v>
      </c>
      <c r="Z126" s="110">
        <v>0</v>
      </c>
      <c r="AA126" s="111">
        <v>0</v>
      </c>
      <c r="AB126" s="110">
        <v>0</v>
      </c>
      <c r="AC126" s="111">
        <v>0</v>
      </c>
      <c r="AD126" s="110">
        <v>0</v>
      </c>
      <c r="AF126" s="64">
        <v>124</v>
      </c>
      <c r="AG126" s="109">
        <v>43253.902800000003</v>
      </c>
      <c r="AH126" s="111">
        <v>1501.9</v>
      </c>
      <c r="AI126" s="109">
        <v>326.5</v>
      </c>
      <c r="AJ126" s="59">
        <v>0.48600000000000004</v>
      </c>
      <c r="AK126" s="59">
        <v>0.65300000000000002</v>
      </c>
      <c r="AL126" s="59">
        <v>0.65300000000000002</v>
      </c>
      <c r="AM126" s="110">
        <v>72.998000000000005</v>
      </c>
      <c r="AN126" s="111">
        <v>2317.0763999999999</v>
      </c>
      <c r="AO126" s="59">
        <v>0.113</v>
      </c>
      <c r="AP126" s="55">
        <v>0.19899999999999998</v>
      </c>
      <c r="AQ126" s="109">
        <v>33896</v>
      </c>
      <c r="AR126" s="111">
        <v>22230.825000000001</v>
      </c>
      <c r="AS126" s="59">
        <v>0.76</v>
      </c>
      <c r="AT126" s="55">
        <v>0.94700000000000006</v>
      </c>
      <c r="AU126" s="43"/>
      <c r="AV126" s="109">
        <v>861.93100000000004</v>
      </c>
      <c r="AW126" s="110">
        <v>0.35000000000000003</v>
      </c>
      <c r="AX126" s="109">
        <v>873.54</v>
      </c>
      <c r="AY126" s="110">
        <v>0.54358431860609835</v>
      </c>
      <c r="AZ126" s="109">
        <v>1121.4780000000001</v>
      </c>
      <c r="BA126" s="110">
        <v>0.5784392407674851</v>
      </c>
      <c r="BB126" s="43"/>
      <c r="BC126" s="112">
        <v>54782.928</v>
      </c>
      <c r="BD126" s="110">
        <v>0.78688524590163933</v>
      </c>
      <c r="BE126" s="43"/>
      <c r="BF126" s="157">
        <v>18469.036</v>
      </c>
      <c r="BG126" s="43">
        <v>0</v>
      </c>
      <c r="BH126" s="113">
        <v>0</v>
      </c>
      <c r="BI126" s="114">
        <v>0.56653484662576692</v>
      </c>
      <c r="BJ126" s="115">
        <v>0</v>
      </c>
      <c r="BK126" s="113">
        <v>0</v>
      </c>
      <c r="BL126" s="113">
        <v>0</v>
      </c>
      <c r="BM126" s="113">
        <v>0</v>
      </c>
      <c r="BN126" s="113">
        <v>1103.001</v>
      </c>
      <c r="BO126" s="114">
        <v>8.183714200920017E-2</v>
      </c>
      <c r="BP126" s="115">
        <v>0</v>
      </c>
      <c r="BQ126" s="43">
        <v>7668</v>
      </c>
      <c r="BR126" s="43">
        <v>0</v>
      </c>
      <c r="BS126" s="43"/>
      <c r="BT126" s="116">
        <v>-700</v>
      </c>
      <c r="BU126" s="43">
        <v>0</v>
      </c>
      <c r="BV126" s="43">
        <v>4485</v>
      </c>
      <c r="BW126" s="43">
        <v>4485</v>
      </c>
      <c r="BX126" s="43">
        <v>0</v>
      </c>
      <c r="BY126" s="43">
        <v>0</v>
      </c>
      <c r="BZ126" s="43">
        <v>5000</v>
      </c>
      <c r="CA126" s="43">
        <v>5000</v>
      </c>
      <c r="CB126" s="43">
        <v>-5300</v>
      </c>
      <c r="CC126" s="43">
        <v>0</v>
      </c>
      <c r="CD126" s="43">
        <v>-4000</v>
      </c>
      <c r="CE126" s="43">
        <v>0</v>
      </c>
      <c r="CF126" s="43">
        <v>-4800</v>
      </c>
      <c r="CG126" s="43">
        <v>0</v>
      </c>
      <c r="CH126" s="43">
        <v>12668.28613946</v>
      </c>
      <c r="CI126" s="43">
        <v>12668.28613946</v>
      </c>
      <c r="CJ126" s="114">
        <v>22153.28613946</v>
      </c>
      <c r="CK126" s="43"/>
      <c r="CL126" s="116">
        <v>-700</v>
      </c>
      <c r="CM126" s="43">
        <v>700</v>
      </c>
      <c r="CN126" s="43">
        <v>4485</v>
      </c>
      <c r="CO126" s="43">
        <v>0</v>
      </c>
      <c r="CP126" s="43">
        <v>0</v>
      </c>
      <c r="CQ126" s="43">
        <v>0</v>
      </c>
      <c r="CR126" s="43">
        <v>5000</v>
      </c>
      <c r="CS126" s="43">
        <v>0</v>
      </c>
      <c r="CT126" s="43">
        <v>-5300</v>
      </c>
      <c r="CU126" s="43">
        <v>5300</v>
      </c>
      <c r="CV126" s="43">
        <v>-4000</v>
      </c>
      <c r="CW126" s="43">
        <v>4000</v>
      </c>
      <c r="CX126" s="43">
        <v>-4800</v>
      </c>
      <c r="CY126" s="43">
        <v>4800</v>
      </c>
      <c r="CZ126" s="43">
        <v>12668.28613946</v>
      </c>
      <c r="DA126" s="43">
        <v>0</v>
      </c>
      <c r="DB126" s="114">
        <v>14800</v>
      </c>
      <c r="DC126" s="43"/>
      <c r="DD126" s="117">
        <v>27649.628000000001</v>
      </c>
      <c r="DE126" s="55">
        <v>1963.6559999999999</v>
      </c>
      <c r="DF126" s="59">
        <v>2506.5258746324998</v>
      </c>
      <c r="DG126" s="59">
        <v>32119.809874632498</v>
      </c>
      <c r="DH126" s="117">
        <v>7222.8249999999998</v>
      </c>
      <c r="DI126" s="117">
        <v>49788.411</v>
      </c>
      <c r="DJ126" s="55">
        <v>8314</v>
      </c>
      <c r="DK126" s="114">
        <v>58102.411</v>
      </c>
      <c r="DL126" s="43"/>
      <c r="DM126" s="117">
        <v>823.94100000000003</v>
      </c>
      <c r="DN126" s="55">
        <v>10490.3985776968</v>
      </c>
      <c r="DO126" s="55">
        <v>11314.339577696801</v>
      </c>
      <c r="DP126" s="59">
        <v>1601.956469328378</v>
      </c>
      <c r="DQ126" s="59">
        <v>2897.904127127681</v>
      </c>
      <c r="DR126" s="59">
        <v>463.23149487000001</v>
      </c>
      <c r="DS126" s="55">
        <v>3361.135621997681</v>
      </c>
      <c r="DT126" s="55">
        <v>160.99467372931559</v>
      </c>
      <c r="DU126" s="55">
        <v>160.99467372931559</v>
      </c>
      <c r="DW126" s="121">
        <v>0</v>
      </c>
      <c r="DX126" s="122">
        <v>6779.6610170000004</v>
      </c>
      <c r="DY126" s="128">
        <v>1447.7400829999999</v>
      </c>
      <c r="DZ126" s="128">
        <v>0</v>
      </c>
      <c r="EA126" s="121">
        <v>0</v>
      </c>
      <c r="EB126" s="122">
        <v>244.84032626999999</v>
      </c>
      <c r="EC126" s="121">
        <v>0</v>
      </c>
      <c r="ED126" s="122">
        <v>1271.1864410000001</v>
      </c>
      <c r="EE126" s="121">
        <v>0</v>
      </c>
      <c r="EF126" s="122">
        <v>847.5</v>
      </c>
      <c r="EG126" s="121">
        <v>0</v>
      </c>
      <c r="EH126" s="122">
        <v>7397.5988710000001</v>
      </c>
      <c r="EI126" s="121">
        <v>0</v>
      </c>
      <c r="EJ126" s="122">
        <v>6779.6610170000004</v>
      </c>
      <c r="EK126" s="129">
        <v>244.84032626999999</v>
      </c>
      <c r="EL126" s="130">
        <v>847.5</v>
      </c>
      <c r="EM126" s="131">
        <v>735.83500000000004</v>
      </c>
      <c r="EN126" s="129">
        <v>463.23149487000001</v>
      </c>
      <c r="EO126" s="129">
        <v>10964.025395000001</v>
      </c>
      <c r="EP126" s="129">
        <v>0</v>
      </c>
      <c r="ER126" s="157">
        <v>0</v>
      </c>
      <c r="ES126" s="37">
        <v>0</v>
      </c>
      <c r="ET126" s="55">
        <f t="shared" si="10"/>
        <v>0</v>
      </c>
      <c r="EU126" s="157">
        <v>0</v>
      </c>
      <c r="EV126" s="37">
        <v>0</v>
      </c>
      <c r="EW126" s="55">
        <f t="shared" si="17"/>
        <v>0</v>
      </c>
      <c r="EY126" s="166">
        <v>0</v>
      </c>
      <c r="EZ126" s="37">
        <v>0</v>
      </c>
      <c r="FA126" s="164">
        <f t="shared" si="11"/>
        <v>0</v>
      </c>
      <c r="FB126" s="5">
        <v>4613</v>
      </c>
      <c r="FC126" s="164">
        <f t="shared" si="12"/>
        <v>1</v>
      </c>
      <c r="FE126" s="5"/>
      <c r="FF126" s="166">
        <v>2897.4</v>
      </c>
      <c r="FG126" s="37">
        <v>0</v>
      </c>
      <c r="FH126" s="164">
        <f t="shared" si="13"/>
        <v>0.21751027532233547</v>
      </c>
      <c r="FI126" s="5">
        <v>0</v>
      </c>
      <c r="FJ126" s="164">
        <f t="shared" si="14"/>
        <v>0</v>
      </c>
      <c r="FL126" s="169">
        <v>7873</v>
      </c>
      <c r="FM126" s="170">
        <f t="shared" si="15"/>
        <v>0.68245451314546257</v>
      </c>
      <c r="FN126" s="169">
        <v>2591</v>
      </c>
      <c r="FO126" s="170">
        <f t="shared" si="16"/>
        <v>0.82634348588741824</v>
      </c>
    </row>
    <row r="127" spans="16:171" x14ac:dyDescent="0.35">
      <c r="P127" s="64">
        <v>125</v>
      </c>
      <c r="Q127" s="109">
        <v>0</v>
      </c>
      <c r="R127" s="110">
        <v>0</v>
      </c>
      <c r="S127" s="111">
        <v>0</v>
      </c>
      <c r="T127" s="110">
        <v>0</v>
      </c>
      <c r="U127" s="111">
        <v>0</v>
      </c>
      <c r="V127" s="110">
        <v>0</v>
      </c>
      <c r="W127" s="111">
        <v>0</v>
      </c>
      <c r="X127" s="110">
        <v>0</v>
      </c>
      <c r="Y127" s="111">
        <v>0</v>
      </c>
      <c r="Z127" s="110">
        <v>0</v>
      </c>
      <c r="AA127" s="111">
        <v>0</v>
      </c>
      <c r="AB127" s="110">
        <v>0</v>
      </c>
      <c r="AC127" s="111">
        <v>0</v>
      </c>
      <c r="AD127" s="110">
        <v>0</v>
      </c>
      <c r="AF127" s="64">
        <v>125</v>
      </c>
      <c r="AG127" s="109">
        <v>43075.903200000001</v>
      </c>
      <c r="AH127" s="111">
        <v>1520.3</v>
      </c>
      <c r="AI127" s="109">
        <v>330.5</v>
      </c>
      <c r="AJ127" s="59">
        <v>0.48399999999999999</v>
      </c>
      <c r="AK127" s="59">
        <v>0.66100000000000003</v>
      </c>
      <c r="AL127" s="59">
        <v>0.66100000000000003</v>
      </c>
      <c r="AM127" s="110">
        <v>69.122</v>
      </c>
      <c r="AN127" s="111">
        <v>2317.0763999999999</v>
      </c>
      <c r="AO127" s="59">
        <v>0.107</v>
      </c>
      <c r="AP127" s="55">
        <v>0.19899999999999998</v>
      </c>
      <c r="AQ127" s="109">
        <v>32379.599999999999</v>
      </c>
      <c r="AR127" s="111">
        <v>22183.875</v>
      </c>
      <c r="AS127" s="59">
        <v>0.72599999999999998</v>
      </c>
      <c r="AT127" s="55">
        <v>0.94499999999999995</v>
      </c>
      <c r="AU127" s="43"/>
      <c r="AV127" s="109">
        <v>859.46799999999996</v>
      </c>
      <c r="AW127" s="110">
        <v>0.34899986193790455</v>
      </c>
      <c r="AX127" s="109">
        <v>868.88400000000001</v>
      </c>
      <c r="AY127" s="110">
        <v>0.54068699439950219</v>
      </c>
      <c r="AZ127" s="109">
        <v>1121.4780000000001</v>
      </c>
      <c r="BA127" s="110">
        <v>0.5784392407674851</v>
      </c>
      <c r="BB127" s="43"/>
      <c r="BC127" s="112">
        <v>54782.928</v>
      </c>
      <c r="BD127" s="110">
        <v>0.78688524590163933</v>
      </c>
      <c r="BE127" s="43"/>
      <c r="BF127" s="157">
        <v>18405.225999999999</v>
      </c>
      <c r="BG127" s="43">
        <v>0</v>
      </c>
      <c r="BH127" s="113">
        <v>0</v>
      </c>
      <c r="BI127" s="114">
        <v>0.56457748466257662</v>
      </c>
      <c r="BJ127" s="115">
        <v>0</v>
      </c>
      <c r="BK127" s="113">
        <v>0</v>
      </c>
      <c r="BL127" s="113">
        <v>0</v>
      </c>
      <c r="BM127" s="113">
        <v>0</v>
      </c>
      <c r="BN127" s="113">
        <v>1070.383</v>
      </c>
      <c r="BO127" s="114">
        <v>7.9417050007419498E-2</v>
      </c>
      <c r="BP127" s="115">
        <v>0</v>
      </c>
      <c r="BQ127" s="43">
        <v>7668</v>
      </c>
      <c r="BR127" s="43">
        <v>0</v>
      </c>
      <c r="BS127" s="43"/>
      <c r="BT127" s="116">
        <v>-700</v>
      </c>
      <c r="BU127" s="43">
        <v>0</v>
      </c>
      <c r="BV127" s="43">
        <v>4485</v>
      </c>
      <c r="BW127" s="43">
        <v>4485</v>
      </c>
      <c r="BX127" s="43">
        <v>0</v>
      </c>
      <c r="BY127" s="43">
        <v>0</v>
      </c>
      <c r="BZ127" s="43">
        <v>5000</v>
      </c>
      <c r="CA127" s="43">
        <v>5000</v>
      </c>
      <c r="CB127" s="43">
        <v>-5300</v>
      </c>
      <c r="CC127" s="43">
        <v>0</v>
      </c>
      <c r="CD127" s="43">
        <v>-4000</v>
      </c>
      <c r="CE127" s="43">
        <v>0</v>
      </c>
      <c r="CF127" s="43">
        <v>-4800</v>
      </c>
      <c r="CG127" s="43">
        <v>0</v>
      </c>
      <c r="CH127" s="43">
        <v>14235.40496736</v>
      </c>
      <c r="CI127" s="43">
        <v>14235.40496736</v>
      </c>
      <c r="CJ127" s="114">
        <v>23720.404967360002</v>
      </c>
      <c r="CK127" s="43"/>
      <c r="CL127" s="116">
        <v>-700</v>
      </c>
      <c r="CM127" s="43">
        <v>700</v>
      </c>
      <c r="CN127" s="43">
        <v>4485</v>
      </c>
      <c r="CO127" s="43">
        <v>0</v>
      </c>
      <c r="CP127" s="43">
        <v>0</v>
      </c>
      <c r="CQ127" s="43">
        <v>0</v>
      </c>
      <c r="CR127" s="43">
        <v>5000</v>
      </c>
      <c r="CS127" s="43">
        <v>0</v>
      </c>
      <c r="CT127" s="43">
        <v>-5300</v>
      </c>
      <c r="CU127" s="43">
        <v>5300</v>
      </c>
      <c r="CV127" s="43">
        <v>-4000</v>
      </c>
      <c r="CW127" s="43">
        <v>4000</v>
      </c>
      <c r="CX127" s="43">
        <v>-4800</v>
      </c>
      <c r="CY127" s="43">
        <v>4800</v>
      </c>
      <c r="CZ127" s="43">
        <v>14235.40496736</v>
      </c>
      <c r="DA127" s="43">
        <v>0</v>
      </c>
      <c r="DB127" s="114">
        <v>14800</v>
      </c>
      <c r="DC127" s="43"/>
      <c r="DD127" s="117">
        <v>26674.839</v>
      </c>
      <c r="DE127" s="55">
        <v>1954.9349999999999</v>
      </c>
      <c r="DF127" s="59">
        <v>2823.7174552667002</v>
      </c>
      <c r="DG127" s="59">
        <v>31453.491455266703</v>
      </c>
      <c r="DH127" s="117">
        <v>7161.9179999999997</v>
      </c>
      <c r="DI127" s="117">
        <v>49954.411</v>
      </c>
      <c r="DJ127" s="55">
        <v>8423</v>
      </c>
      <c r="DK127" s="114">
        <v>58377.411</v>
      </c>
      <c r="DL127" s="43"/>
      <c r="DM127" s="117">
        <v>966.65</v>
      </c>
      <c r="DN127" s="55">
        <v>10522.090845252949</v>
      </c>
      <c r="DO127" s="55">
        <v>11488.740845252949</v>
      </c>
      <c r="DP127" s="59">
        <v>1601.956469328378</v>
      </c>
      <c r="DQ127" s="59">
        <v>2914.6033376229539</v>
      </c>
      <c r="DR127" s="59">
        <v>446.53228438000002</v>
      </c>
      <c r="DS127" s="55">
        <v>3361.1356220029538</v>
      </c>
      <c r="DT127" s="55">
        <v>161.92240764571969</v>
      </c>
      <c r="DU127" s="55">
        <v>161.92240764571969</v>
      </c>
      <c r="DW127" s="121">
        <v>0</v>
      </c>
      <c r="DX127" s="122">
        <v>6779.6610170000004</v>
      </c>
      <c r="DY127" s="128">
        <v>1447.7400829999999</v>
      </c>
      <c r="DZ127" s="128">
        <v>0</v>
      </c>
      <c r="EA127" s="121">
        <v>0</v>
      </c>
      <c r="EB127" s="122">
        <v>243.91259235000001</v>
      </c>
      <c r="EC127" s="121">
        <v>0</v>
      </c>
      <c r="ED127" s="122">
        <v>1271.1864410000001</v>
      </c>
      <c r="EE127" s="121">
        <v>0</v>
      </c>
      <c r="EF127" s="122">
        <v>847.5</v>
      </c>
      <c r="EG127" s="121">
        <v>0</v>
      </c>
      <c r="EH127" s="122">
        <v>7397.5988710000001</v>
      </c>
      <c r="EI127" s="121">
        <v>0</v>
      </c>
      <c r="EJ127" s="122">
        <v>6779.6610170000004</v>
      </c>
      <c r="EK127" s="129">
        <v>243.91259235000001</v>
      </c>
      <c r="EL127" s="130">
        <v>847.5</v>
      </c>
      <c r="EM127" s="131">
        <v>735.83500000000004</v>
      </c>
      <c r="EN127" s="129">
        <v>446.53228438000002</v>
      </c>
      <c r="EO127" s="129">
        <v>10964.025395000001</v>
      </c>
      <c r="EP127" s="129">
        <v>0</v>
      </c>
      <c r="ER127" s="157">
        <v>0</v>
      </c>
      <c r="ES127" s="37">
        <v>0</v>
      </c>
      <c r="ET127" s="55">
        <f t="shared" si="10"/>
        <v>0</v>
      </c>
      <c r="EU127" s="157">
        <v>0</v>
      </c>
      <c r="EV127" s="37">
        <v>0</v>
      </c>
      <c r="EW127" s="55">
        <f t="shared" si="17"/>
        <v>0</v>
      </c>
      <c r="EY127" s="166">
        <v>335.77767516</v>
      </c>
      <c r="EZ127" s="37">
        <v>0</v>
      </c>
      <c r="FA127" s="164">
        <f t="shared" si="11"/>
        <v>2.468231173230187E-2</v>
      </c>
      <c r="FB127" s="5">
        <v>4613</v>
      </c>
      <c r="FC127" s="164">
        <f t="shared" si="12"/>
        <v>1</v>
      </c>
      <c r="FE127" s="5"/>
      <c r="FF127" s="166">
        <v>2897.4</v>
      </c>
      <c r="FG127" s="37">
        <v>0</v>
      </c>
      <c r="FH127" s="164">
        <f t="shared" si="13"/>
        <v>0.21751027532233547</v>
      </c>
      <c r="FI127" s="5">
        <v>0</v>
      </c>
      <c r="FJ127" s="164">
        <f t="shared" si="14"/>
        <v>0</v>
      </c>
      <c r="FL127" s="169">
        <v>7873</v>
      </c>
      <c r="FM127" s="170">
        <f t="shared" si="15"/>
        <v>0.68245451314546257</v>
      </c>
      <c r="FN127" s="169">
        <v>2591</v>
      </c>
      <c r="FO127" s="170">
        <f t="shared" si="16"/>
        <v>0.82634348588741824</v>
      </c>
    </row>
    <row r="128" spans="16:171" x14ac:dyDescent="0.35">
      <c r="P128" s="64">
        <v>126</v>
      </c>
      <c r="Q128" s="109">
        <v>0</v>
      </c>
      <c r="R128" s="110">
        <v>0</v>
      </c>
      <c r="S128" s="111">
        <v>0</v>
      </c>
      <c r="T128" s="110">
        <v>0</v>
      </c>
      <c r="U128" s="111">
        <v>0</v>
      </c>
      <c r="V128" s="110">
        <v>0</v>
      </c>
      <c r="W128" s="111">
        <v>0</v>
      </c>
      <c r="X128" s="110">
        <v>0</v>
      </c>
      <c r="Y128" s="111">
        <v>0</v>
      </c>
      <c r="Z128" s="110">
        <v>0</v>
      </c>
      <c r="AA128" s="111">
        <v>0</v>
      </c>
      <c r="AB128" s="110">
        <v>0</v>
      </c>
      <c r="AC128" s="111">
        <v>0</v>
      </c>
      <c r="AD128" s="110">
        <v>0</v>
      </c>
      <c r="AF128" s="64">
        <v>126</v>
      </c>
      <c r="AG128" s="109">
        <v>42630.904199999997</v>
      </c>
      <c r="AH128" s="111">
        <v>1545.6</v>
      </c>
      <c r="AI128" s="109">
        <v>336</v>
      </c>
      <c r="AJ128" s="59">
        <v>0.47899999999999993</v>
      </c>
      <c r="AK128" s="59">
        <v>0.67199999999999993</v>
      </c>
      <c r="AL128" s="59">
        <v>0.67200000000000004</v>
      </c>
      <c r="AM128" s="110">
        <v>71.706000000000003</v>
      </c>
      <c r="AN128" s="111">
        <v>2549.9484000000002</v>
      </c>
      <c r="AO128" s="59">
        <v>0.111</v>
      </c>
      <c r="AP128" s="55">
        <v>0.219</v>
      </c>
      <c r="AQ128" s="109">
        <v>30328</v>
      </c>
      <c r="AR128" s="111">
        <v>21996.075000000001</v>
      </c>
      <c r="AS128" s="59">
        <v>0.68</v>
      </c>
      <c r="AT128" s="55">
        <v>0.93700000000000006</v>
      </c>
      <c r="AU128" s="43"/>
      <c r="AV128" s="109">
        <v>861.93100000000004</v>
      </c>
      <c r="AW128" s="110">
        <v>0.35000000000000003</v>
      </c>
      <c r="AX128" s="109">
        <v>869.72199999999998</v>
      </c>
      <c r="AY128" s="110">
        <v>0.54120846297448666</v>
      </c>
      <c r="AZ128" s="109">
        <v>1121.4780000000001</v>
      </c>
      <c r="BA128" s="110">
        <v>0.5784392407674851</v>
      </c>
      <c r="BB128" s="43"/>
      <c r="BC128" s="112">
        <v>54782.928</v>
      </c>
      <c r="BD128" s="110">
        <v>0.78688524590163933</v>
      </c>
      <c r="BE128" s="43"/>
      <c r="BF128" s="157">
        <v>18195.759999999998</v>
      </c>
      <c r="BG128" s="43">
        <v>0</v>
      </c>
      <c r="BH128" s="113">
        <v>0</v>
      </c>
      <c r="BI128" s="114">
        <v>0.55815214723926376</v>
      </c>
      <c r="BJ128" s="115">
        <v>0</v>
      </c>
      <c r="BK128" s="113">
        <v>0</v>
      </c>
      <c r="BL128" s="113">
        <v>0</v>
      </c>
      <c r="BM128" s="113">
        <v>0</v>
      </c>
      <c r="BN128" s="113">
        <v>1130.0530000000001</v>
      </c>
      <c r="BO128" s="114">
        <v>8.3844264727704412E-2</v>
      </c>
      <c r="BP128" s="115">
        <v>0</v>
      </c>
      <c r="BQ128" s="43">
        <v>7668</v>
      </c>
      <c r="BR128" s="43">
        <v>0</v>
      </c>
      <c r="BS128" s="43"/>
      <c r="BT128" s="116">
        <v>-700</v>
      </c>
      <c r="BU128" s="43">
        <v>0</v>
      </c>
      <c r="BV128" s="43">
        <v>4485</v>
      </c>
      <c r="BW128" s="43">
        <v>4485</v>
      </c>
      <c r="BX128" s="43">
        <v>0</v>
      </c>
      <c r="BY128" s="43">
        <v>0</v>
      </c>
      <c r="BZ128" s="43">
        <v>5000</v>
      </c>
      <c r="CA128" s="43">
        <v>5000</v>
      </c>
      <c r="CB128" s="43">
        <v>-5300</v>
      </c>
      <c r="CC128" s="43">
        <v>0</v>
      </c>
      <c r="CD128" s="43">
        <v>-4000</v>
      </c>
      <c r="CE128" s="43">
        <v>0</v>
      </c>
      <c r="CF128" s="43">
        <v>-4800</v>
      </c>
      <c r="CG128" s="43">
        <v>0</v>
      </c>
      <c r="CH128" s="43">
        <v>9656.2819886399993</v>
      </c>
      <c r="CI128" s="43">
        <v>9656.2819886399993</v>
      </c>
      <c r="CJ128" s="114">
        <v>19141.281988639999</v>
      </c>
      <c r="CK128" s="43"/>
      <c r="CL128" s="116">
        <v>-700</v>
      </c>
      <c r="CM128" s="43">
        <v>700</v>
      </c>
      <c r="CN128" s="43">
        <v>4485</v>
      </c>
      <c r="CO128" s="43">
        <v>0</v>
      </c>
      <c r="CP128" s="43">
        <v>0</v>
      </c>
      <c r="CQ128" s="43">
        <v>0</v>
      </c>
      <c r="CR128" s="43">
        <v>5000</v>
      </c>
      <c r="CS128" s="43">
        <v>0</v>
      </c>
      <c r="CT128" s="43">
        <v>-5300</v>
      </c>
      <c r="CU128" s="43">
        <v>5300</v>
      </c>
      <c r="CV128" s="43">
        <v>-4000</v>
      </c>
      <c r="CW128" s="43">
        <v>4000</v>
      </c>
      <c r="CX128" s="43">
        <v>-4800</v>
      </c>
      <c r="CY128" s="43">
        <v>4800</v>
      </c>
      <c r="CZ128" s="43">
        <v>9656.2819886399993</v>
      </c>
      <c r="DA128" s="43">
        <v>0</v>
      </c>
      <c r="DB128" s="114">
        <v>14800</v>
      </c>
      <c r="DC128" s="43"/>
      <c r="DD128" s="117">
        <v>25702.917000000001</v>
      </c>
      <c r="DE128" s="55">
        <v>1954.27</v>
      </c>
      <c r="DF128" s="59">
        <v>3014.0000332421</v>
      </c>
      <c r="DG128" s="59">
        <v>30671.187033242102</v>
      </c>
      <c r="DH128" s="117">
        <v>7218.1629999999996</v>
      </c>
      <c r="DI128" s="117">
        <v>51094.411</v>
      </c>
      <c r="DJ128" s="55">
        <v>8504</v>
      </c>
      <c r="DK128" s="114">
        <v>59598.411</v>
      </c>
      <c r="DL128" s="43"/>
      <c r="DM128" s="117">
        <v>1137.078</v>
      </c>
      <c r="DN128" s="55">
        <v>10553.7831128091</v>
      </c>
      <c r="DO128" s="55">
        <v>11690.8611128091</v>
      </c>
      <c r="DP128" s="59">
        <v>1601.956469328378</v>
      </c>
      <c r="DQ128" s="59">
        <v>2931.3025481182272</v>
      </c>
      <c r="DR128" s="59">
        <v>429.83307387999997</v>
      </c>
      <c r="DS128" s="55">
        <v>3361.1356219982272</v>
      </c>
      <c r="DT128" s="55">
        <v>162.8501415621237</v>
      </c>
      <c r="DU128" s="55">
        <v>162.8501415621237</v>
      </c>
      <c r="DW128" s="121">
        <v>0</v>
      </c>
      <c r="DX128" s="122">
        <v>6779.6610170000004</v>
      </c>
      <c r="DY128" s="128">
        <v>1447.7400829999999</v>
      </c>
      <c r="DZ128" s="128">
        <v>0</v>
      </c>
      <c r="EA128" s="121">
        <v>0</v>
      </c>
      <c r="EB128" s="122">
        <v>242.98485844000001</v>
      </c>
      <c r="EC128" s="121">
        <v>0</v>
      </c>
      <c r="ED128" s="122">
        <v>1271.1864410000001</v>
      </c>
      <c r="EE128" s="121">
        <v>0</v>
      </c>
      <c r="EF128" s="122">
        <v>847.5</v>
      </c>
      <c r="EG128" s="121">
        <v>0</v>
      </c>
      <c r="EH128" s="122">
        <v>7397.5988710000001</v>
      </c>
      <c r="EI128" s="121">
        <v>0</v>
      </c>
      <c r="EJ128" s="122">
        <v>6779.6610170000004</v>
      </c>
      <c r="EK128" s="129">
        <v>242.98485844000001</v>
      </c>
      <c r="EL128" s="130">
        <v>847.5</v>
      </c>
      <c r="EM128" s="131">
        <v>735.83500000000004</v>
      </c>
      <c r="EN128" s="129">
        <v>429.83307387999997</v>
      </c>
      <c r="EO128" s="129">
        <v>10964.025395000001</v>
      </c>
      <c r="EP128" s="129">
        <v>0</v>
      </c>
      <c r="ER128" s="157">
        <v>0</v>
      </c>
      <c r="ES128" s="37">
        <v>0</v>
      </c>
      <c r="ET128" s="55">
        <f t="shared" si="10"/>
        <v>0</v>
      </c>
      <c r="EU128" s="157">
        <v>0</v>
      </c>
      <c r="EV128" s="37">
        <v>0</v>
      </c>
      <c r="EW128" s="55">
        <f t="shared" si="17"/>
        <v>0</v>
      </c>
      <c r="EY128" s="166">
        <v>2874.9269169600002</v>
      </c>
      <c r="EZ128" s="37">
        <v>0</v>
      </c>
      <c r="FA128" s="164">
        <f t="shared" si="11"/>
        <v>0.21132984001446636</v>
      </c>
      <c r="FB128" s="5">
        <v>4613</v>
      </c>
      <c r="FC128" s="164">
        <f t="shared" si="12"/>
        <v>1</v>
      </c>
      <c r="FE128" s="5"/>
      <c r="FF128" s="166">
        <v>2897.4</v>
      </c>
      <c r="FG128" s="37">
        <v>0</v>
      </c>
      <c r="FH128" s="164">
        <f t="shared" si="13"/>
        <v>0.21751027532233547</v>
      </c>
      <c r="FI128" s="5">
        <v>0</v>
      </c>
      <c r="FJ128" s="164">
        <f t="shared" si="14"/>
        <v>0</v>
      </c>
      <c r="FL128" s="169">
        <v>7873</v>
      </c>
      <c r="FM128" s="170">
        <f t="shared" si="15"/>
        <v>0.68245451314546257</v>
      </c>
      <c r="FN128" s="169">
        <v>2591</v>
      </c>
      <c r="FO128" s="170">
        <f t="shared" si="16"/>
        <v>0.82634348588741824</v>
      </c>
    </row>
    <row r="129" spans="16:171" x14ac:dyDescent="0.35">
      <c r="P129" s="64">
        <v>127</v>
      </c>
      <c r="Q129" s="109">
        <v>0</v>
      </c>
      <c r="R129" s="110">
        <v>0</v>
      </c>
      <c r="S129" s="111">
        <v>0</v>
      </c>
      <c r="T129" s="110">
        <v>0</v>
      </c>
      <c r="U129" s="111">
        <v>0</v>
      </c>
      <c r="V129" s="110">
        <v>0</v>
      </c>
      <c r="W129" s="111">
        <v>0</v>
      </c>
      <c r="X129" s="110">
        <v>0</v>
      </c>
      <c r="Y129" s="111">
        <v>0</v>
      </c>
      <c r="Z129" s="110">
        <v>0</v>
      </c>
      <c r="AA129" s="111">
        <v>0</v>
      </c>
      <c r="AB129" s="110">
        <v>0</v>
      </c>
      <c r="AC129" s="111">
        <v>0</v>
      </c>
      <c r="AD129" s="110">
        <v>0</v>
      </c>
      <c r="AF129" s="64">
        <v>127</v>
      </c>
      <c r="AG129" s="109">
        <v>42096.905400000003</v>
      </c>
      <c r="AH129" s="111">
        <v>1570.9</v>
      </c>
      <c r="AI129" s="109">
        <v>341.5</v>
      </c>
      <c r="AJ129" s="59">
        <v>0.47300000000000003</v>
      </c>
      <c r="AK129" s="59">
        <v>0.68300000000000005</v>
      </c>
      <c r="AL129" s="59">
        <v>0.68300000000000005</v>
      </c>
      <c r="AM129" s="110">
        <v>71.706000000000003</v>
      </c>
      <c r="AN129" s="111">
        <v>2887.6127999999999</v>
      </c>
      <c r="AO129" s="59">
        <v>0.111</v>
      </c>
      <c r="AP129" s="55">
        <v>0.24799999999999997</v>
      </c>
      <c r="AQ129" s="109">
        <v>27830.400000000001</v>
      </c>
      <c r="AR129" s="111">
        <v>21550.05</v>
      </c>
      <c r="AS129" s="59">
        <v>0.624</v>
      </c>
      <c r="AT129" s="55">
        <v>0.91799999999999993</v>
      </c>
      <c r="AU129" s="43"/>
      <c r="AV129" s="109">
        <v>857.00599999999997</v>
      </c>
      <c r="AW129" s="110">
        <v>0.34800012994079571</v>
      </c>
      <c r="AX129" s="109">
        <v>889.26300000000003</v>
      </c>
      <c r="AY129" s="110">
        <v>0.5533683883011824</v>
      </c>
      <c r="AZ129" s="109">
        <v>1121.4780000000001</v>
      </c>
      <c r="BA129" s="110">
        <v>0.5784392407674851</v>
      </c>
      <c r="BB129" s="43"/>
      <c r="BC129" s="112">
        <v>54782.928</v>
      </c>
      <c r="BD129" s="110">
        <v>0.78688524590163933</v>
      </c>
      <c r="BE129" s="43"/>
      <c r="BF129" s="157">
        <v>17964.437000000002</v>
      </c>
      <c r="BG129" s="43">
        <v>0</v>
      </c>
      <c r="BH129" s="113">
        <v>0</v>
      </c>
      <c r="BI129" s="114">
        <v>0.55105634969325157</v>
      </c>
      <c r="BJ129" s="115">
        <v>0</v>
      </c>
      <c r="BK129" s="113">
        <v>0</v>
      </c>
      <c r="BL129" s="113">
        <v>0</v>
      </c>
      <c r="BM129" s="113">
        <v>0</v>
      </c>
      <c r="BN129" s="113">
        <v>1140.329</v>
      </c>
      <c r="BO129" s="114">
        <v>8.4606692387594593E-2</v>
      </c>
      <c r="BP129" s="115">
        <v>0</v>
      </c>
      <c r="BQ129" s="43">
        <v>7668</v>
      </c>
      <c r="BR129" s="43">
        <v>0</v>
      </c>
      <c r="BS129" s="43"/>
      <c r="BT129" s="116">
        <v>-700</v>
      </c>
      <c r="BU129" s="43">
        <v>0</v>
      </c>
      <c r="BV129" s="43">
        <v>4485</v>
      </c>
      <c r="BW129" s="43">
        <v>4485</v>
      </c>
      <c r="BX129" s="43">
        <v>0</v>
      </c>
      <c r="BY129" s="43">
        <v>0</v>
      </c>
      <c r="BZ129" s="43">
        <v>5000</v>
      </c>
      <c r="CA129" s="43">
        <v>5000</v>
      </c>
      <c r="CB129" s="43">
        <v>-5300</v>
      </c>
      <c r="CC129" s="43">
        <v>0</v>
      </c>
      <c r="CD129" s="43">
        <v>-4000</v>
      </c>
      <c r="CE129" s="43">
        <v>0</v>
      </c>
      <c r="CF129" s="43">
        <v>-4800</v>
      </c>
      <c r="CG129" s="43">
        <v>0</v>
      </c>
      <c r="CH129" s="43">
        <v>9797.1520919699997</v>
      </c>
      <c r="CI129" s="43">
        <v>9797.1520919699997</v>
      </c>
      <c r="CJ129" s="114">
        <v>19282.152091969998</v>
      </c>
      <c r="CK129" s="43"/>
      <c r="CL129" s="116">
        <v>-700</v>
      </c>
      <c r="CM129" s="43">
        <v>700</v>
      </c>
      <c r="CN129" s="43">
        <v>4485</v>
      </c>
      <c r="CO129" s="43">
        <v>0</v>
      </c>
      <c r="CP129" s="43">
        <v>0</v>
      </c>
      <c r="CQ129" s="43">
        <v>0</v>
      </c>
      <c r="CR129" s="43">
        <v>5000</v>
      </c>
      <c r="CS129" s="43">
        <v>0</v>
      </c>
      <c r="CT129" s="43">
        <v>-5300</v>
      </c>
      <c r="CU129" s="43">
        <v>5300</v>
      </c>
      <c r="CV129" s="43">
        <v>-4000</v>
      </c>
      <c r="CW129" s="43">
        <v>4000</v>
      </c>
      <c r="CX129" s="43">
        <v>-4800</v>
      </c>
      <c r="CY129" s="43">
        <v>4800</v>
      </c>
      <c r="CZ129" s="43">
        <v>9797.1520919699997</v>
      </c>
      <c r="DA129" s="43">
        <v>0</v>
      </c>
      <c r="DB129" s="114">
        <v>14800</v>
      </c>
      <c r="DC129" s="43"/>
      <c r="DD129" s="117">
        <v>25607.171999999999</v>
      </c>
      <c r="DE129" s="55">
        <v>1976.7650000000001</v>
      </c>
      <c r="DF129" s="59">
        <v>3811.2824580247002</v>
      </c>
      <c r="DG129" s="59">
        <v>31395.219458024698</v>
      </c>
      <c r="DH129" s="117">
        <v>7347.2060000000001</v>
      </c>
      <c r="DI129" s="117">
        <v>52453.411</v>
      </c>
      <c r="DJ129" s="55">
        <v>8629</v>
      </c>
      <c r="DK129" s="114">
        <v>61082.411</v>
      </c>
      <c r="DL129" s="43"/>
      <c r="DM129" s="117">
        <v>1197.922</v>
      </c>
      <c r="DN129" s="55">
        <v>10569.62924658717</v>
      </c>
      <c r="DO129" s="55">
        <v>11767.551246587171</v>
      </c>
      <c r="DP129" s="59">
        <v>1601.956469328378</v>
      </c>
      <c r="DQ129" s="59">
        <v>2939.6521533658638</v>
      </c>
      <c r="DR129" s="59">
        <v>421.48346863</v>
      </c>
      <c r="DS129" s="55">
        <v>3361.1356219958639</v>
      </c>
      <c r="DT129" s="55">
        <v>163.31400852032581</v>
      </c>
      <c r="DU129" s="55">
        <v>163.31400852032581</v>
      </c>
      <c r="DW129" s="121">
        <v>0</v>
      </c>
      <c r="DX129" s="122">
        <v>6779.6610170000004</v>
      </c>
      <c r="DY129" s="128">
        <v>1447.7400829999999</v>
      </c>
      <c r="DZ129" s="128">
        <v>0</v>
      </c>
      <c r="EA129" s="121">
        <v>0</v>
      </c>
      <c r="EB129" s="122">
        <v>242.52099147999999</v>
      </c>
      <c r="EC129" s="121">
        <v>0</v>
      </c>
      <c r="ED129" s="122">
        <v>1271.1864410000001</v>
      </c>
      <c r="EE129" s="121">
        <v>0</v>
      </c>
      <c r="EF129" s="122">
        <v>847.5</v>
      </c>
      <c r="EG129" s="121">
        <v>0</v>
      </c>
      <c r="EH129" s="122">
        <v>7397.5988710000001</v>
      </c>
      <c r="EI129" s="121">
        <v>0</v>
      </c>
      <c r="EJ129" s="122">
        <v>6779.6610170000004</v>
      </c>
      <c r="EK129" s="129">
        <v>242.52099147999999</v>
      </c>
      <c r="EL129" s="130">
        <v>847.5</v>
      </c>
      <c r="EM129" s="131">
        <v>735.83500000000004</v>
      </c>
      <c r="EN129" s="129">
        <v>421.48346863</v>
      </c>
      <c r="EO129" s="129">
        <v>10964.025395000001</v>
      </c>
      <c r="EP129" s="129">
        <v>0</v>
      </c>
      <c r="ER129" s="157">
        <v>0</v>
      </c>
      <c r="ES129" s="37">
        <v>0</v>
      </c>
      <c r="ET129" s="55">
        <f t="shared" si="10"/>
        <v>0</v>
      </c>
      <c r="EU129" s="157">
        <v>0</v>
      </c>
      <c r="EV129" s="37">
        <v>0</v>
      </c>
      <c r="EW129" s="55">
        <f t="shared" si="17"/>
        <v>0</v>
      </c>
      <c r="EY129" s="166">
        <v>5794.7504322699997</v>
      </c>
      <c r="EZ129" s="37">
        <v>0</v>
      </c>
      <c r="FA129" s="164">
        <f t="shared" si="11"/>
        <v>0.42595993468602572</v>
      </c>
      <c r="FB129" s="5">
        <v>4613</v>
      </c>
      <c r="FC129" s="164">
        <f t="shared" si="12"/>
        <v>1</v>
      </c>
      <c r="FE129" s="5"/>
      <c r="FF129" s="166">
        <v>2897.4</v>
      </c>
      <c r="FG129" s="37">
        <v>0</v>
      </c>
      <c r="FH129" s="164">
        <f t="shared" si="13"/>
        <v>0.21751027532233547</v>
      </c>
      <c r="FI129" s="5">
        <v>78.541544680000001</v>
      </c>
      <c r="FJ129" s="164">
        <f t="shared" si="14"/>
        <v>2.0469519072191817E-2</v>
      </c>
      <c r="FL129" s="169">
        <v>7873</v>
      </c>
      <c r="FM129" s="170">
        <f t="shared" si="15"/>
        <v>0.68245451314546257</v>
      </c>
      <c r="FN129" s="169">
        <v>2591</v>
      </c>
      <c r="FO129" s="170">
        <f t="shared" si="16"/>
        <v>0.82634348588741824</v>
      </c>
    </row>
    <row r="130" spans="16:171" x14ac:dyDescent="0.35">
      <c r="P130" s="64">
        <v>128</v>
      </c>
      <c r="Q130" s="109">
        <v>0</v>
      </c>
      <c r="R130" s="110">
        <v>0</v>
      </c>
      <c r="S130" s="111">
        <v>0</v>
      </c>
      <c r="T130" s="110">
        <v>0</v>
      </c>
      <c r="U130" s="111">
        <v>0</v>
      </c>
      <c r="V130" s="110">
        <v>0</v>
      </c>
      <c r="W130" s="111">
        <v>0</v>
      </c>
      <c r="X130" s="110">
        <v>0</v>
      </c>
      <c r="Y130" s="111">
        <v>0</v>
      </c>
      <c r="Z130" s="110">
        <v>0</v>
      </c>
      <c r="AA130" s="111">
        <v>0</v>
      </c>
      <c r="AB130" s="110">
        <v>0</v>
      </c>
      <c r="AC130" s="111">
        <v>0</v>
      </c>
      <c r="AD130" s="110">
        <v>0</v>
      </c>
      <c r="AF130" s="64">
        <v>128</v>
      </c>
      <c r="AG130" s="109">
        <v>40672.908600000002</v>
      </c>
      <c r="AH130" s="111">
        <v>1607.7</v>
      </c>
      <c r="AI130" s="109">
        <v>349.5</v>
      </c>
      <c r="AJ130" s="59">
        <v>0.45700000000000002</v>
      </c>
      <c r="AK130" s="59">
        <v>0.69900000000000007</v>
      </c>
      <c r="AL130" s="59">
        <v>0.69899999999999995</v>
      </c>
      <c r="AM130" s="110">
        <v>71.06</v>
      </c>
      <c r="AN130" s="111">
        <v>3143.7719999999999</v>
      </c>
      <c r="AO130" s="59">
        <v>0.11</v>
      </c>
      <c r="AP130" s="55">
        <v>0.26999999999999996</v>
      </c>
      <c r="AQ130" s="109">
        <v>24886.799999999999</v>
      </c>
      <c r="AR130" s="111">
        <v>20822.325000000001</v>
      </c>
      <c r="AS130" s="59">
        <v>0.55799999999999994</v>
      </c>
      <c r="AT130" s="55">
        <v>0.88700000000000001</v>
      </c>
      <c r="AU130" s="43"/>
      <c r="AV130" s="109">
        <v>854.54300000000001</v>
      </c>
      <c r="AW130" s="110">
        <v>0.34699999187870029</v>
      </c>
      <c r="AX130" s="109">
        <v>932.255</v>
      </c>
      <c r="AY130" s="110">
        <v>0.58012134411947724</v>
      </c>
      <c r="AZ130" s="109">
        <v>1121.4780000000001</v>
      </c>
      <c r="BA130" s="110">
        <v>0.5784392407674851</v>
      </c>
      <c r="BB130" s="43"/>
      <c r="BC130" s="112">
        <v>54782.928</v>
      </c>
      <c r="BD130" s="110">
        <v>0.78688524590163933</v>
      </c>
      <c r="BE130" s="43"/>
      <c r="BF130" s="157">
        <v>17384.257000000001</v>
      </c>
      <c r="BG130" s="43">
        <v>0</v>
      </c>
      <c r="BH130" s="113">
        <v>0</v>
      </c>
      <c r="BI130" s="114">
        <v>0.53325941717791414</v>
      </c>
      <c r="BJ130" s="115">
        <v>0</v>
      </c>
      <c r="BK130" s="113">
        <v>0</v>
      </c>
      <c r="BL130" s="113">
        <v>0</v>
      </c>
      <c r="BM130" s="113">
        <v>0</v>
      </c>
      <c r="BN130" s="113">
        <v>1117.5709999999999</v>
      </c>
      <c r="BO130" s="114">
        <v>8.2918162932185777E-2</v>
      </c>
      <c r="BP130" s="115">
        <v>0</v>
      </c>
      <c r="BQ130" s="43">
        <v>7668</v>
      </c>
      <c r="BR130" s="43">
        <v>0</v>
      </c>
      <c r="BS130" s="43"/>
      <c r="BT130" s="116">
        <v>-700</v>
      </c>
      <c r="BU130" s="43">
        <v>0</v>
      </c>
      <c r="BV130" s="43">
        <v>4485</v>
      </c>
      <c r="BW130" s="43">
        <v>4485</v>
      </c>
      <c r="BX130" s="43">
        <v>0</v>
      </c>
      <c r="BY130" s="43">
        <v>0</v>
      </c>
      <c r="BZ130" s="43">
        <v>5000</v>
      </c>
      <c r="CA130" s="43">
        <v>5000</v>
      </c>
      <c r="CB130" s="43">
        <v>-5300</v>
      </c>
      <c r="CC130" s="43">
        <v>0</v>
      </c>
      <c r="CD130" s="43">
        <v>-4000</v>
      </c>
      <c r="CE130" s="43">
        <v>0</v>
      </c>
      <c r="CF130" s="43">
        <v>-4800</v>
      </c>
      <c r="CG130" s="43">
        <v>0</v>
      </c>
      <c r="CH130" s="43">
        <v>15456.106359629999</v>
      </c>
      <c r="CI130" s="43">
        <v>15456.106359629999</v>
      </c>
      <c r="CJ130" s="114">
        <v>24941.106359630001</v>
      </c>
      <c r="CK130" s="43"/>
      <c r="CL130" s="116">
        <v>-700</v>
      </c>
      <c r="CM130" s="43">
        <v>700</v>
      </c>
      <c r="CN130" s="43">
        <v>4485</v>
      </c>
      <c r="CO130" s="43">
        <v>0</v>
      </c>
      <c r="CP130" s="43">
        <v>0</v>
      </c>
      <c r="CQ130" s="43">
        <v>0</v>
      </c>
      <c r="CR130" s="43">
        <v>5000</v>
      </c>
      <c r="CS130" s="43">
        <v>0</v>
      </c>
      <c r="CT130" s="43">
        <v>-5300</v>
      </c>
      <c r="CU130" s="43">
        <v>5300</v>
      </c>
      <c r="CV130" s="43">
        <v>-4000</v>
      </c>
      <c r="CW130" s="43">
        <v>4000</v>
      </c>
      <c r="CX130" s="43">
        <v>-4800</v>
      </c>
      <c r="CY130" s="43">
        <v>4800</v>
      </c>
      <c r="CZ130" s="43">
        <v>15456.106359629999</v>
      </c>
      <c r="DA130" s="43">
        <v>0</v>
      </c>
      <c r="DB130" s="114">
        <v>14800</v>
      </c>
      <c r="DC130" s="43"/>
      <c r="DD130" s="117">
        <v>26750.134999999998</v>
      </c>
      <c r="DE130" s="55">
        <v>2014.7550000000001</v>
      </c>
      <c r="DF130" s="59">
        <v>4286.8717639451997</v>
      </c>
      <c r="DG130" s="59">
        <v>33051.7617639452</v>
      </c>
      <c r="DH130" s="117">
        <v>7433.34</v>
      </c>
      <c r="DI130" s="117">
        <v>53698.411</v>
      </c>
      <c r="DJ130" s="55">
        <v>8876</v>
      </c>
      <c r="DK130" s="114">
        <v>62574.411</v>
      </c>
      <c r="DL130" s="43"/>
      <c r="DM130" s="117">
        <v>1194.913</v>
      </c>
      <c r="DN130" s="55">
        <v>10553.7831128091</v>
      </c>
      <c r="DO130" s="55">
        <v>11748.696112809101</v>
      </c>
      <c r="DP130" s="59">
        <v>1601.956469328378</v>
      </c>
      <c r="DQ130" s="59">
        <v>2931.3025481182272</v>
      </c>
      <c r="DR130" s="59">
        <v>429.83307387999997</v>
      </c>
      <c r="DS130" s="55">
        <v>3361.1356219982272</v>
      </c>
      <c r="DT130" s="55">
        <v>162.8501415621237</v>
      </c>
      <c r="DU130" s="55">
        <v>162.8501415621237</v>
      </c>
      <c r="DW130" s="121">
        <v>0</v>
      </c>
      <c r="DX130" s="122">
        <v>6779.6610170000004</v>
      </c>
      <c r="DY130" s="128">
        <v>1447.7400829999999</v>
      </c>
      <c r="DZ130" s="128">
        <v>0</v>
      </c>
      <c r="EA130" s="121">
        <v>0</v>
      </c>
      <c r="EB130" s="122">
        <v>572.98485844000004</v>
      </c>
      <c r="EC130" s="121">
        <v>0</v>
      </c>
      <c r="ED130" s="122">
        <v>1271.1864410000001</v>
      </c>
      <c r="EE130" s="121">
        <v>0</v>
      </c>
      <c r="EF130" s="122">
        <v>847.5</v>
      </c>
      <c r="EG130" s="121">
        <v>0</v>
      </c>
      <c r="EH130" s="122">
        <v>7397.5988710000001</v>
      </c>
      <c r="EI130" s="121">
        <v>0</v>
      </c>
      <c r="EJ130" s="122">
        <v>6779.6610170000004</v>
      </c>
      <c r="EK130" s="129">
        <v>572.98485844000004</v>
      </c>
      <c r="EL130" s="130">
        <v>847.5</v>
      </c>
      <c r="EM130" s="131">
        <v>735.83500000000004</v>
      </c>
      <c r="EN130" s="129">
        <v>429.83307387999997</v>
      </c>
      <c r="EO130" s="129">
        <v>10964.025395000001</v>
      </c>
      <c r="EP130" s="129">
        <v>0</v>
      </c>
      <c r="ER130" s="157">
        <v>0</v>
      </c>
      <c r="ES130" s="37">
        <v>0</v>
      </c>
      <c r="ET130" s="55">
        <f t="shared" si="10"/>
        <v>0</v>
      </c>
      <c r="EU130" s="157">
        <v>0</v>
      </c>
      <c r="EV130" s="37">
        <v>0</v>
      </c>
      <c r="EW130" s="55">
        <f t="shared" si="17"/>
        <v>0</v>
      </c>
      <c r="EY130" s="166">
        <v>4771.8748445000001</v>
      </c>
      <c r="EZ130" s="37">
        <v>0</v>
      </c>
      <c r="FA130" s="164">
        <f t="shared" si="11"/>
        <v>0.35077049837621049</v>
      </c>
      <c r="FB130" s="5">
        <v>4613</v>
      </c>
      <c r="FC130" s="164">
        <f t="shared" si="12"/>
        <v>1</v>
      </c>
      <c r="FE130" s="5"/>
      <c r="FF130" s="166">
        <v>2897.4</v>
      </c>
      <c r="FG130" s="37">
        <v>0</v>
      </c>
      <c r="FH130" s="164">
        <f t="shared" si="13"/>
        <v>0.21751027532233547</v>
      </c>
      <c r="FI130" s="5">
        <v>79.67338298</v>
      </c>
      <c r="FJ130" s="164">
        <f t="shared" si="14"/>
        <v>2.0764499082616628E-2</v>
      </c>
      <c r="FL130" s="169">
        <v>7873</v>
      </c>
      <c r="FM130" s="170">
        <f t="shared" si="15"/>
        <v>0.68245451314546257</v>
      </c>
      <c r="FN130" s="169">
        <v>2591</v>
      </c>
      <c r="FO130" s="170">
        <f t="shared" si="16"/>
        <v>0.82634348588741824</v>
      </c>
    </row>
    <row r="131" spans="16:171" x14ac:dyDescent="0.35">
      <c r="P131" s="64">
        <v>129</v>
      </c>
      <c r="Q131" s="109">
        <v>0</v>
      </c>
      <c r="R131" s="110">
        <v>0</v>
      </c>
      <c r="S131" s="111">
        <v>0</v>
      </c>
      <c r="T131" s="110">
        <v>0</v>
      </c>
      <c r="U131" s="111">
        <v>0</v>
      </c>
      <c r="V131" s="110">
        <v>0</v>
      </c>
      <c r="W131" s="111">
        <v>0</v>
      </c>
      <c r="X131" s="110">
        <v>0</v>
      </c>
      <c r="Y131" s="111">
        <v>0</v>
      </c>
      <c r="Z131" s="110">
        <v>0</v>
      </c>
      <c r="AA131" s="111">
        <v>0</v>
      </c>
      <c r="AB131" s="110">
        <v>0</v>
      </c>
      <c r="AC131" s="111">
        <v>0</v>
      </c>
      <c r="AD131" s="110">
        <v>0</v>
      </c>
      <c r="AF131" s="64">
        <v>129</v>
      </c>
      <c r="AG131" s="109">
        <v>38892.912600000003</v>
      </c>
      <c r="AH131" s="111">
        <v>1639.9</v>
      </c>
      <c r="AI131" s="109">
        <v>356.5</v>
      </c>
      <c r="AJ131" s="59">
        <v>0.437</v>
      </c>
      <c r="AK131" s="59">
        <v>0.71300000000000008</v>
      </c>
      <c r="AL131" s="59">
        <v>0.71299999999999997</v>
      </c>
      <c r="AM131" s="110">
        <v>71.06</v>
      </c>
      <c r="AN131" s="111">
        <v>3143.7719999999999</v>
      </c>
      <c r="AO131" s="59">
        <v>0.11</v>
      </c>
      <c r="AP131" s="55">
        <v>0.26999999999999996</v>
      </c>
      <c r="AQ131" s="109">
        <v>21720.2</v>
      </c>
      <c r="AR131" s="111">
        <v>19742.474999999999</v>
      </c>
      <c r="AS131" s="59">
        <v>0.48700000000000004</v>
      </c>
      <c r="AT131" s="55">
        <v>0.84099999999999997</v>
      </c>
      <c r="AU131" s="43"/>
      <c r="AV131" s="109">
        <v>864.39400000000001</v>
      </c>
      <c r="AW131" s="110">
        <v>0.35100013806209546</v>
      </c>
      <c r="AX131" s="109">
        <v>945.16300000000001</v>
      </c>
      <c r="AY131" s="110">
        <v>0.58815370255133792</v>
      </c>
      <c r="AZ131" s="109">
        <v>1121.4780000000001</v>
      </c>
      <c r="BA131" s="110">
        <v>0.5784392407674851</v>
      </c>
      <c r="BB131" s="43"/>
      <c r="BC131" s="112">
        <v>54782.928</v>
      </c>
      <c r="BD131" s="110">
        <v>0.78688524590163933</v>
      </c>
      <c r="BE131" s="43"/>
      <c r="BF131" s="157">
        <v>16762.947</v>
      </c>
      <c r="BG131" s="43">
        <v>0</v>
      </c>
      <c r="BH131" s="113">
        <v>0</v>
      </c>
      <c r="BI131" s="114">
        <v>0.51420082822085889</v>
      </c>
      <c r="BJ131" s="115">
        <v>0</v>
      </c>
      <c r="BK131" s="113">
        <v>0</v>
      </c>
      <c r="BL131" s="113">
        <v>0</v>
      </c>
      <c r="BM131" s="113">
        <v>0</v>
      </c>
      <c r="BN131" s="113">
        <v>1092.5989999999999</v>
      </c>
      <c r="BO131" s="114">
        <v>8.1065365781273185E-2</v>
      </c>
      <c r="BP131" s="115">
        <v>0</v>
      </c>
      <c r="BQ131" s="43">
        <v>7668</v>
      </c>
      <c r="BR131" s="43">
        <v>0</v>
      </c>
      <c r="BS131" s="43"/>
      <c r="BT131" s="116">
        <v>-700</v>
      </c>
      <c r="BU131" s="43">
        <v>0</v>
      </c>
      <c r="BV131" s="43">
        <v>4485</v>
      </c>
      <c r="BW131" s="43">
        <v>4485</v>
      </c>
      <c r="BX131" s="43">
        <v>0</v>
      </c>
      <c r="BY131" s="43">
        <v>0</v>
      </c>
      <c r="BZ131" s="43">
        <v>5000</v>
      </c>
      <c r="CA131" s="43">
        <v>5000</v>
      </c>
      <c r="CB131" s="43">
        <v>-5300</v>
      </c>
      <c r="CC131" s="43">
        <v>0</v>
      </c>
      <c r="CD131" s="43">
        <v>-4000</v>
      </c>
      <c r="CE131" s="43">
        <v>0</v>
      </c>
      <c r="CF131" s="43">
        <v>-4800</v>
      </c>
      <c r="CG131" s="43">
        <v>0</v>
      </c>
      <c r="CH131" s="43">
        <v>11004.664095390001</v>
      </c>
      <c r="CI131" s="43">
        <v>11004.664095390001</v>
      </c>
      <c r="CJ131" s="114">
        <v>20489.664095389999</v>
      </c>
      <c r="CK131" s="43"/>
      <c r="CL131" s="116">
        <v>-700</v>
      </c>
      <c r="CM131" s="43">
        <v>700</v>
      </c>
      <c r="CN131" s="43">
        <v>4485</v>
      </c>
      <c r="CO131" s="43">
        <v>0</v>
      </c>
      <c r="CP131" s="43">
        <v>0</v>
      </c>
      <c r="CQ131" s="43">
        <v>0</v>
      </c>
      <c r="CR131" s="43">
        <v>5000</v>
      </c>
      <c r="CS131" s="43">
        <v>0</v>
      </c>
      <c r="CT131" s="43">
        <v>-5300</v>
      </c>
      <c r="CU131" s="43">
        <v>5300</v>
      </c>
      <c r="CV131" s="43">
        <v>-4000</v>
      </c>
      <c r="CW131" s="43">
        <v>4000</v>
      </c>
      <c r="CX131" s="43">
        <v>-4800</v>
      </c>
      <c r="CY131" s="43">
        <v>4800</v>
      </c>
      <c r="CZ131" s="43">
        <v>11004.664095390001</v>
      </c>
      <c r="DA131" s="43">
        <v>0</v>
      </c>
      <c r="DB131" s="114">
        <v>14800</v>
      </c>
      <c r="DC131" s="43"/>
      <c r="DD131" s="117">
        <v>28634.611000000001</v>
      </c>
      <c r="DE131" s="55">
        <v>2035.595</v>
      </c>
      <c r="DF131" s="59">
        <v>4180.9137475401003</v>
      </c>
      <c r="DG131" s="59">
        <v>34851.119747540099</v>
      </c>
      <c r="DH131" s="117">
        <v>7561.3940000000002</v>
      </c>
      <c r="DI131" s="117">
        <v>54900.411</v>
      </c>
      <c r="DJ131" s="55">
        <v>9523</v>
      </c>
      <c r="DK131" s="114">
        <v>64423.411</v>
      </c>
      <c r="DL131" s="43"/>
      <c r="DM131" s="117">
        <v>1114.79</v>
      </c>
      <c r="DN131" s="55">
        <v>10553.7831128091</v>
      </c>
      <c r="DO131" s="55">
        <v>11668.573112809099</v>
      </c>
      <c r="DP131" s="59">
        <v>1601.956469328378</v>
      </c>
      <c r="DQ131" s="59">
        <v>2931.3025481182272</v>
      </c>
      <c r="DR131" s="59">
        <v>429.83307387999997</v>
      </c>
      <c r="DS131" s="55">
        <v>3361.1356219982272</v>
      </c>
      <c r="DT131" s="55">
        <v>162.8501415621237</v>
      </c>
      <c r="DU131" s="55">
        <v>162.8501415621237</v>
      </c>
      <c r="DW131" s="121">
        <v>0</v>
      </c>
      <c r="DX131" s="122">
        <v>6779.6610170000004</v>
      </c>
      <c r="DY131" s="128">
        <v>1447.7400829999999</v>
      </c>
      <c r="DZ131" s="128">
        <v>0</v>
      </c>
      <c r="EA131" s="121">
        <v>0</v>
      </c>
      <c r="EB131" s="122">
        <v>572.98485844000004</v>
      </c>
      <c r="EC131" s="121">
        <v>0</v>
      </c>
      <c r="ED131" s="122">
        <v>1271.1864410000001</v>
      </c>
      <c r="EE131" s="121">
        <v>0</v>
      </c>
      <c r="EF131" s="122">
        <v>847.5</v>
      </c>
      <c r="EG131" s="121">
        <v>0</v>
      </c>
      <c r="EH131" s="122">
        <v>7397.5988710000001</v>
      </c>
      <c r="EI131" s="121">
        <v>0</v>
      </c>
      <c r="EJ131" s="122">
        <v>6779.6610170000004</v>
      </c>
      <c r="EK131" s="129">
        <v>572.98485844000004</v>
      </c>
      <c r="EL131" s="130">
        <v>847.5</v>
      </c>
      <c r="EM131" s="131">
        <v>735.83500000000004</v>
      </c>
      <c r="EN131" s="129">
        <v>429.83307387999997</v>
      </c>
      <c r="EO131" s="129">
        <v>10964.025395000001</v>
      </c>
      <c r="EP131" s="129">
        <v>0</v>
      </c>
      <c r="ER131" s="157">
        <v>0</v>
      </c>
      <c r="ES131" s="37">
        <v>0</v>
      </c>
      <c r="ET131" s="55">
        <f t="shared" si="10"/>
        <v>0</v>
      </c>
      <c r="EU131" s="157">
        <v>0</v>
      </c>
      <c r="EV131" s="37">
        <v>0</v>
      </c>
      <c r="EW131" s="55">
        <f t="shared" ref="EW131:EW162" si="18">(EU131+EV131)/($J$2+$J$3)</f>
        <v>0</v>
      </c>
      <c r="EY131" s="166">
        <v>10447.41</v>
      </c>
      <c r="EZ131" s="37">
        <v>0</v>
      </c>
      <c r="FA131" s="164">
        <f t="shared" si="11"/>
        <v>0.76796716843159141</v>
      </c>
      <c r="FB131" s="5">
        <v>4613</v>
      </c>
      <c r="FC131" s="164">
        <f t="shared" si="12"/>
        <v>1</v>
      </c>
      <c r="FE131" s="5"/>
      <c r="FF131" s="166">
        <v>2897.4</v>
      </c>
      <c r="FG131" s="37">
        <v>0</v>
      </c>
      <c r="FH131" s="164">
        <f t="shared" si="13"/>
        <v>0.21751027532233547</v>
      </c>
      <c r="FI131" s="5">
        <v>515.17376595999997</v>
      </c>
      <c r="FJ131" s="164">
        <f t="shared" si="14"/>
        <v>0.13426472920510815</v>
      </c>
      <c r="FL131" s="169">
        <v>7873</v>
      </c>
      <c r="FM131" s="170">
        <f t="shared" si="15"/>
        <v>0.68245451314546257</v>
      </c>
      <c r="FN131" s="169">
        <v>2591</v>
      </c>
      <c r="FO131" s="170">
        <f t="shared" si="16"/>
        <v>0.82634348588741824</v>
      </c>
    </row>
    <row r="132" spans="16:171" x14ac:dyDescent="0.35">
      <c r="P132" s="64">
        <v>130</v>
      </c>
      <c r="Q132" s="109">
        <v>9960</v>
      </c>
      <c r="R132" s="110">
        <v>0.12</v>
      </c>
      <c r="S132" s="111">
        <v>389.20499999999998</v>
      </c>
      <c r="T132" s="110">
        <v>8.1000000000000003E-2</v>
      </c>
      <c r="U132" s="111">
        <v>3810</v>
      </c>
      <c r="V132" s="110">
        <v>0.127</v>
      </c>
      <c r="W132" s="111">
        <v>790.80100000000004</v>
      </c>
      <c r="X132" s="110">
        <v>5.5E-2</v>
      </c>
      <c r="Y132" s="111">
        <v>299.45690000000002</v>
      </c>
      <c r="Z132" s="110">
        <v>3.1000000000000003E-2</v>
      </c>
      <c r="AA132" s="111">
        <v>2828.1</v>
      </c>
      <c r="AB132" s="110">
        <v>5.5E-2</v>
      </c>
      <c r="AC132" s="111">
        <v>2223.3984</v>
      </c>
      <c r="AD132" s="110">
        <v>4.8000000000000001E-2</v>
      </c>
      <c r="AF132" s="64">
        <v>130</v>
      </c>
      <c r="AG132" s="109">
        <v>38358.913800000002</v>
      </c>
      <c r="AH132" s="111">
        <v>1658.3</v>
      </c>
      <c r="AI132" s="109">
        <v>360.5</v>
      </c>
      <c r="AJ132" s="59">
        <v>0.43099999999999999</v>
      </c>
      <c r="AK132" s="59">
        <v>0.72099999999999997</v>
      </c>
      <c r="AL132" s="59">
        <v>0.72099999999999997</v>
      </c>
      <c r="AM132" s="110">
        <v>76.227999999999994</v>
      </c>
      <c r="AN132" s="111">
        <v>2480.0868</v>
      </c>
      <c r="AO132" s="59">
        <v>0.11799999999999999</v>
      </c>
      <c r="AP132" s="55">
        <v>0.21299999999999999</v>
      </c>
      <c r="AQ132" s="109">
        <v>18598.2</v>
      </c>
      <c r="AR132" s="111">
        <v>18287.025000000001</v>
      </c>
      <c r="AS132" s="59">
        <v>0.41700000000000004</v>
      </c>
      <c r="AT132" s="55">
        <v>0.77900000000000003</v>
      </c>
      <c r="AU132" s="43"/>
      <c r="AV132" s="109">
        <v>869.31899999999996</v>
      </c>
      <c r="AW132" s="110">
        <v>0.35300000812129972</v>
      </c>
      <c r="AX132" s="109">
        <v>947.83399999999995</v>
      </c>
      <c r="AY132" s="110">
        <v>0.58981580584940885</v>
      </c>
      <c r="AZ132" s="109">
        <v>1121.4780000000001</v>
      </c>
      <c r="BA132" s="110">
        <v>0.5784392407674851</v>
      </c>
      <c r="BB132" s="43"/>
      <c r="BC132" s="112">
        <v>54782.928</v>
      </c>
      <c r="BD132" s="110">
        <v>0.78688524590163933</v>
      </c>
      <c r="BE132" s="43"/>
      <c r="BF132" s="157">
        <v>21083.649000000001</v>
      </c>
      <c r="BG132" s="43">
        <v>0</v>
      </c>
      <c r="BH132" s="113">
        <v>0</v>
      </c>
      <c r="BI132" s="114">
        <v>0.64673769938650305</v>
      </c>
      <c r="BJ132" s="115">
        <v>0</v>
      </c>
      <c r="BK132" s="113">
        <v>0</v>
      </c>
      <c r="BL132" s="113">
        <v>0</v>
      </c>
      <c r="BM132" s="113">
        <v>0</v>
      </c>
      <c r="BN132" s="113">
        <v>1647.3340000000001</v>
      </c>
      <c r="BO132" s="114">
        <v>0.12222392046297671</v>
      </c>
      <c r="BP132" s="115">
        <v>0</v>
      </c>
      <c r="BQ132" s="43">
        <v>7668</v>
      </c>
      <c r="BR132" s="43">
        <v>0</v>
      </c>
      <c r="BS132" s="43"/>
      <c r="BT132" s="116">
        <v>-700</v>
      </c>
      <c r="BU132" s="43">
        <v>0</v>
      </c>
      <c r="BV132" s="43">
        <v>4485</v>
      </c>
      <c r="BW132" s="43">
        <v>4485</v>
      </c>
      <c r="BX132" s="43">
        <v>0</v>
      </c>
      <c r="BY132" s="43">
        <v>0</v>
      </c>
      <c r="BZ132" s="43">
        <v>5000</v>
      </c>
      <c r="CA132" s="43">
        <v>5000</v>
      </c>
      <c r="CB132" s="43">
        <v>-5300</v>
      </c>
      <c r="CC132" s="43">
        <v>0</v>
      </c>
      <c r="CD132" s="43">
        <v>-4000</v>
      </c>
      <c r="CE132" s="43">
        <v>0</v>
      </c>
      <c r="CF132" s="43">
        <v>-4800</v>
      </c>
      <c r="CG132" s="43">
        <v>0</v>
      </c>
      <c r="CH132" s="43">
        <v>9604.15692657</v>
      </c>
      <c r="CI132" s="43">
        <v>9604.15692657</v>
      </c>
      <c r="CJ132" s="114">
        <v>19089.156926570002</v>
      </c>
      <c r="CK132" s="43"/>
      <c r="CL132" s="116">
        <v>-700</v>
      </c>
      <c r="CM132" s="43">
        <v>700</v>
      </c>
      <c r="CN132" s="43">
        <v>4485</v>
      </c>
      <c r="CO132" s="43">
        <v>0</v>
      </c>
      <c r="CP132" s="43">
        <v>0</v>
      </c>
      <c r="CQ132" s="43">
        <v>0</v>
      </c>
      <c r="CR132" s="43">
        <v>5000</v>
      </c>
      <c r="CS132" s="43">
        <v>0</v>
      </c>
      <c r="CT132" s="43">
        <v>-5300</v>
      </c>
      <c r="CU132" s="43">
        <v>5300</v>
      </c>
      <c r="CV132" s="43">
        <v>-4000</v>
      </c>
      <c r="CW132" s="43">
        <v>4000</v>
      </c>
      <c r="CX132" s="43">
        <v>-4800</v>
      </c>
      <c r="CY132" s="43">
        <v>4800</v>
      </c>
      <c r="CZ132" s="43">
        <v>9604.15692657</v>
      </c>
      <c r="DA132" s="43">
        <v>0</v>
      </c>
      <c r="DB132" s="114">
        <v>14800</v>
      </c>
      <c r="DC132" s="43"/>
      <c r="DD132" s="117">
        <v>31095.82</v>
      </c>
      <c r="DE132" s="55">
        <v>1913.068</v>
      </c>
      <c r="DF132" s="59">
        <v>2626.8456460890002</v>
      </c>
      <c r="DG132" s="59">
        <v>35635.733646089</v>
      </c>
      <c r="DH132" s="117">
        <v>8265.2219999999998</v>
      </c>
      <c r="DI132" s="117">
        <v>55796.411</v>
      </c>
      <c r="DJ132" s="55">
        <v>10099</v>
      </c>
      <c r="DK132" s="114">
        <v>65895.410999999993</v>
      </c>
      <c r="DL132" s="43"/>
      <c r="DM132" s="117">
        <v>1037.1759999999999</v>
      </c>
      <c r="DN132" s="55">
        <v>10553.7831128091</v>
      </c>
      <c r="DO132" s="55">
        <v>11590.9591128091</v>
      </c>
      <c r="DP132" s="59">
        <v>1601.956469328378</v>
      </c>
      <c r="DQ132" s="59">
        <v>2931.3025481182272</v>
      </c>
      <c r="DR132" s="59">
        <v>429.83307387999997</v>
      </c>
      <c r="DS132" s="55">
        <v>3361.1356219982272</v>
      </c>
      <c r="DT132" s="55">
        <v>162.8501415621237</v>
      </c>
      <c r="DU132" s="55">
        <v>162.8501415621237</v>
      </c>
      <c r="DW132" s="121">
        <v>0</v>
      </c>
      <c r="DX132" s="122">
        <v>6779.6610170000004</v>
      </c>
      <c r="DY132" s="128">
        <v>1447.7400829999999</v>
      </c>
      <c r="DZ132" s="128">
        <v>0</v>
      </c>
      <c r="EA132" s="121">
        <v>0</v>
      </c>
      <c r="EB132" s="122">
        <v>242.98485844000001</v>
      </c>
      <c r="EC132" s="121">
        <v>0</v>
      </c>
      <c r="ED132" s="122">
        <v>1271.1864410000001</v>
      </c>
      <c r="EE132" s="121">
        <v>0</v>
      </c>
      <c r="EF132" s="122">
        <v>847.5</v>
      </c>
      <c r="EG132" s="121">
        <v>0</v>
      </c>
      <c r="EH132" s="122">
        <v>7397.5988710000001</v>
      </c>
      <c r="EI132" s="121">
        <v>0</v>
      </c>
      <c r="EJ132" s="122">
        <v>6779.6610170000004</v>
      </c>
      <c r="EK132" s="129">
        <v>242.98485844000001</v>
      </c>
      <c r="EL132" s="130">
        <v>847.5</v>
      </c>
      <c r="EM132" s="131">
        <v>735.83500000000004</v>
      </c>
      <c r="EN132" s="129">
        <v>429.83307387999997</v>
      </c>
      <c r="EO132" s="129">
        <v>10964.025395000001</v>
      </c>
      <c r="EP132" s="129">
        <v>0</v>
      </c>
      <c r="ER132" s="157">
        <v>0</v>
      </c>
      <c r="ES132" s="37">
        <v>0</v>
      </c>
      <c r="ET132" s="55">
        <f t="shared" ref="ET132:ET170" si="19">(ES132+ER132)/($E$2+$E$3)</f>
        <v>0</v>
      </c>
      <c r="EU132" s="157">
        <v>0</v>
      </c>
      <c r="EV132" s="37">
        <v>0</v>
      </c>
      <c r="EW132" s="55">
        <f t="shared" si="18"/>
        <v>0</v>
      </c>
      <c r="EY132" s="166">
        <v>0</v>
      </c>
      <c r="EZ132" s="37">
        <v>0</v>
      </c>
      <c r="FA132" s="164">
        <f t="shared" ref="FA132:FA170" si="20">(EY132+EZ132)/($E$12+$E$14)</f>
        <v>0</v>
      </c>
      <c r="FB132" s="5">
        <v>4613</v>
      </c>
      <c r="FC132" s="164">
        <f t="shared" ref="FC132:FC170" si="21">FB132/$J$10</f>
        <v>1</v>
      </c>
      <c r="FE132" s="5"/>
      <c r="FF132" s="166">
        <v>2897.4</v>
      </c>
      <c r="FG132" s="37">
        <v>2666.29374831</v>
      </c>
      <c r="FH132" s="164">
        <f t="shared" ref="FH132:FH170" si="22">(FF132+FG132)/($E$13+$E$15)</f>
        <v>0.41767120832610777</v>
      </c>
      <c r="FI132" s="5">
        <v>0</v>
      </c>
      <c r="FJ132" s="164">
        <f t="shared" ref="FJ132:FJ170" si="23">FI132/$J$11</f>
        <v>0</v>
      </c>
      <c r="FL132" s="169">
        <v>7873</v>
      </c>
      <c r="FM132" s="170">
        <f t="shared" ref="FM132:FM170" si="24">FL132/$E$11</f>
        <v>0.68245451314546257</v>
      </c>
      <c r="FN132" s="169">
        <v>2591</v>
      </c>
      <c r="FO132" s="170">
        <f t="shared" ref="FO132:FO170" si="25">FN132/$J$9</f>
        <v>0.82634348588741824</v>
      </c>
    </row>
    <row r="133" spans="16:171" x14ac:dyDescent="0.35">
      <c r="P133" s="64">
        <v>131</v>
      </c>
      <c r="Q133" s="109">
        <v>25398</v>
      </c>
      <c r="R133" s="110">
        <v>0.30599999999999999</v>
      </c>
      <c r="S133" s="111">
        <v>1037.8800000000001</v>
      </c>
      <c r="T133" s="110">
        <v>0.21600000000000003</v>
      </c>
      <c r="U133" s="111">
        <v>8910</v>
      </c>
      <c r="V133" s="110">
        <v>0.29699999999999999</v>
      </c>
      <c r="W133" s="111">
        <v>2933.1527999999998</v>
      </c>
      <c r="X133" s="110">
        <v>0.20399999999999999</v>
      </c>
      <c r="Y133" s="111">
        <v>1130.2083</v>
      </c>
      <c r="Z133" s="110">
        <v>0.11700000000000001</v>
      </c>
      <c r="AA133" s="111">
        <v>8227.2000000000007</v>
      </c>
      <c r="AB133" s="110">
        <v>0.16</v>
      </c>
      <c r="AC133" s="111">
        <v>6206.9871999999996</v>
      </c>
      <c r="AD133" s="110">
        <v>0.13399999999999998</v>
      </c>
      <c r="AF133" s="64">
        <v>131</v>
      </c>
      <c r="AG133" s="109">
        <v>39070.912199999999</v>
      </c>
      <c r="AH133" s="111">
        <v>1674.4</v>
      </c>
      <c r="AI133" s="109">
        <v>364</v>
      </c>
      <c r="AJ133" s="59">
        <v>0.43899999999999995</v>
      </c>
      <c r="AK133" s="59">
        <v>0.72800000000000009</v>
      </c>
      <c r="AL133" s="59">
        <v>0.72799999999999998</v>
      </c>
      <c r="AM133" s="110">
        <v>80.103999999999999</v>
      </c>
      <c r="AN133" s="111">
        <v>1467.0935999999999</v>
      </c>
      <c r="AO133" s="59">
        <v>0.124</v>
      </c>
      <c r="AP133" s="55">
        <v>0.126</v>
      </c>
      <c r="AQ133" s="109">
        <v>16814.2</v>
      </c>
      <c r="AR133" s="111">
        <v>16268.174999999999</v>
      </c>
      <c r="AS133" s="59">
        <v>0.377</v>
      </c>
      <c r="AT133" s="55">
        <v>0.69299999999999995</v>
      </c>
      <c r="AU133" s="43"/>
      <c r="AV133" s="109">
        <v>861.93100000000004</v>
      </c>
      <c r="AW133" s="110">
        <v>0.35000000000000003</v>
      </c>
      <c r="AX133" s="109">
        <v>945.15200000000004</v>
      </c>
      <c r="AY133" s="110">
        <v>0.58814685749844431</v>
      </c>
      <c r="AZ133" s="109">
        <v>1121.4780000000001</v>
      </c>
      <c r="BA133" s="110">
        <v>0.5784392407674851</v>
      </c>
      <c r="BB133" s="43"/>
      <c r="BC133" s="112">
        <v>54782.928</v>
      </c>
      <c r="BD133" s="110">
        <v>0.78688524590163933</v>
      </c>
      <c r="BE133" s="43"/>
      <c r="BF133" s="157">
        <v>28122.741999999998</v>
      </c>
      <c r="BG133" s="43">
        <v>0</v>
      </c>
      <c r="BH133" s="113">
        <v>0</v>
      </c>
      <c r="BI133" s="114">
        <v>0.86266079754601221</v>
      </c>
      <c r="BJ133" s="115">
        <v>0</v>
      </c>
      <c r="BK133" s="113">
        <v>0</v>
      </c>
      <c r="BL133" s="113">
        <v>0</v>
      </c>
      <c r="BM133" s="113">
        <v>0</v>
      </c>
      <c r="BN133" s="113">
        <v>3150.95</v>
      </c>
      <c r="BO133" s="114">
        <v>0.23378468615521589</v>
      </c>
      <c r="BP133" s="115">
        <v>0</v>
      </c>
      <c r="BQ133" s="43">
        <v>7668</v>
      </c>
      <c r="BR133" s="43">
        <v>0</v>
      </c>
      <c r="BS133" s="43"/>
      <c r="BT133" s="116">
        <v>-700</v>
      </c>
      <c r="BU133" s="43">
        <v>0</v>
      </c>
      <c r="BV133" s="43">
        <v>4485</v>
      </c>
      <c r="BW133" s="43">
        <v>4485</v>
      </c>
      <c r="BX133" s="43">
        <v>0</v>
      </c>
      <c r="BY133" s="43">
        <v>0</v>
      </c>
      <c r="BZ133" s="43">
        <v>5000</v>
      </c>
      <c r="CA133" s="43">
        <v>5000</v>
      </c>
      <c r="CB133" s="43">
        <v>-5300</v>
      </c>
      <c r="CC133" s="43">
        <v>0</v>
      </c>
      <c r="CD133" s="43">
        <v>-4000</v>
      </c>
      <c r="CE133" s="43">
        <v>0</v>
      </c>
      <c r="CF133" s="43">
        <v>-4800</v>
      </c>
      <c r="CG133" s="43">
        <v>0</v>
      </c>
      <c r="CH133" s="43">
        <v>8186.8005559100002</v>
      </c>
      <c r="CI133" s="43">
        <v>8186.8005559100002</v>
      </c>
      <c r="CJ133" s="114">
        <v>17671.800555909998</v>
      </c>
      <c r="CK133" s="43"/>
      <c r="CL133" s="116">
        <v>-700</v>
      </c>
      <c r="CM133" s="43">
        <v>700</v>
      </c>
      <c r="CN133" s="43">
        <v>4485</v>
      </c>
      <c r="CO133" s="43">
        <v>0</v>
      </c>
      <c r="CP133" s="43">
        <v>0</v>
      </c>
      <c r="CQ133" s="43">
        <v>0</v>
      </c>
      <c r="CR133" s="43">
        <v>5000</v>
      </c>
      <c r="CS133" s="43">
        <v>0</v>
      </c>
      <c r="CT133" s="43">
        <v>-5300</v>
      </c>
      <c r="CU133" s="43">
        <v>5300</v>
      </c>
      <c r="CV133" s="43">
        <v>-4000</v>
      </c>
      <c r="CW133" s="43">
        <v>4000</v>
      </c>
      <c r="CX133" s="43">
        <v>-4800</v>
      </c>
      <c r="CY133" s="43">
        <v>4800</v>
      </c>
      <c r="CZ133" s="43">
        <v>8186.8005559100002</v>
      </c>
      <c r="DA133" s="43">
        <v>0</v>
      </c>
      <c r="DB133" s="114">
        <v>14800</v>
      </c>
      <c r="DC133" s="43"/>
      <c r="DD133" s="117">
        <v>31685.147000000001</v>
      </c>
      <c r="DE133" s="55">
        <v>1764.1790000000001</v>
      </c>
      <c r="DF133" s="59">
        <v>2099.5337936766</v>
      </c>
      <c r="DG133" s="59">
        <v>35548.859793676602</v>
      </c>
      <c r="DH133" s="117">
        <v>9558.5589999999993</v>
      </c>
      <c r="DI133" s="117">
        <v>56243.411</v>
      </c>
      <c r="DJ133" s="55">
        <v>9525</v>
      </c>
      <c r="DK133" s="114">
        <v>65768.410999999993</v>
      </c>
      <c r="DL133" s="43"/>
      <c r="DM133" s="117">
        <v>969.36500000000001</v>
      </c>
      <c r="DN133" s="55">
        <v>10553.7831128091</v>
      </c>
      <c r="DO133" s="55">
        <v>11523.1481128091</v>
      </c>
      <c r="DP133" s="59">
        <v>1785.6763065217999</v>
      </c>
      <c r="DQ133" s="59">
        <v>2931.3025481182272</v>
      </c>
      <c r="DR133" s="59">
        <v>429.83307387999997</v>
      </c>
      <c r="DS133" s="55">
        <v>3361.1356219982272</v>
      </c>
      <c r="DT133" s="55">
        <v>162.8501415621237</v>
      </c>
      <c r="DU133" s="55">
        <v>162.8501415621237</v>
      </c>
      <c r="DW133" s="121">
        <v>0</v>
      </c>
      <c r="DX133" s="122">
        <v>6779.6610170000004</v>
      </c>
      <c r="DY133" s="128">
        <v>1447.7400829999999</v>
      </c>
      <c r="DZ133" s="128">
        <v>0</v>
      </c>
      <c r="EA133" s="121">
        <v>0</v>
      </c>
      <c r="EB133" s="122">
        <v>242.98485844000001</v>
      </c>
      <c r="EC133" s="121">
        <v>0</v>
      </c>
      <c r="ED133" s="122">
        <v>1271.1864410000001</v>
      </c>
      <c r="EE133" s="121">
        <v>0</v>
      </c>
      <c r="EF133" s="122">
        <v>847.5</v>
      </c>
      <c r="EG133" s="121">
        <v>0</v>
      </c>
      <c r="EH133" s="122">
        <v>7397.5988710000001</v>
      </c>
      <c r="EI133" s="121">
        <v>0</v>
      </c>
      <c r="EJ133" s="122">
        <v>6779.6610170000004</v>
      </c>
      <c r="EK133" s="129">
        <v>242.98485844000001</v>
      </c>
      <c r="EL133" s="130">
        <v>847.5</v>
      </c>
      <c r="EM133" s="131">
        <v>735.83500000000004</v>
      </c>
      <c r="EN133" s="129">
        <v>429.83307387999997</v>
      </c>
      <c r="EO133" s="129">
        <v>10964.025395000001</v>
      </c>
      <c r="EP133" s="129">
        <v>0</v>
      </c>
      <c r="ER133" s="157">
        <v>0</v>
      </c>
      <c r="ES133" s="37">
        <v>0</v>
      </c>
      <c r="ET133" s="55">
        <f t="shared" si="19"/>
        <v>0</v>
      </c>
      <c r="EU133" s="157">
        <v>0</v>
      </c>
      <c r="EV133" s="37">
        <v>0</v>
      </c>
      <c r="EW133" s="55">
        <f t="shared" si="18"/>
        <v>0</v>
      </c>
      <c r="EY133" s="166">
        <v>0</v>
      </c>
      <c r="EZ133" s="37">
        <v>0</v>
      </c>
      <c r="FA133" s="164">
        <f t="shared" si="20"/>
        <v>0</v>
      </c>
      <c r="FB133" s="5">
        <v>931.99979149000001</v>
      </c>
      <c r="FC133" s="164">
        <f t="shared" si="21"/>
        <v>0.20203767428788208</v>
      </c>
      <c r="FE133" s="5"/>
      <c r="FF133" s="166">
        <v>2897.4</v>
      </c>
      <c r="FG133" s="37">
        <v>10423.35</v>
      </c>
      <c r="FH133" s="164">
        <f t="shared" si="22"/>
        <v>1</v>
      </c>
      <c r="FI133" s="5">
        <v>0</v>
      </c>
      <c r="FJ133" s="164">
        <f t="shared" si="23"/>
        <v>0</v>
      </c>
      <c r="FL133" s="169">
        <v>7873</v>
      </c>
      <c r="FM133" s="170">
        <f t="shared" si="24"/>
        <v>0.68245451314546257</v>
      </c>
      <c r="FN133" s="169">
        <v>2591</v>
      </c>
      <c r="FO133" s="170">
        <f t="shared" si="25"/>
        <v>0.82634348588741824</v>
      </c>
    </row>
    <row r="134" spans="16:171" x14ac:dyDescent="0.35">
      <c r="P134" s="64">
        <v>132</v>
      </c>
      <c r="Q134" s="109">
        <v>30959</v>
      </c>
      <c r="R134" s="110">
        <v>0.373</v>
      </c>
      <c r="S134" s="111">
        <v>1729.8</v>
      </c>
      <c r="T134" s="110">
        <v>0.36</v>
      </c>
      <c r="U134" s="111">
        <v>12960</v>
      </c>
      <c r="V134" s="110">
        <v>0.432</v>
      </c>
      <c r="W134" s="111">
        <v>5017.9917999999998</v>
      </c>
      <c r="X134" s="110">
        <v>0.34899999999999998</v>
      </c>
      <c r="Y134" s="111">
        <v>1980.2795000000001</v>
      </c>
      <c r="Z134" s="110">
        <v>0.20500000000000002</v>
      </c>
      <c r="AA134" s="111">
        <v>13523.46</v>
      </c>
      <c r="AB134" s="110">
        <v>0.26299999999999996</v>
      </c>
      <c r="AC134" s="111">
        <v>10005.292799999999</v>
      </c>
      <c r="AD134" s="110">
        <v>0.21599999999999997</v>
      </c>
      <c r="AF134" s="64">
        <v>132</v>
      </c>
      <c r="AG134" s="109">
        <v>40138.909800000001</v>
      </c>
      <c r="AH134" s="111">
        <v>1681.3</v>
      </c>
      <c r="AI134" s="109">
        <v>365.5</v>
      </c>
      <c r="AJ134" s="59">
        <v>0.45100000000000001</v>
      </c>
      <c r="AK134" s="59">
        <v>0.73099999999999998</v>
      </c>
      <c r="AL134" s="59">
        <v>0.73099999999999998</v>
      </c>
      <c r="AM134" s="110">
        <v>85.272000000000006</v>
      </c>
      <c r="AN134" s="111">
        <v>1222.578</v>
      </c>
      <c r="AO134" s="59">
        <v>0.13200000000000001</v>
      </c>
      <c r="AP134" s="55">
        <v>0.105</v>
      </c>
      <c r="AQ134" s="109">
        <v>14896.4</v>
      </c>
      <c r="AR134" s="111">
        <v>14108.475</v>
      </c>
      <c r="AS134" s="59">
        <v>0.33400000000000002</v>
      </c>
      <c r="AT134" s="55">
        <v>0.60099999999999998</v>
      </c>
      <c r="AU134" s="43"/>
      <c r="AV134" s="109">
        <v>859.46799999999996</v>
      </c>
      <c r="AW134" s="110">
        <v>0.34899986193790455</v>
      </c>
      <c r="AX134" s="109">
        <v>943.71100000000001</v>
      </c>
      <c r="AY134" s="110">
        <v>0.58725015556938398</v>
      </c>
      <c r="AZ134" s="109">
        <v>1121.4780000000001</v>
      </c>
      <c r="BA134" s="110">
        <v>0.5784392407674851</v>
      </c>
      <c r="BB134" s="43"/>
      <c r="BC134" s="112">
        <v>54782.928</v>
      </c>
      <c r="BD134" s="110">
        <v>0.78688524590163933</v>
      </c>
      <c r="BE134" s="43"/>
      <c r="BF134" s="157">
        <v>32422.995999999999</v>
      </c>
      <c r="BG134" s="43">
        <v>0</v>
      </c>
      <c r="BH134" s="113">
        <v>0</v>
      </c>
      <c r="BI134" s="114">
        <v>0.99457042944785279</v>
      </c>
      <c r="BJ134" s="115">
        <v>0</v>
      </c>
      <c r="BK134" s="113">
        <v>0</v>
      </c>
      <c r="BL134" s="113">
        <v>0</v>
      </c>
      <c r="BM134" s="113">
        <v>0</v>
      </c>
      <c r="BN134" s="113">
        <v>4677.8090000000002</v>
      </c>
      <c r="BO134" s="114">
        <v>0.3470699658703072</v>
      </c>
      <c r="BP134" s="115">
        <v>0</v>
      </c>
      <c r="BQ134" s="43">
        <v>7668</v>
      </c>
      <c r="BR134" s="43">
        <v>0</v>
      </c>
      <c r="BS134" s="43"/>
      <c r="BT134" s="116">
        <v>-700</v>
      </c>
      <c r="BU134" s="43">
        <v>0</v>
      </c>
      <c r="BV134" s="43">
        <v>4485</v>
      </c>
      <c r="BW134" s="43">
        <v>4485</v>
      </c>
      <c r="BX134" s="43">
        <v>0</v>
      </c>
      <c r="BY134" s="43">
        <v>0</v>
      </c>
      <c r="BZ134" s="43">
        <v>0</v>
      </c>
      <c r="CA134" s="43">
        <v>0</v>
      </c>
      <c r="CB134" s="43">
        <v>-5300</v>
      </c>
      <c r="CC134" s="43">
        <v>0</v>
      </c>
      <c r="CD134" s="43">
        <v>-4000</v>
      </c>
      <c r="CE134" s="43">
        <v>0</v>
      </c>
      <c r="CF134" s="43">
        <v>-4800</v>
      </c>
      <c r="CG134" s="43">
        <v>0</v>
      </c>
      <c r="CH134" s="43">
        <v>8560.64515321</v>
      </c>
      <c r="CI134" s="43">
        <v>8560.64515321</v>
      </c>
      <c r="CJ134" s="114">
        <v>13045.64515321</v>
      </c>
      <c r="CK134" s="43"/>
      <c r="CL134" s="116">
        <v>-700</v>
      </c>
      <c r="CM134" s="43">
        <v>700</v>
      </c>
      <c r="CN134" s="43">
        <v>4485</v>
      </c>
      <c r="CO134" s="43">
        <v>0</v>
      </c>
      <c r="CP134" s="43">
        <v>0</v>
      </c>
      <c r="CQ134" s="43">
        <v>0</v>
      </c>
      <c r="CR134" s="43">
        <v>0</v>
      </c>
      <c r="CS134" s="43">
        <v>0</v>
      </c>
      <c r="CT134" s="43">
        <v>-5300</v>
      </c>
      <c r="CU134" s="43">
        <v>5300</v>
      </c>
      <c r="CV134" s="43">
        <v>-4000</v>
      </c>
      <c r="CW134" s="43">
        <v>4000</v>
      </c>
      <c r="CX134" s="43">
        <v>-4800</v>
      </c>
      <c r="CY134" s="43">
        <v>4800</v>
      </c>
      <c r="CZ134" s="43">
        <v>8560.64515321</v>
      </c>
      <c r="DA134" s="43">
        <v>0</v>
      </c>
      <c r="DB134" s="114">
        <v>14800</v>
      </c>
      <c r="DC134" s="43"/>
      <c r="DD134" s="117">
        <v>32485.244999999999</v>
      </c>
      <c r="DE134" s="55">
        <v>1736.2159999999999</v>
      </c>
      <c r="DF134" s="59">
        <v>2670.4199233060999</v>
      </c>
      <c r="DG134" s="59">
        <v>36891.880923306097</v>
      </c>
      <c r="DH134" s="117">
        <v>10938.232</v>
      </c>
      <c r="DI134" s="117">
        <v>57974.411</v>
      </c>
      <c r="DJ134" s="55">
        <v>8773</v>
      </c>
      <c r="DK134" s="114">
        <v>66747.410999999993</v>
      </c>
      <c r="DL134" s="43"/>
      <c r="DM134" s="117">
        <v>919.17600000000004</v>
      </c>
      <c r="DN134" s="55">
        <v>10569.62924658717</v>
      </c>
      <c r="DO134" s="55">
        <v>11488.80524658717</v>
      </c>
      <c r="DP134" s="59">
        <v>1785.6763065217999</v>
      </c>
      <c r="DQ134" s="59">
        <v>2939.6521533658638</v>
      </c>
      <c r="DR134" s="59">
        <v>421.48346863</v>
      </c>
      <c r="DS134" s="55">
        <v>3361.1356219958639</v>
      </c>
      <c r="DT134" s="55">
        <v>163.31400852032581</v>
      </c>
      <c r="DU134" s="55">
        <v>163.31400852032581</v>
      </c>
      <c r="DW134" s="121">
        <v>0</v>
      </c>
      <c r="DX134" s="122">
        <v>6779.6610170000004</v>
      </c>
      <c r="DY134" s="128">
        <v>1447.7400829999999</v>
      </c>
      <c r="DZ134" s="128">
        <v>0</v>
      </c>
      <c r="EA134" s="121">
        <v>0</v>
      </c>
      <c r="EB134" s="122">
        <v>242.52099147999999</v>
      </c>
      <c r="EC134" s="121">
        <v>0</v>
      </c>
      <c r="ED134" s="122">
        <v>1271.1864410000001</v>
      </c>
      <c r="EE134" s="121">
        <v>0</v>
      </c>
      <c r="EF134" s="122">
        <v>847.5</v>
      </c>
      <c r="EG134" s="121">
        <v>0</v>
      </c>
      <c r="EH134" s="122">
        <v>7397.5988710000001</v>
      </c>
      <c r="EI134" s="121">
        <v>0</v>
      </c>
      <c r="EJ134" s="122">
        <v>6779.6610170000004</v>
      </c>
      <c r="EK134" s="129">
        <v>242.52099147999999</v>
      </c>
      <c r="EL134" s="130">
        <v>847.5</v>
      </c>
      <c r="EM134" s="131">
        <v>735.83500000000004</v>
      </c>
      <c r="EN134" s="129">
        <v>421.48346863</v>
      </c>
      <c r="EO134" s="129">
        <v>10964.025395000001</v>
      </c>
      <c r="EP134" s="129">
        <v>0</v>
      </c>
      <c r="ER134" s="157">
        <v>0</v>
      </c>
      <c r="ES134" s="37">
        <v>0</v>
      </c>
      <c r="ET134" s="55">
        <f t="shared" si="19"/>
        <v>0</v>
      </c>
      <c r="EU134" s="157">
        <v>0</v>
      </c>
      <c r="EV134" s="37">
        <v>0</v>
      </c>
      <c r="EW134" s="55">
        <f t="shared" si="18"/>
        <v>0</v>
      </c>
      <c r="EY134" s="166">
        <v>0</v>
      </c>
      <c r="EZ134" s="37">
        <v>0</v>
      </c>
      <c r="FA134" s="164">
        <f t="shared" si="20"/>
        <v>0</v>
      </c>
      <c r="FB134" s="5">
        <v>4613</v>
      </c>
      <c r="FC134" s="164">
        <f t="shared" si="21"/>
        <v>1</v>
      </c>
      <c r="FE134" s="5"/>
      <c r="FF134" s="166">
        <v>2897.4</v>
      </c>
      <c r="FG134" s="37">
        <v>10423.35</v>
      </c>
      <c r="FH134" s="164">
        <f t="shared" si="22"/>
        <v>1</v>
      </c>
      <c r="FI134" s="5">
        <v>0</v>
      </c>
      <c r="FJ134" s="164">
        <f t="shared" si="23"/>
        <v>0</v>
      </c>
      <c r="FL134" s="169">
        <v>7873</v>
      </c>
      <c r="FM134" s="170">
        <f t="shared" si="24"/>
        <v>0.68245451314546257</v>
      </c>
      <c r="FN134" s="169">
        <v>2591</v>
      </c>
      <c r="FO134" s="170">
        <f t="shared" si="25"/>
        <v>0.82634348588741824</v>
      </c>
    </row>
    <row r="135" spans="16:171" x14ac:dyDescent="0.35">
      <c r="P135" s="64">
        <v>133</v>
      </c>
      <c r="Q135" s="109">
        <v>31872</v>
      </c>
      <c r="R135" s="110">
        <v>0.38400000000000001</v>
      </c>
      <c r="S135" s="111">
        <v>2200.69</v>
      </c>
      <c r="T135" s="110">
        <v>0.45800000000000002</v>
      </c>
      <c r="U135" s="111">
        <v>14880</v>
      </c>
      <c r="V135" s="110">
        <v>0.496</v>
      </c>
      <c r="W135" s="111">
        <v>5909.4402</v>
      </c>
      <c r="X135" s="110">
        <v>0.41099999999999998</v>
      </c>
      <c r="Y135" s="111">
        <v>2424.6349</v>
      </c>
      <c r="Z135" s="110">
        <v>0.251</v>
      </c>
      <c r="AA135" s="111">
        <v>14911.8</v>
      </c>
      <c r="AB135" s="110">
        <v>0.28999999999999998</v>
      </c>
      <c r="AC135" s="111">
        <v>11070.671200000001</v>
      </c>
      <c r="AD135" s="110">
        <v>0.23899999999999999</v>
      </c>
      <c r="AF135" s="64">
        <v>133</v>
      </c>
      <c r="AG135" s="109">
        <v>41918.9058</v>
      </c>
      <c r="AH135" s="111">
        <v>1695.1</v>
      </c>
      <c r="AI135" s="109">
        <v>368.5</v>
      </c>
      <c r="AJ135" s="59">
        <v>0.47099999999999997</v>
      </c>
      <c r="AK135" s="59">
        <v>0.73699999999999999</v>
      </c>
      <c r="AL135" s="59">
        <v>0.73699999999999999</v>
      </c>
      <c r="AM135" s="110">
        <v>96.9</v>
      </c>
      <c r="AN135" s="111">
        <v>1991.0555999999999</v>
      </c>
      <c r="AO135" s="59">
        <v>0.15000000000000002</v>
      </c>
      <c r="AP135" s="55">
        <v>0.17099999999999999</v>
      </c>
      <c r="AQ135" s="109">
        <v>13915.2</v>
      </c>
      <c r="AR135" s="111">
        <v>12418.275</v>
      </c>
      <c r="AS135" s="59">
        <v>0.312</v>
      </c>
      <c r="AT135" s="55">
        <v>0.52900000000000003</v>
      </c>
      <c r="AU135" s="43"/>
      <c r="AV135" s="109">
        <v>857.00599999999997</v>
      </c>
      <c r="AW135" s="110">
        <v>0.34800012994079571</v>
      </c>
      <c r="AX135" s="109">
        <v>951.82299999999998</v>
      </c>
      <c r="AY135" s="110">
        <v>0.59229807093963904</v>
      </c>
      <c r="AZ135" s="109">
        <v>1121.4780000000001</v>
      </c>
      <c r="BA135" s="110">
        <v>0.5784392407674851</v>
      </c>
      <c r="BB135" s="43"/>
      <c r="BC135" s="112">
        <v>54782.928</v>
      </c>
      <c r="BD135" s="110">
        <v>0.78688524590163933</v>
      </c>
      <c r="BE135" s="43"/>
      <c r="BF135" s="157">
        <v>32600</v>
      </c>
      <c r="BG135" s="43">
        <v>982.97</v>
      </c>
      <c r="BH135" s="113">
        <v>1052.1990000000001</v>
      </c>
      <c r="BI135" s="114">
        <v>1</v>
      </c>
      <c r="BJ135" s="115">
        <v>5.355752995814702E-2</v>
      </c>
      <c r="BK135" s="113">
        <v>0</v>
      </c>
      <c r="BL135" s="113">
        <v>0</v>
      </c>
      <c r="BM135" s="113">
        <v>0</v>
      </c>
      <c r="BN135" s="113">
        <v>5510.2169999999996</v>
      </c>
      <c r="BO135" s="114">
        <v>0.40883046446060245</v>
      </c>
      <c r="BP135" s="115">
        <v>0</v>
      </c>
      <c r="BQ135" s="43">
        <v>7668</v>
      </c>
      <c r="BR135" s="43">
        <v>0</v>
      </c>
      <c r="BS135" s="43"/>
      <c r="BT135" s="116">
        <v>-700</v>
      </c>
      <c r="BU135" s="43">
        <v>0</v>
      </c>
      <c r="BV135" s="43">
        <v>4485</v>
      </c>
      <c r="BW135" s="43">
        <v>4485</v>
      </c>
      <c r="BX135" s="43">
        <v>0</v>
      </c>
      <c r="BY135" s="43">
        <v>0</v>
      </c>
      <c r="BZ135" s="43">
        <v>0</v>
      </c>
      <c r="CA135" s="43">
        <v>0</v>
      </c>
      <c r="CB135" s="43">
        <v>-5300</v>
      </c>
      <c r="CC135" s="43">
        <v>0</v>
      </c>
      <c r="CD135" s="43">
        <v>-4000</v>
      </c>
      <c r="CE135" s="43">
        <v>0</v>
      </c>
      <c r="CF135" s="43">
        <v>-4800</v>
      </c>
      <c r="CG135" s="43">
        <v>0</v>
      </c>
      <c r="CH135" s="43">
        <v>9267.7470492299999</v>
      </c>
      <c r="CI135" s="43">
        <v>9267.7470492299999</v>
      </c>
      <c r="CJ135" s="114">
        <v>13752.74704923</v>
      </c>
      <c r="CK135" s="43"/>
      <c r="CL135" s="116">
        <v>-700</v>
      </c>
      <c r="CM135" s="43">
        <v>700</v>
      </c>
      <c r="CN135" s="43">
        <v>4485</v>
      </c>
      <c r="CO135" s="43">
        <v>0</v>
      </c>
      <c r="CP135" s="43">
        <v>0</v>
      </c>
      <c r="CQ135" s="43">
        <v>0</v>
      </c>
      <c r="CR135" s="43">
        <v>0</v>
      </c>
      <c r="CS135" s="43">
        <v>0</v>
      </c>
      <c r="CT135" s="43">
        <v>-5300</v>
      </c>
      <c r="CU135" s="43">
        <v>5300</v>
      </c>
      <c r="CV135" s="43">
        <v>-4000</v>
      </c>
      <c r="CW135" s="43">
        <v>4000</v>
      </c>
      <c r="CX135" s="43">
        <v>-4800</v>
      </c>
      <c r="CY135" s="43">
        <v>4800</v>
      </c>
      <c r="CZ135" s="43">
        <v>9267.7470492299999</v>
      </c>
      <c r="DA135" s="43">
        <v>0</v>
      </c>
      <c r="DB135" s="114">
        <v>14800</v>
      </c>
      <c r="DC135" s="43"/>
      <c r="DD135" s="117">
        <v>33421.652999999998</v>
      </c>
      <c r="DE135" s="55">
        <v>1734.212</v>
      </c>
      <c r="DF135" s="59">
        <v>2923.3451267648002</v>
      </c>
      <c r="DG135" s="59">
        <v>38079.210126764796</v>
      </c>
      <c r="DH135" s="117">
        <v>11874.005999999999</v>
      </c>
      <c r="DI135" s="117">
        <v>59879.411</v>
      </c>
      <c r="DJ135" s="55">
        <v>8024</v>
      </c>
      <c r="DK135" s="114">
        <v>67903.410999999993</v>
      </c>
      <c r="DL135" s="43"/>
      <c r="DM135" s="117">
        <v>895.24199999999996</v>
      </c>
      <c r="DN135" s="55">
        <v>10553.7831128091</v>
      </c>
      <c r="DO135" s="55">
        <v>11449.0251128091</v>
      </c>
      <c r="DP135" s="59">
        <v>1785.6763065217999</v>
      </c>
      <c r="DQ135" s="59">
        <v>2931.3025481182272</v>
      </c>
      <c r="DR135" s="59">
        <v>429.83307387999997</v>
      </c>
      <c r="DS135" s="55">
        <v>3361.1356219982272</v>
      </c>
      <c r="DT135" s="55">
        <v>162.8501415621237</v>
      </c>
      <c r="DU135" s="55">
        <v>162.8501415621237</v>
      </c>
      <c r="DW135" s="121">
        <v>0</v>
      </c>
      <c r="DX135" s="122">
        <v>6779.6610170000004</v>
      </c>
      <c r="DY135" s="128">
        <v>1447.7400829999999</v>
      </c>
      <c r="DZ135" s="128">
        <v>0</v>
      </c>
      <c r="EA135" s="121">
        <v>0</v>
      </c>
      <c r="EB135" s="122">
        <v>242.98485844000001</v>
      </c>
      <c r="EC135" s="121">
        <v>0</v>
      </c>
      <c r="ED135" s="122">
        <v>1271.1864410000001</v>
      </c>
      <c r="EE135" s="121">
        <v>0</v>
      </c>
      <c r="EF135" s="122">
        <v>847.5</v>
      </c>
      <c r="EG135" s="121">
        <v>0</v>
      </c>
      <c r="EH135" s="122">
        <v>7397.5988710000001</v>
      </c>
      <c r="EI135" s="121">
        <v>0</v>
      </c>
      <c r="EJ135" s="122">
        <v>6779.6610170000004</v>
      </c>
      <c r="EK135" s="129">
        <v>242.98485844000001</v>
      </c>
      <c r="EL135" s="130">
        <v>847.5</v>
      </c>
      <c r="EM135" s="131">
        <v>735.83500000000004</v>
      </c>
      <c r="EN135" s="129">
        <v>429.83307387999997</v>
      </c>
      <c r="EO135" s="129">
        <v>10964.025395000001</v>
      </c>
      <c r="EP135" s="129">
        <v>0</v>
      </c>
      <c r="ER135" s="157">
        <v>0</v>
      </c>
      <c r="ES135" s="37">
        <v>0</v>
      </c>
      <c r="ET135" s="55">
        <f t="shared" si="19"/>
        <v>0</v>
      </c>
      <c r="EU135" s="157">
        <v>0</v>
      </c>
      <c r="EV135" s="37">
        <v>0</v>
      </c>
      <c r="EW135" s="55">
        <f t="shared" si="18"/>
        <v>0</v>
      </c>
      <c r="EY135" s="166">
        <v>0</v>
      </c>
      <c r="EZ135" s="37">
        <v>0</v>
      </c>
      <c r="FA135" s="164">
        <f t="shared" si="20"/>
        <v>0</v>
      </c>
      <c r="FB135" s="5">
        <v>2785.1080021299999</v>
      </c>
      <c r="FC135" s="164">
        <f t="shared" si="21"/>
        <v>0.60375200566442666</v>
      </c>
      <c r="FE135" s="5"/>
      <c r="FF135" s="166">
        <v>2897.4</v>
      </c>
      <c r="FG135" s="37">
        <v>10423.35</v>
      </c>
      <c r="FH135" s="164">
        <f t="shared" si="22"/>
        <v>1</v>
      </c>
      <c r="FI135" s="5">
        <v>0</v>
      </c>
      <c r="FJ135" s="164">
        <f t="shared" si="23"/>
        <v>0</v>
      </c>
      <c r="FL135" s="169">
        <v>7873</v>
      </c>
      <c r="FM135" s="170">
        <f t="shared" si="24"/>
        <v>0.68245451314546257</v>
      </c>
      <c r="FN135" s="169">
        <v>2591</v>
      </c>
      <c r="FO135" s="170">
        <f t="shared" si="25"/>
        <v>0.82634348588741824</v>
      </c>
    </row>
    <row r="136" spans="16:171" x14ac:dyDescent="0.35">
      <c r="P136" s="64">
        <v>134</v>
      </c>
      <c r="Q136" s="109">
        <v>31623</v>
      </c>
      <c r="R136" s="110">
        <v>0.38100000000000001</v>
      </c>
      <c r="S136" s="111">
        <v>2306.4</v>
      </c>
      <c r="T136" s="110">
        <v>0.48000000000000004</v>
      </c>
      <c r="U136" s="111">
        <v>14880</v>
      </c>
      <c r="V136" s="110">
        <v>0.496</v>
      </c>
      <c r="W136" s="111">
        <v>5866.3055999999997</v>
      </c>
      <c r="X136" s="110">
        <v>0.40799999999999997</v>
      </c>
      <c r="Y136" s="111">
        <v>2463.2745</v>
      </c>
      <c r="Z136" s="110">
        <v>0.255</v>
      </c>
      <c r="AA136" s="111">
        <v>13780.56</v>
      </c>
      <c r="AB136" s="110">
        <v>0.26800000000000002</v>
      </c>
      <c r="AC136" s="111">
        <v>10236.8968</v>
      </c>
      <c r="AD136" s="110">
        <v>0.221</v>
      </c>
      <c r="AF136" s="64">
        <v>134</v>
      </c>
      <c r="AG136" s="109">
        <v>42274.904999999999</v>
      </c>
      <c r="AH136" s="111">
        <v>1713.5</v>
      </c>
      <c r="AI136" s="109">
        <v>372.5</v>
      </c>
      <c r="AJ136" s="59">
        <v>0.47499999999999998</v>
      </c>
      <c r="AK136" s="59">
        <v>0.745</v>
      </c>
      <c r="AL136" s="59">
        <v>0.745</v>
      </c>
      <c r="AM136" s="110">
        <v>113.05</v>
      </c>
      <c r="AN136" s="111">
        <v>3178.7028</v>
      </c>
      <c r="AO136" s="59">
        <v>0.17499999999999999</v>
      </c>
      <c r="AP136" s="55">
        <v>0.27300000000000002</v>
      </c>
      <c r="AQ136" s="109">
        <v>12354.2</v>
      </c>
      <c r="AR136" s="111">
        <v>11831.4</v>
      </c>
      <c r="AS136" s="59">
        <v>0.27700000000000002</v>
      </c>
      <c r="AT136" s="55">
        <v>0.504</v>
      </c>
      <c r="AU136" s="43"/>
      <c r="AV136" s="109">
        <v>859.46799999999996</v>
      </c>
      <c r="AW136" s="110">
        <v>0.34899986193790455</v>
      </c>
      <c r="AX136" s="109">
        <v>966.63800000000003</v>
      </c>
      <c r="AY136" s="110">
        <v>0.60151711263223395</v>
      </c>
      <c r="AZ136" s="109">
        <v>1121.4780000000001</v>
      </c>
      <c r="BA136" s="110">
        <v>0.5784392407674851</v>
      </c>
      <c r="BB136" s="43"/>
      <c r="BC136" s="112">
        <v>54782.928</v>
      </c>
      <c r="BD136" s="110">
        <v>0.78688524590163933</v>
      </c>
      <c r="BE136" s="43"/>
      <c r="BF136" s="157">
        <v>32600</v>
      </c>
      <c r="BG136" s="43">
        <v>1012.544</v>
      </c>
      <c r="BH136" s="113">
        <v>1097.9839999999999</v>
      </c>
      <c r="BI136" s="114">
        <v>1</v>
      </c>
      <c r="BJ136" s="115">
        <v>5.554067823729042E-2</v>
      </c>
      <c r="BK136" s="113">
        <v>0</v>
      </c>
      <c r="BL136" s="113">
        <v>0</v>
      </c>
      <c r="BM136" s="113">
        <v>0</v>
      </c>
      <c r="BN136" s="113">
        <v>5752.2330000000002</v>
      </c>
      <c r="BO136" s="114">
        <v>0.42678683780976406</v>
      </c>
      <c r="BP136" s="115">
        <v>0</v>
      </c>
      <c r="BQ136" s="43">
        <v>7668</v>
      </c>
      <c r="BR136" s="43">
        <v>0</v>
      </c>
      <c r="BS136" s="43"/>
      <c r="BT136" s="116">
        <v>-700</v>
      </c>
      <c r="BU136" s="43">
        <v>0</v>
      </c>
      <c r="BV136" s="43">
        <v>4485</v>
      </c>
      <c r="BW136" s="43">
        <v>4485</v>
      </c>
      <c r="BX136" s="43">
        <v>0</v>
      </c>
      <c r="BY136" s="43">
        <v>0</v>
      </c>
      <c r="BZ136" s="43">
        <v>-5000</v>
      </c>
      <c r="CA136" s="43">
        <v>0</v>
      </c>
      <c r="CB136" s="43">
        <v>-5300</v>
      </c>
      <c r="CC136" s="43">
        <v>0</v>
      </c>
      <c r="CD136" s="43">
        <v>-4000</v>
      </c>
      <c r="CE136" s="43">
        <v>0</v>
      </c>
      <c r="CF136" s="43">
        <v>-4800</v>
      </c>
      <c r="CG136" s="43">
        <v>0</v>
      </c>
      <c r="CH136" s="43">
        <v>11783.784471749999</v>
      </c>
      <c r="CI136" s="43">
        <v>11783.784471749999</v>
      </c>
      <c r="CJ136" s="114">
        <v>16268.784471749999</v>
      </c>
      <c r="CK136" s="43"/>
      <c r="CL136" s="116">
        <v>-700</v>
      </c>
      <c r="CM136" s="43">
        <v>700</v>
      </c>
      <c r="CN136" s="43">
        <v>4485</v>
      </c>
      <c r="CO136" s="43">
        <v>0</v>
      </c>
      <c r="CP136" s="43">
        <v>0</v>
      </c>
      <c r="CQ136" s="43">
        <v>0</v>
      </c>
      <c r="CR136" s="43">
        <v>-5000</v>
      </c>
      <c r="CS136" s="43">
        <v>5000</v>
      </c>
      <c r="CT136" s="43">
        <v>-5300</v>
      </c>
      <c r="CU136" s="43">
        <v>5300</v>
      </c>
      <c r="CV136" s="43">
        <v>-4000</v>
      </c>
      <c r="CW136" s="43">
        <v>4000</v>
      </c>
      <c r="CX136" s="43">
        <v>-4800</v>
      </c>
      <c r="CY136" s="43">
        <v>4800</v>
      </c>
      <c r="CZ136" s="43">
        <v>11783.784471749999</v>
      </c>
      <c r="DA136" s="43">
        <v>0</v>
      </c>
      <c r="DB136" s="114">
        <v>19800</v>
      </c>
      <c r="DC136" s="43"/>
      <c r="DD136" s="117">
        <v>33755.586000000003</v>
      </c>
      <c r="DE136" s="55">
        <v>1731.09</v>
      </c>
      <c r="DF136" s="59">
        <v>2601.0009946339001</v>
      </c>
      <c r="DG136" s="59">
        <v>38087.676994633897</v>
      </c>
      <c r="DH136" s="117">
        <v>11630.675999999999</v>
      </c>
      <c r="DI136" s="117">
        <v>57672.411</v>
      </c>
      <c r="DJ136" s="55">
        <v>7694</v>
      </c>
      <c r="DK136" s="114">
        <v>65366.411</v>
      </c>
      <c r="DL136" s="43"/>
      <c r="DM136" s="117">
        <v>878.61800000000005</v>
      </c>
      <c r="DN136" s="55">
        <v>10553.7831128091</v>
      </c>
      <c r="DO136" s="55">
        <v>11432.401112809101</v>
      </c>
      <c r="DP136" s="59">
        <v>1785.6763065217999</v>
      </c>
      <c r="DQ136" s="59">
        <v>2931.3025481182272</v>
      </c>
      <c r="DR136" s="59">
        <v>429.83307387999997</v>
      </c>
      <c r="DS136" s="55">
        <v>3361.1356219982272</v>
      </c>
      <c r="DT136" s="55">
        <v>162.8501415621237</v>
      </c>
      <c r="DU136" s="55">
        <v>162.8501415621237</v>
      </c>
      <c r="DW136" s="121">
        <v>0</v>
      </c>
      <c r="DX136" s="122">
        <v>6779.6610170000004</v>
      </c>
      <c r="DY136" s="128">
        <v>1447.7400829999999</v>
      </c>
      <c r="DZ136" s="128">
        <v>0</v>
      </c>
      <c r="EA136" s="121">
        <v>0</v>
      </c>
      <c r="EB136" s="122">
        <v>242.98485844000001</v>
      </c>
      <c r="EC136" s="121">
        <v>0</v>
      </c>
      <c r="ED136" s="122">
        <v>1271.1864410000001</v>
      </c>
      <c r="EE136" s="121">
        <v>0</v>
      </c>
      <c r="EF136" s="122">
        <v>847.5</v>
      </c>
      <c r="EG136" s="121">
        <v>0</v>
      </c>
      <c r="EH136" s="122">
        <v>7397.5988710000001</v>
      </c>
      <c r="EI136" s="121">
        <v>0</v>
      </c>
      <c r="EJ136" s="122">
        <v>6779.6610170000004</v>
      </c>
      <c r="EK136" s="129">
        <v>242.98485844000001</v>
      </c>
      <c r="EL136" s="130">
        <v>847.5</v>
      </c>
      <c r="EM136" s="131">
        <v>735.83500000000004</v>
      </c>
      <c r="EN136" s="129">
        <v>429.83307387999997</v>
      </c>
      <c r="EO136" s="129">
        <v>10964.025395000001</v>
      </c>
      <c r="EP136" s="129">
        <v>0</v>
      </c>
      <c r="ER136" s="157">
        <v>0</v>
      </c>
      <c r="ES136" s="37">
        <v>0</v>
      </c>
      <c r="ET136" s="55">
        <f t="shared" si="19"/>
        <v>0</v>
      </c>
      <c r="EU136" s="157">
        <v>0</v>
      </c>
      <c r="EV136" s="37">
        <v>0</v>
      </c>
      <c r="EW136" s="55">
        <f t="shared" si="18"/>
        <v>0</v>
      </c>
      <c r="EY136" s="166">
        <v>0</v>
      </c>
      <c r="EZ136" s="37">
        <v>0</v>
      </c>
      <c r="FA136" s="164">
        <f t="shared" si="20"/>
        <v>0</v>
      </c>
      <c r="FB136" s="5">
        <v>0</v>
      </c>
      <c r="FC136" s="164">
        <f t="shared" si="21"/>
        <v>0</v>
      </c>
      <c r="FE136" s="5"/>
      <c r="FF136" s="166">
        <v>2897.4</v>
      </c>
      <c r="FG136" s="37">
        <v>10423.35</v>
      </c>
      <c r="FH136" s="164">
        <f t="shared" si="22"/>
        <v>1</v>
      </c>
      <c r="FI136" s="5">
        <v>0</v>
      </c>
      <c r="FJ136" s="164">
        <f t="shared" si="23"/>
        <v>0</v>
      </c>
      <c r="FL136" s="169">
        <v>7873</v>
      </c>
      <c r="FM136" s="170">
        <f t="shared" si="24"/>
        <v>0.68245451314546257</v>
      </c>
      <c r="FN136" s="169">
        <v>2591</v>
      </c>
      <c r="FO136" s="170">
        <f t="shared" si="25"/>
        <v>0.82634348588741824</v>
      </c>
    </row>
    <row r="137" spans="16:171" x14ac:dyDescent="0.35">
      <c r="P137" s="64">
        <v>135</v>
      </c>
      <c r="Q137" s="109">
        <v>30627</v>
      </c>
      <c r="R137" s="110">
        <v>0.36899999999999999</v>
      </c>
      <c r="S137" s="111">
        <v>2003.6849999999999</v>
      </c>
      <c r="T137" s="110">
        <v>0.41699999999999998</v>
      </c>
      <c r="U137" s="111">
        <v>13140</v>
      </c>
      <c r="V137" s="110">
        <v>0.438</v>
      </c>
      <c r="W137" s="111">
        <v>5046.7482</v>
      </c>
      <c r="X137" s="110">
        <v>0.35099999999999998</v>
      </c>
      <c r="Y137" s="111">
        <v>2144.4978000000001</v>
      </c>
      <c r="Z137" s="110">
        <v>0.22200000000000003</v>
      </c>
      <c r="AA137" s="111">
        <v>10695.36</v>
      </c>
      <c r="AB137" s="110">
        <v>0.20800000000000002</v>
      </c>
      <c r="AC137" s="111">
        <v>7828.2151999999996</v>
      </c>
      <c r="AD137" s="110">
        <v>0.16899999999999998</v>
      </c>
      <c r="AF137" s="64">
        <v>135</v>
      </c>
      <c r="AG137" s="109">
        <v>41028.907800000001</v>
      </c>
      <c r="AH137" s="111">
        <v>1734.2</v>
      </c>
      <c r="AI137" s="109">
        <v>377</v>
      </c>
      <c r="AJ137" s="59">
        <v>0.46100000000000002</v>
      </c>
      <c r="AK137" s="59">
        <v>0.754</v>
      </c>
      <c r="AL137" s="59">
        <v>0.754</v>
      </c>
      <c r="AM137" s="110">
        <v>142.76599999999999</v>
      </c>
      <c r="AN137" s="111">
        <v>4145.1216000000004</v>
      </c>
      <c r="AO137" s="59">
        <v>0.22099999999999997</v>
      </c>
      <c r="AP137" s="55">
        <v>0.35600000000000004</v>
      </c>
      <c r="AQ137" s="109">
        <v>10302.6</v>
      </c>
      <c r="AR137" s="111">
        <v>12746.924999999999</v>
      </c>
      <c r="AS137" s="59">
        <v>0.23100000000000001</v>
      </c>
      <c r="AT137" s="55">
        <v>0.54299999999999993</v>
      </c>
      <c r="AU137" s="43"/>
      <c r="AV137" s="109">
        <v>859.46799999999996</v>
      </c>
      <c r="AW137" s="110">
        <v>0.34899986193790455</v>
      </c>
      <c r="AX137" s="109">
        <v>980.21100000000001</v>
      </c>
      <c r="AY137" s="110">
        <v>0.60996328562538893</v>
      </c>
      <c r="AZ137" s="109">
        <v>1121.4780000000001</v>
      </c>
      <c r="BA137" s="110">
        <v>0.5784392407674851</v>
      </c>
      <c r="BB137" s="43"/>
      <c r="BC137" s="112">
        <v>54782.928</v>
      </c>
      <c r="BD137" s="110">
        <v>0.78688524590163933</v>
      </c>
      <c r="BE137" s="43"/>
      <c r="BF137" s="157">
        <v>32600</v>
      </c>
      <c r="BG137" s="43">
        <v>116.871</v>
      </c>
      <c r="BH137" s="113">
        <v>133.58799999999999</v>
      </c>
      <c r="BI137" s="114">
        <v>1</v>
      </c>
      <c r="BJ137" s="115">
        <v>6.5910818196363756E-3</v>
      </c>
      <c r="BK137" s="113">
        <v>0</v>
      </c>
      <c r="BL137" s="113">
        <v>0</v>
      </c>
      <c r="BM137" s="113">
        <v>0</v>
      </c>
      <c r="BN137" s="113">
        <v>5588.8590000000004</v>
      </c>
      <c r="BO137" s="114">
        <v>0.41466530642528565</v>
      </c>
      <c r="BP137" s="115">
        <v>0</v>
      </c>
      <c r="BQ137" s="43">
        <v>7668</v>
      </c>
      <c r="BR137" s="43">
        <v>0</v>
      </c>
      <c r="BS137" s="43"/>
      <c r="BT137" s="116">
        <v>-700</v>
      </c>
      <c r="BU137" s="43">
        <v>0</v>
      </c>
      <c r="BV137" s="43">
        <v>4485</v>
      </c>
      <c r="BW137" s="43">
        <v>4485</v>
      </c>
      <c r="BX137" s="43">
        <v>0</v>
      </c>
      <c r="BY137" s="43">
        <v>0</v>
      </c>
      <c r="BZ137" s="43">
        <v>-5000</v>
      </c>
      <c r="CA137" s="43">
        <v>0</v>
      </c>
      <c r="CB137" s="43">
        <v>-5300</v>
      </c>
      <c r="CC137" s="43">
        <v>0</v>
      </c>
      <c r="CD137" s="43">
        <v>-4000</v>
      </c>
      <c r="CE137" s="43">
        <v>0</v>
      </c>
      <c r="CF137" s="43">
        <v>-4800</v>
      </c>
      <c r="CG137" s="43">
        <v>0</v>
      </c>
      <c r="CH137" s="43">
        <v>14347.064148580001</v>
      </c>
      <c r="CI137" s="43">
        <v>14347.064148580001</v>
      </c>
      <c r="CJ137" s="114">
        <v>18832.064148580001</v>
      </c>
      <c r="CK137" s="43"/>
      <c r="CL137" s="116">
        <v>-700</v>
      </c>
      <c r="CM137" s="43">
        <v>700</v>
      </c>
      <c r="CN137" s="43">
        <v>4485</v>
      </c>
      <c r="CO137" s="43">
        <v>0</v>
      </c>
      <c r="CP137" s="43">
        <v>0</v>
      </c>
      <c r="CQ137" s="43">
        <v>0</v>
      </c>
      <c r="CR137" s="43">
        <v>-5000</v>
      </c>
      <c r="CS137" s="43">
        <v>5000</v>
      </c>
      <c r="CT137" s="43">
        <v>-5300</v>
      </c>
      <c r="CU137" s="43">
        <v>5300</v>
      </c>
      <c r="CV137" s="43">
        <v>-4000</v>
      </c>
      <c r="CW137" s="43">
        <v>4000</v>
      </c>
      <c r="CX137" s="43">
        <v>-4800</v>
      </c>
      <c r="CY137" s="43">
        <v>4800</v>
      </c>
      <c r="CZ137" s="43">
        <v>14347.064148580001</v>
      </c>
      <c r="DA137" s="43">
        <v>0</v>
      </c>
      <c r="DB137" s="114">
        <v>19800</v>
      </c>
      <c r="DC137" s="43"/>
      <c r="DD137" s="117">
        <v>32538.956999999999</v>
      </c>
      <c r="DE137" s="55">
        <v>1894.8209999999999</v>
      </c>
      <c r="DF137" s="59">
        <v>1949.9707367581</v>
      </c>
      <c r="DG137" s="59">
        <v>36383.748736758098</v>
      </c>
      <c r="DH137" s="117">
        <v>10915.235000000001</v>
      </c>
      <c r="DI137" s="117">
        <v>56866.411</v>
      </c>
      <c r="DJ137" s="55">
        <v>7626</v>
      </c>
      <c r="DK137" s="114">
        <v>64492.411</v>
      </c>
      <c r="DL137" s="43"/>
      <c r="DM137" s="117">
        <v>873.57399999999996</v>
      </c>
      <c r="DN137" s="55">
        <v>10569.62924658717</v>
      </c>
      <c r="DO137" s="55">
        <v>11443.203246587171</v>
      </c>
      <c r="DP137" s="59">
        <v>1785.6763065217999</v>
      </c>
      <c r="DQ137" s="59">
        <v>2939.6521533658638</v>
      </c>
      <c r="DR137" s="59">
        <v>421.48346863</v>
      </c>
      <c r="DS137" s="55">
        <v>3361.1356219958639</v>
      </c>
      <c r="DT137" s="55">
        <v>163.31400852032581</v>
      </c>
      <c r="DU137" s="55">
        <v>163.31400852032581</v>
      </c>
      <c r="DW137" s="121">
        <v>0</v>
      </c>
      <c r="DX137" s="122">
        <v>6779.6610170000004</v>
      </c>
      <c r="DY137" s="128">
        <v>1447.7400829999999</v>
      </c>
      <c r="DZ137" s="128">
        <v>0</v>
      </c>
      <c r="EA137" s="121">
        <v>0</v>
      </c>
      <c r="EB137" s="122">
        <v>242.52099147999999</v>
      </c>
      <c r="EC137" s="121">
        <v>0</v>
      </c>
      <c r="ED137" s="122">
        <v>1271.1864410000001</v>
      </c>
      <c r="EE137" s="121">
        <v>0</v>
      </c>
      <c r="EF137" s="122">
        <v>847.5</v>
      </c>
      <c r="EG137" s="121">
        <v>0</v>
      </c>
      <c r="EH137" s="122">
        <v>7397.5988710000001</v>
      </c>
      <c r="EI137" s="121">
        <v>0</v>
      </c>
      <c r="EJ137" s="122">
        <v>6779.6610170000004</v>
      </c>
      <c r="EK137" s="129">
        <v>242.52099147999999</v>
      </c>
      <c r="EL137" s="130">
        <v>847.5</v>
      </c>
      <c r="EM137" s="131">
        <v>735.83500000000004</v>
      </c>
      <c r="EN137" s="129">
        <v>421.48346863</v>
      </c>
      <c r="EO137" s="129">
        <v>10964.025395000001</v>
      </c>
      <c r="EP137" s="129">
        <v>0</v>
      </c>
      <c r="ER137" s="157">
        <v>0</v>
      </c>
      <c r="ES137" s="37">
        <v>0</v>
      </c>
      <c r="ET137" s="55">
        <f t="shared" si="19"/>
        <v>0</v>
      </c>
      <c r="EU137" s="157">
        <v>0</v>
      </c>
      <c r="EV137" s="37">
        <v>0</v>
      </c>
      <c r="EW137" s="55">
        <f t="shared" si="18"/>
        <v>0</v>
      </c>
      <c r="EY137" s="166">
        <v>0</v>
      </c>
      <c r="EZ137" s="37">
        <v>0</v>
      </c>
      <c r="FA137" s="164">
        <f t="shared" si="20"/>
        <v>0</v>
      </c>
      <c r="FB137" s="5">
        <v>0</v>
      </c>
      <c r="FC137" s="164">
        <f t="shared" si="21"/>
        <v>0</v>
      </c>
      <c r="FE137" s="5"/>
      <c r="FF137" s="166">
        <v>2897.4</v>
      </c>
      <c r="FG137" s="37">
        <v>10423.35</v>
      </c>
      <c r="FH137" s="164">
        <f t="shared" si="22"/>
        <v>1</v>
      </c>
      <c r="FI137" s="5">
        <v>0</v>
      </c>
      <c r="FJ137" s="164">
        <f t="shared" si="23"/>
        <v>0</v>
      </c>
      <c r="FL137" s="169">
        <v>7873</v>
      </c>
      <c r="FM137" s="170">
        <f t="shared" si="24"/>
        <v>0.68245451314546257</v>
      </c>
      <c r="FN137" s="169">
        <v>2591</v>
      </c>
      <c r="FO137" s="170">
        <f t="shared" si="25"/>
        <v>0.82634348588741824</v>
      </c>
    </row>
    <row r="138" spans="16:171" x14ac:dyDescent="0.35">
      <c r="P138" s="64">
        <v>136</v>
      </c>
      <c r="Q138" s="109">
        <v>28137</v>
      </c>
      <c r="R138" s="110">
        <v>0.33900000000000002</v>
      </c>
      <c r="S138" s="111">
        <v>1388.645</v>
      </c>
      <c r="T138" s="110">
        <v>0.28899999999999998</v>
      </c>
      <c r="U138" s="111">
        <v>10050</v>
      </c>
      <c r="V138" s="110">
        <v>0.33500000000000002</v>
      </c>
      <c r="W138" s="111">
        <v>3925.2485999999999</v>
      </c>
      <c r="X138" s="110">
        <v>0.27299999999999996</v>
      </c>
      <c r="Y138" s="111">
        <v>1680.8226</v>
      </c>
      <c r="Z138" s="110">
        <v>0.17400000000000002</v>
      </c>
      <c r="AA138" s="111">
        <v>7044.54</v>
      </c>
      <c r="AB138" s="110">
        <v>0.13700000000000001</v>
      </c>
      <c r="AC138" s="111">
        <v>5048.9672</v>
      </c>
      <c r="AD138" s="110">
        <v>0.109</v>
      </c>
      <c r="AF138" s="64">
        <v>136</v>
      </c>
      <c r="AG138" s="109">
        <v>38625.913200000003</v>
      </c>
      <c r="AH138" s="111">
        <v>1743.4</v>
      </c>
      <c r="AI138" s="109">
        <v>379</v>
      </c>
      <c r="AJ138" s="59">
        <v>0.434</v>
      </c>
      <c r="AK138" s="59">
        <v>0.75800000000000001</v>
      </c>
      <c r="AL138" s="59">
        <v>0.75800000000000001</v>
      </c>
      <c r="AM138" s="110">
        <v>187.98599999999999</v>
      </c>
      <c r="AN138" s="111">
        <v>4738.9452000000001</v>
      </c>
      <c r="AO138" s="59">
        <v>0.29099999999999998</v>
      </c>
      <c r="AP138" s="55">
        <v>0.40699999999999997</v>
      </c>
      <c r="AQ138" s="109">
        <v>8741.6</v>
      </c>
      <c r="AR138" s="111">
        <v>13779.825000000001</v>
      </c>
      <c r="AS138" s="59">
        <v>0.19600000000000001</v>
      </c>
      <c r="AT138" s="55">
        <v>0.58700000000000008</v>
      </c>
      <c r="AU138" s="43"/>
      <c r="AV138" s="109">
        <v>854.54300000000001</v>
      </c>
      <c r="AW138" s="110">
        <v>0.34699999187870029</v>
      </c>
      <c r="AX138" s="109">
        <v>982.89499999999998</v>
      </c>
      <c r="AY138" s="110">
        <v>0.61163347853142502</v>
      </c>
      <c r="AZ138" s="109">
        <v>1121.4780000000001</v>
      </c>
      <c r="BA138" s="110">
        <v>0.5784392407674851</v>
      </c>
      <c r="BB138" s="43"/>
      <c r="BC138" s="112">
        <v>54782.928</v>
      </c>
      <c r="BD138" s="110">
        <v>0.78688524590163933</v>
      </c>
      <c r="BE138" s="43"/>
      <c r="BF138" s="157">
        <v>29287.587</v>
      </c>
      <c r="BG138" s="43">
        <v>0</v>
      </c>
      <c r="BH138" s="113">
        <v>0</v>
      </c>
      <c r="BI138" s="114">
        <v>0.89839223926380363</v>
      </c>
      <c r="BJ138" s="115">
        <v>0</v>
      </c>
      <c r="BK138" s="113">
        <v>0</v>
      </c>
      <c r="BL138" s="113">
        <v>0</v>
      </c>
      <c r="BM138" s="113">
        <v>0</v>
      </c>
      <c r="BN138" s="113">
        <v>5423.2290000000003</v>
      </c>
      <c r="BO138" s="114">
        <v>0.40237639115595786</v>
      </c>
      <c r="BP138" s="115">
        <v>0</v>
      </c>
      <c r="BQ138" s="43">
        <v>7668</v>
      </c>
      <c r="BR138" s="43">
        <v>0</v>
      </c>
      <c r="BS138" s="43"/>
      <c r="BT138" s="116">
        <v>-700</v>
      </c>
      <c r="BU138" s="43">
        <v>0</v>
      </c>
      <c r="BV138" s="43">
        <v>4485</v>
      </c>
      <c r="BW138" s="43">
        <v>4485</v>
      </c>
      <c r="BX138" s="43">
        <v>0</v>
      </c>
      <c r="BY138" s="43">
        <v>0</v>
      </c>
      <c r="BZ138" s="43">
        <v>-5000</v>
      </c>
      <c r="CA138" s="43">
        <v>0</v>
      </c>
      <c r="CB138" s="43">
        <v>-5300</v>
      </c>
      <c r="CC138" s="43">
        <v>0</v>
      </c>
      <c r="CD138" s="43">
        <v>-4000</v>
      </c>
      <c r="CE138" s="43">
        <v>0</v>
      </c>
      <c r="CF138" s="43">
        <v>-4800</v>
      </c>
      <c r="CG138" s="43">
        <v>0</v>
      </c>
      <c r="CH138" s="43">
        <v>11782.291210720001</v>
      </c>
      <c r="CI138" s="43">
        <v>11782.291210720001</v>
      </c>
      <c r="CJ138" s="114">
        <v>16267.291210720001</v>
      </c>
      <c r="CK138" s="43"/>
      <c r="CL138" s="116">
        <v>-700</v>
      </c>
      <c r="CM138" s="43">
        <v>700</v>
      </c>
      <c r="CN138" s="43">
        <v>4485</v>
      </c>
      <c r="CO138" s="43">
        <v>0</v>
      </c>
      <c r="CP138" s="43">
        <v>0</v>
      </c>
      <c r="CQ138" s="43">
        <v>0</v>
      </c>
      <c r="CR138" s="43">
        <v>-5000</v>
      </c>
      <c r="CS138" s="43">
        <v>5000</v>
      </c>
      <c r="CT138" s="43">
        <v>-5300</v>
      </c>
      <c r="CU138" s="43">
        <v>5300</v>
      </c>
      <c r="CV138" s="43">
        <v>-4000</v>
      </c>
      <c r="CW138" s="43">
        <v>4000</v>
      </c>
      <c r="CX138" s="43">
        <v>-4800</v>
      </c>
      <c r="CY138" s="43">
        <v>4800</v>
      </c>
      <c r="CZ138" s="43">
        <v>11782.291210720001</v>
      </c>
      <c r="DA138" s="43">
        <v>0</v>
      </c>
      <c r="DB138" s="114">
        <v>19800</v>
      </c>
      <c r="DC138" s="43"/>
      <c r="DD138" s="117">
        <v>31850.977999999999</v>
      </c>
      <c r="DE138" s="55">
        <v>2031.595</v>
      </c>
      <c r="DF138" s="59">
        <v>1661.6443127809</v>
      </c>
      <c r="DG138" s="59">
        <v>35544.2173127809</v>
      </c>
      <c r="DH138" s="117">
        <v>10276.374</v>
      </c>
      <c r="DI138" s="117">
        <v>56863.411</v>
      </c>
      <c r="DJ138" s="55">
        <v>8252</v>
      </c>
      <c r="DK138" s="114">
        <v>65115.411</v>
      </c>
      <c r="DL138" s="43"/>
      <c r="DM138" s="117">
        <v>877.81899999999996</v>
      </c>
      <c r="DN138" s="55">
        <v>10553.7831128091</v>
      </c>
      <c r="DO138" s="55">
        <v>11431.6021128091</v>
      </c>
      <c r="DP138" s="59">
        <v>1601.956469328378</v>
      </c>
      <c r="DQ138" s="59">
        <v>2931.3025481182272</v>
      </c>
      <c r="DR138" s="59">
        <v>429.83307387999997</v>
      </c>
      <c r="DS138" s="55">
        <v>3361.1356219982272</v>
      </c>
      <c r="DT138" s="55">
        <v>162.8501415621237</v>
      </c>
      <c r="DU138" s="55">
        <v>162.8501415621237</v>
      </c>
      <c r="DW138" s="121">
        <v>0</v>
      </c>
      <c r="DX138" s="122">
        <v>6779.6610170000004</v>
      </c>
      <c r="DY138" s="128">
        <v>1447.7400829999999</v>
      </c>
      <c r="DZ138" s="128">
        <v>0</v>
      </c>
      <c r="EA138" s="121">
        <v>0</v>
      </c>
      <c r="EB138" s="122">
        <v>242.98485844000001</v>
      </c>
      <c r="EC138" s="121">
        <v>0</v>
      </c>
      <c r="ED138" s="122">
        <v>1271.1864410000001</v>
      </c>
      <c r="EE138" s="121">
        <v>0</v>
      </c>
      <c r="EF138" s="122">
        <v>847.5</v>
      </c>
      <c r="EG138" s="121">
        <v>0</v>
      </c>
      <c r="EH138" s="122">
        <v>7397.5988710000001</v>
      </c>
      <c r="EI138" s="121">
        <v>0</v>
      </c>
      <c r="EJ138" s="122">
        <v>6779.6610170000004</v>
      </c>
      <c r="EK138" s="129">
        <v>242.98485844000001</v>
      </c>
      <c r="EL138" s="130">
        <v>847.5</v>
      </c>
      <c r="EM138" s="131">
        <v>735.83500000000004</v>
      </c>
      <c r="EN138" s="129">
        <v>429.83307387999997</v>
      </c>
      <c r="EO138" s="129">
        <v>10964.025395000001</v>
      </c>
      <c r="EP138" s="129">
        <v>0</v>
      </c>
      <c r="ER138" s="157">
        <v>0</v>
      </c>
      <c r="ES138" s="37">
        <v>0</v>
      </c>
      <c r="ET138" s="55">
        <f t="shared" si="19"/>
        <v>0</v>
      </c>
      <c r="EU138" s="157">
        <v>0</v>
      </c>
      <c r="EV138" s="37">
        <v>0</v>
      </c>
      <c r="EW138" s="55">
        <f t="shared" si="18"/>
        <v>0</v>
      </c>
      <c r="EY138" s="166">
        <v>0</v>
      </c>
      <c r="EZ138" s="37">
        <v>0</v>
      </c>
      <c r="FA138" s="164">
        <f t="shared" si="20"/>
        <v>0</v>
      </c>
      <c r="FB138" s="5">
        <v>0</v>
      </c>
      <c r="FC138" s="164">
        <f t="shared" si="21"/>
        <v>0</v>
      </c>
      <c r="FE138" s="5"/>
      <c r="FF138" s="166">
        <v>2897.4</v>
      </c>
      <c r="FG138" s="37">
        <v>10423.35</v>
      </c>
      <c r="FH138" s="164">
        <f t="shared" si="22"/>
        <v>1</v>
      </c>
      <c r="FI138" s="5">
        <v>0</v>
      </c>
      <c r="FJ138" s="164">
        <f t="shared" si="23"/>
        <v>0</v>
      </c>
      <c r="FL138" s="169">
        <v>7873</v>
      </c>
      <c r="FM138" s="170">
        <f t="shared" si="24"/>
        <v>0.68245451314546257</v>
      </c>
      <c r="FN138" s="169">
        <v>2591</v>
      </c>
      <c r="FO138" s="170">
        <f t="shared" si="25"/>
        <v>0.82634348588741824</v>
      </c>
    </row>
    <row r="139" spans="16:171" x14ac:dyDescent="0.35">
      <c r="P139" s="64">
        <v>137</v>
      </c>
      <c r="Q139" s="109">
        <v>19837</v>
      </c>
      <c r="R139" s="110">
        <v>0.23899999999999999</v>
      </c>
      <c r="S139" s="111">
        <v>658.28499999999997</v>
      </c>
      <c r="T139" s="110">
        <v>0.13699999999999998</v>
      </c>
      <c r="U139" s="111">
        <v>5940</v>
      </c>
      <c r="V139" s="110">
        <v>0.19800000000000001</v>
      </c>
      <c r="W139" s="111">
        <v>2444.2939999999999</v>
      </c>
      <c r="X139" s="110">
        <v>0.16999999999999998</v>
      </c>
      <c r="Y139" s="111">
        <v>1033.6093000000001</v>
      </c>
      <c r="Z139" s="110">
        <v>0.10700000000000001</v>
      </c>
      <c r="AA139" s="111">
        <v>2930.94</v>
      </c>
      <c r="AB139" s="110">
        <v>5.7000000000000002E-2</v>
      </c>
      <c r="AC139" s="111">
        <v>1991.7944</v>
      </c>
      <c r="AD139" s="110">
        <v>4.2999999999999997E-2</v>
      </c>
      <c r="AF139" s="64">
        <v>137</v>
      </c>
      <c r="AG139" s="109">
        <v>36756.917399999998</v>
      </c>
      <c r="AH139" s="111">
        <v>1741.1</v>
      </c>
      <c r="AI139" s="109">
        <v>378.5</v>
      </c>
      <c r="AJ139" s="59">
        <v>0.41299999999999998</v>
      </c>
      <c r="AK139" s="59">
        <v>0.75700000000000001</v>
      </c>
      <c r="AL139" s="59">
        <v>0.75700000000000001</v>
      </c>
      <c r="AM139" s="110">
        <v>228.684</v>
      </c>
      <c r="AN139" s="111">
        <v>4983.4607999999998</v>
      </c>
      <c r="AO139" s="59">
        <v>0.35399999999999998</v>
      </c>
      <c r="AP139" s="55">
        <v>0.42799999999999999</v>
      </c>
      <c r="AQ139" s="109">
        <v>8161.8</v>
      </c>
      <c r="AR139" s="111">
        <v>14765.775</v>
      </c>
      <c r="AS139" s="59">
        <v>0.183</v>
      </c>
      <c r="AT139" s="55">
        <v>0.629</v>
      </c>
      <c r="AU139" s="43"/>
      <c r="AV139" s="109">
        <v>859.46799999999996</v>
      </c>
      <c r="AW139" s="110">
        <v>0.34899986193790455</v>
      </c>
      <c r="AX139" s="109">
        <v>984.45500000000004</v>
      </c>
      <c r="AY139" s="110">
        <v>0.6126042314872433</v>
      </c>
      <c r="AZ139" s="109">
        <v>1121.4780000000001</v>
      </c>
      <c r="BA139" s="110">
        <v>0.5784392407674851</v>
      </c>
      <c r="BB139" s="43"/>
      <c r="BC139" s="112">
        <v>54782.928</v>
      </c>
      <c r="BD139" s="110">
        <v>0.78688524590163933</v>
      </c>
      <c r="BE139" s="43"/>
      <c r="BF139" s="157">
        <v>23966.923999999999</v>
      </c>
      <c r="BG139" s="43">
        <v>0</v>
      </c>
      <c r="BH139" s="113">
        <v>0</v>
      </c>
      <c r="BI139" s="114">
        <v>0.73518171779141106</v>
      </c>
      <c r="BJ139" s="115">
        <v>0</v>
      </c>
      <c r="BK139" s="113">
        <v>0</v>
      </c>
      <c r="BL139" s="113">
        <v>0</v>
      </c>
      <c r="BM139" s="113">
        <v>0</v>
      </c>
      <c r="BN139" s="113">
        <v>4912.4409999999998</v>
      </c>
      <c r="BO139" s="114">
        <v>0.36447848345451844</v>
      </c>
      <c r="BP139" s="115">
        <v>0</v>
      </c>
      <c r="BQ139" s="43">
        <v>7668</v>
      </c>
      <c r="BR139" s="43">
        <v>0</v>
      </c>
      <c r="BS139" s="43"/>
      <c r="BT139" s="116">
        <v>-700</v>
      </c>
      <c r="BU139" s="43">
        <v>0</v>
      </c>
      <c r="BV139" s="43">
        <v>4485</v>
      </c>
      <c r="BW139" s="43">
        <v>4485</v>
      </c>
      <c r="BX139" s="43">
        <v>0</v>
      </c>
      <c r="BY139" s="43">
        <v>0</v>
      </c>
      <c r="BZ139" s="43">
        <v>-5000</v>
      </c>
      <c r="CA139" s="43">
        <v>0</v>
      </c>
      <c r="CB139" s="43">
        <v>-5300</v>
      </c>
      <c r="CC139" s="43">
        <v>0</v>
      </c>
      <c r="CD139" s="43">
        <v>-4000</v>
      </c>
      <c r="CE139" s="43">
        <v>0</v>
      </c>
      <c r="CF139" s="43">
        <v>-4800</v>
      </c>
      <c r="CG139" s="43">
        <v>0</v>
      </c>
      <c r="CH139" s="43">
        <v>9125.4132444999996</v>
      </c>
      <c r="CI139" s="43">
        <v>9125.4132444999996</v>
      </c>
      <c r="CJ139" s="114">
        <v>13610.4132445</v>
      </c>
      <c r="CK139" s="43"/>
      <c r="CL139" s="116">
        <v>-700</v>
      </c>
      <c r="CM139" s="43">
        <v>700</v>
      </c>
      <c r="CN139" s="43">
        <v>4485</v>
      </c>
      <c r="CO139" s="43">
        <v>0</v>
      </c>
      <c r="CP139" s="43">
        <v>0</v>
      </c>
      <c r="CQ139" s="43">
        <v>0</v>
      </c>
      <c r="CR139" s="43">
        <v>-5000</v>
      </c>
      <c r="CS139" s="43">
        <v>5000</v>
      </c>
      <c r="CT139" s="43">
        <v>-5300</v>
      </c>
      <c r="CU139" s="43">
        <v>5300</v>
      </c>
      <c r="CV139" s="43">
        <v>-4000</v>
      </c>
      <c r="CW139" s="43">
        <v>4000</v>
      </c>
      <c r="CX139" s="43">
        <v>-4800</v>
      </c>
      <c r="CY139" s="43">
        <v>4800</v>
      </c>
      <c r="CZ139" s="43">
        <v>9125.4132444999996</v>
      </c>
      <c r="DA139" s="43">
        <v>0</v>
      </c>
      <c r="DB139" s="114">
        <v>19800</v>
      </c>
      <c r="DC139" s="43"/>
      <c r="DD139" s="117">
        <v>32185.047999999999</v>
      </c>
      <c r="DE139" s="55">
        <v>2055.6889999999999</v>
      </c>
      <c r="DF139" s="59">
        <v>1673.7397572597999</v>
      </c>
      <c r="DG139" s="59">
        <v>35914.476757259799</v>
      </c>
      <c r="DH139" s="117">
        <v>9646.6149999999998</v>
      </c>
      <c r="DI139" s="117">
        <v>58702.411</v>
      </c>
      <c r="DJ139" s="55">
        <v>8314</v>
      </c>
      <c r="DK139" s="114">
        <v>67016.410999999993</v>
      </c>
      <c r="DL139" s="43"/>
      <c r="DM139" s="117">
        <v>878.11500000000001</v>
      </c>
      <c r="DN139" s="55">
        <v>10553.7831128091</v>
      </c>
      <c r="DO139" s="55">
        <v>11431.8981128091</v>
      </c>
      <c r="DP139" s="59">
        <v>1601.956469328378</v>
      </c>
      <c r="DQ139" s="59">
        <v>2931.3025481182272</v>
      </c>
      <c r="DR139" s="59">
        <v>429.83307387999997</v>
      </c>
      <c r="DS139" s="55">
        <v>3361.1356219982272</v>
      </c>
      <c r="DT139" s="55">
        <v>162.8501415621237</v>
      </c>
      <c r="DU139" s="55">
        <v>162.8501415621237</v>
      </c>
      <c r="DW139" s="121">
        <v>0</v>
      </c>
      <c r="DX139" s="122">
        <v>6779.6610170000004</v>
      </c>
      <c r="DY139" s="128">
        <v>1447.7400829999999</v>
      </c>
      <c r="DZ139" s="128">
        <v>0</v>
      </c>
      <c r="EA139" s="121">
        <v>0</v>
      </c>
      <c r="EB139" s="122">
        <v>242.98485844000001</v>
      </c>
      <c r="EC139" s="121">
        <v>0</v>
      </c>
      <c r="ED139" s="122">
        <v>1271.1864410000001</v>
      </c>
      <c r="EE139" s="121">
        <v>0</v>
      </c>
      <c r="EF139" s="122">
        <v>847.5</v>
      </c>
      <c r="EG139" s="121">
        <v>0</v>
      </c>
      <c r="EH139" s="122">
        <v>7397.5988710000001</v>
      </c>
      <c r="EI139" s="121">
        <v>0</v>
      </c>
      <c r="EJ139" s="122">
        <v>6779.6610170000004</v>
      </c>
      <c r="EK139" s="129">
        <v>242.98485844000001</v>
      </c>
      <c r="EL139" s="130">
        <v>847.5</v>
      </c>
      <c r="EM139" s="131">
        <v>735.83500000000004</v>
      </c>
      <c r="EN139" s="129">
        <v>429.83307387999997</v>
      </c>
      <c r="EO139" s="129">
        <v>10964.025395000001</v>
      </c>
      <c r="EP139" s="129">
        <v>0</v>
      </c>
      <c r="ER139" s="157">
        <v>0</v>
      </c>
      <c r="ES139" s="37">
        <v>0</v>
      </c>
      <c r="ET139" s="55">
        <f t="shared" si="19"/>
        <v>0</v>
      </c>
      <c r="EU139" s="157">
        <v>0</v>
      </c>
      <c r="EV139" s="37">
        <v>0</v>
      </c>
      <c r="EW139" s="55">
        <f t="shared" si="18"/>
        <v>0</v>
      </c>
      <c r="EY139" s="166">
        <v>0</v>
      </c>
      <c r="EZ139" s="37">
        <v>0</v>
      </c>
      <c r="FA139" s="164">
        <f t="shared" si="20"/>
        <v>0</v>
      </c>
      <c r="FB139" s="5">
        <v>0</v>
      </c>
      <c r="FC139" s="164">
        <f t="shared" si="21"/>
        <v>0</v>
      </c>
      <c r="FE139" s="5"/>
      <c r="FF139" s="166">
        <v>2897.4</v>
      </c>
      <c r="FG139" s="37">
        <v>10423.35</v>
      </c>
      <c r="FH139" s="164">
        <f t="shared" si="22"/>
        <v>1</v>
      </c>
      <c r="FI139" s="5">
        <v>3837</v>
      </c>
      <c r="FJ139" s="164">
        <f t="shared" si="23"/>
        <v>1</v>
      </c>
      <c r="FL139" s="169">
        <v>7873</v>
      </c>
      <c r="FM139" s="170">
        <f t="shared" si="24"/>
        <v>0.68245451314546257</v>
      </c>
      <c r="FN139" s="169">
        <v>2591</v>
      </c>
      <c r="FO139" s="170">
        <f t="shared" si="25"/>
        <v>0.82634348588741824</v>
      </c>
    </row>
    <row r="140" spans="16:171" x14ac:dyDescent="0.35">
      <c r="P140" s="64">
        <v>138</v>
      </c>
      <c r="Q140" s="109">
        <v>4648</v>
      </c>
      <c r="R140" s="110">
        <v>5.6000000000000001E-2</v>
      </c>
      <c r="S140" s="111">
        <v>81.685000000000002</v>
      </c>
      <c r="T140" s="110">
        <v>1.7000000000000001E-2</v>
      </c>
      <c r="U140" s="111">
        <v>1650</v>
      </c>
      <c r="V140" s="110">
        <v>5.5E-2</v>
      </c>
      <c r="W140" s="111">
        <v>1006.474</v>
      </c>
      <c r="X140" s="110">
        <v>6.9999999999999993E-2</v>
      </c>
      <c r="Y140" s="111">
        <v>367.07619999999997</v>
      </c>
      <c r="Z140" s="110">
        <v>3.7999999999999999E-2</v>
      </c>
      <c r="AA140" s="111">
        <v>0</v>
      </c>
      <c r="AB140" s="110">
        <v>0</v>
      </c>
      <c r="AC140" s="111">
        <v>0</v>
      </c>
      <c r="AD140" s="110">
        <v>0</v>
      </c>
      <c r="AF140" s="64">
        <v>138</v>
      </c>
      <c r="AG140" s="109">
        <v>30704.931</v>
      </c>
      <c r="AH140" s="111">
        <v>1731.9</v>
      </c>
      <c r="AI140" s="109">
        <v>376.5</v>
      </c>
      <c r="AJ140" s="59">
        <v>0.34499999999999997</v>
      </c>
      <c r="AK140" s="59">
        <v>0.753</v>
      </c>
      <c r="AL140" s="59">
        <v>0.753</v>
      </c>
      <c r="AM140" s="110">
        <v>259.69200000000001</v>
      </c>
      <c r="AN140" s="111">
        <v>3271.8516</v>
      </c>
      <c r="AO140" s="59">
        <v>0.40200000000000002</v>
      </c>
      <c r="AP140" s="55">
        <v>0.28099999999999997</v>
      </c>
      <c r="AQ140" s="109">
        <v>8072.6</v>
      </c>
      <c r="AR140" s="111">
        <v>15892.575000000001</v>
      </c>
      <c r="AS140" s="59">
        <v>0.18100000000000002</v>
      </c>
      <c r="AT140" s="55">
        <v>0.67700000000000005</v>
      </c>
      <c r="AU140" s="43"/>
      <c r="AV140" s="109">
        <v>884.09500000000003</v>
      </c>
      <c r="AW140" s="110">
        <v>0.35900002436389922</v>
      </c>
      <c r="AX140" s="109">
        <v>998.83299999999997</v>
      </c>
      <c r="AY140" s="110">
        <v>0.62155133789670192</v>
      </c>
      <c r="AZ140" s="109">
        <v>1121.4780000000001</v>
      </c>
      <c r="BA140" s="110">
        <v>0.5784392407674851</v>
      </c>
      <c r="BB140" s="43"/>
      <c r="BC140" s="112">
        <v>54782.928</v>
      </c>
      <c r="BD140" s="110">
        <v>0.78688524590163933</v>
      </c>
      <c r="BE140" s="43"/>
      <c r="BF140" s="157">
        <v>15214.316999999999</v>
      </c>
      <c r="BG140" s="43">
        <v>0</v>
      </c>
      <c r="BH140" s="113">
        <v>0</v>
      </c>
      <c r="BI140" s="114">
        <v>0.46669684049079752</v>
      </c>
      <c r="BJ140" s="115">
        <v>0</v>
      </c>
      <c r="BK140" s="113">
        <v>0</v>
      </c>
      <c r="BL140" s="113">
        <v>0</v>
      </c>
      <c r="BM140" s="113">
        <v>0</v>
      </c>
      <c r="BN140" s="113">
        <v>4285.4639999999999</v>
      </c>
      <c r="BO140" s="114">
        <v>0.31795993470841372</v>
      </c>
      <c r="BP140" s="115">
        <v>0</v>
      </c>
      <c r="BQ140" s="43">
        <v>7668</v>
      </c>
      <c r="BR140" s="43">
        <v>0</v>
      </c>
      <c r="BS140" s="43"/>
      <c r="BT140" s="116">
        <v>-700</v>
      </c>
      <c r="BU140" s="43">
        <v>0</v>
      </c>
      <c r="BV140" s="43">
        <v>4485</v>
      </c>
      <c r="BW140" s="43">
        <v>4485</v>
      </c>
      <c r="BX140" s="43">
        <v>0</v>
      </c>
      <c r="BY140" s="43">
        <v>0</v>
      </c>
      <c r="BZ140" s="43">
        <v>-5000</v>
      </c>
      <c r="CA140" s="43">
        <v>0</v>
      </c>
      <c r="CB140" s="43">
        <v>-5300</v>
      </c>
      <c r="CC140" s="43">
        <v>0</v>
      </c>
      <c r="CD140" s="43">
        <v>-4000</v>
      </c>
      <c r="CE140" s="43">
        <v>0</v>
      </c>
      <c r="CF140" s="43">
        <v>-4800</v>
      </c>
      <c r="CG140" s="43">
        <v>0</v>
      </c>
      <c r="CH140" s="43">
        <v>11387.68849699</v>
      </c>
      <c r="CI140" s="43">
        <v>11387.68849699</v>
      </c>
      <c r="CJ140" s="114">
        <v>15872.68849699</v>
      </c>
      <c r="CK140" s="43"/>
      <c r="CL140" s="116">
        <v>-700</v>
      </c>
      <c r="CM140" s="43">
        <v>700</v>
      </c>
      <c r="CN140" s="43">
        <v>4485</v>
      </c>
      <c r="CO140" s="43">
        <v>0</v>
      </c>
      <c r="CP140" s="43">
        <v>0</v>
      </c>
      <c r="CQ140" s="43">
        <v>0</v>
      </c>
      <c r="CR140" s="43">
        <v>-5000</v>
      </c>
      <c r="CS140" s="43">
        <v>5000</v>
      </c>
      <c r="CT140" s="43">
        <v>-5300</v>
      </c>
      <c r="CU140" s="43">
        <v>5300</v>
      </c>
      <c r="CV140" s="43">
        <v>-4000</v>
      </c>
      <c r="CW140" s="43">
        <v>4000</v>
      </c>
      <c r="CX140" s="43">
        <v>-4800</v>
      </c>
      <c r="CY140" s="43">
        <v>4800</v>
      </c>
      <c r="CZ140" s="43">
        <v>11387.68849699</v>
      </c>
      <c r="DA140" s="43">
        <v>0</v>
      </c>
      <c r="DB140" s="114">
        <v>19800</v>
      </c>
      <c r="DC140" s="43"/>
      <c r="DD140" s="117">
        <v>34658.703000000001</v>
      </c>
      <c r="DE140" s="55">
        <v>2217.5830000000001</v>
      </c>
      <c r="DF140" s="59">
        <v>1772.7842573093999</v>
      </c>
      <c r="DG140" s="59">
        <v>38649.070257309402</v>
      </c>
      <c r="DH140" s="117">
        <v>9515.6929999999993</v>
      </c>
      <c r="DI140" s="117">
        <v>61701.411</v>
      </c>
      <c r="DJ140" s="55">
        <v>8523</v>
      </c>
      <c r="DK140" s="114">
        <v>70224.410999999993</v>
      </c>
      <c r="DL140" s="43"/>
      <c r="DM140" s="117">
        <v>860.54499999999996</v>
      </c>
      <c r="DN140" s="55">
        <v>10553.7831128091</v>
      </c>
      <c r="DO140" s="55">
        <v>11414.3281128091</v>
      </c>
      <c r="DP140" s="59">
        <v>1601.956469328378</v>
      </c>
      <c r="DQ140" s="59">
        <v>2931.3025481182272</v>
      </c>
      <c r="DR140" s="59">
        <v>429.83307387999997</v>
      </c>
      <c r="DS140" s="55">
        <v>3361.1356219982272</v>
      </c>
      <c r="DT140" s="55">
        <v>162.8501415621237</v>
      </c>
      <c r="DU140" s="55">
        <v>162.8501415621237</v>
      </c>
      <c r="DW140" s="121">
        <v>0</v>
      </c>
      <c r="DX140" s="122">
        <v>6779.6610170000004</v>
      </c>
      <c r="DY140" s="128">
        <v>1447.7400829999999</v>
      </c>
      <c r="DZ140" s="128">
        <v>0</v>
      </c>
      <c r="EA140" s="121">
        <v>0</v>
      </c>
      <c r="EB140" s="122">
        <v>468.95712451999998</v>
      </c>
      <c r="EC140" s="121">
        <v>0</v>
      </c>
      <c r="ED140" s="122">
        <v>1271.1864410000001</v>
      </c>
      <c r="EE140" s="121">
        <v>0</v>
      </c>
      <c r="EF140" s="122">
        <v>847.5</v>
      </c>
      <c r="EG140" s="121">
        <v>0</v>
      </c>
      <c r="EH140" s="122">
        <v>7397.5988710000001</v>
      </c>
      <c r="EI140" s="121">
        <v>0</v>
      </c>
      <c r="EJ140" s="122">
        <v>6779.6610170000004</v>
      </c>
      <c r="EK140" s="129">
        <v>468.95712451999998</v>
      </c>
      <c r="EL140" s="130">
        <v>847.5</v>
      </c>
      <c r="EM140" s="131">
        <v>735.83500000000004</v>
      </c>
      <c r="EN140" s="129">
        <v>429.83307387999997</v>
      </c>
      <c r="EO140" s="129">
        <v>10964.025395000001</v>
      </c>
      <c r="EP140" s="129">
        <v>0</v>
      </c>
      <c r="ER140" s="157">
        <v>0</v>
      </c>
      <c r="ES140" s="37">
        <v>0</v>
      </c>
      <c r="ET140" s="55">
        <f t="shared" si="19"/>
        <v>0</v>
      </c>
      <c r="EU140" s="157">
        <v>0</v>
      </c>
      <c r="EV140" s="37">
        <v>0</v>
      </c>
      <c r="EW140" s="55">
        <f t="shared" si="18"/>
        <v>0</v>
      </c>
      <c r="EY140" s="166">
        <v>7898.4060638499996</v>
      </c>
      <c r="EZ140" s="37">
        <v>0</v>
      </c>
      <c r="FA140" s="164">
        <f t="shared" si="20"/>
        <v>0.5805952422636611</v>
      </c>
      <c r="FB140" s="5">
        <v>4613</v>
      </c>
      <c r="FC140" s="164">
        <f t="shared" si="21"/>
        <v>1</v>
      </c>
      <c r="FE140" s="5"/>
      <c r="FF140" s="166">
        <v>2897.4</v>
      </c>
      <c r="FG140" s="37">
        <v>0</v>
      </c>
      <c r="FH140" s="164">
        <f t="shared" si="22"/>
        <v>0.21751027532233547</v>
      </c>
      <c r="FI140" s="5">
        <v>0</v>
      </c>
      <c r="FJ140" s="164">
        <f t="shared" si="23"/>
        <v>0</v>
      </c>
      <c r="FL140" s="169">
        <v>7873</v>
      </c>
      <c r="FM140" s="170">
        <f t="shared" si="24"/>
        <v>0.68245451314546257</v>
      </c>
      <c r="FN140" s="169">
        <v>2591</v>
      </c>
      <c r="FO140" s="170">
        <f t="shared" si="25"/>
        <v>0.82634348588741824</v>
      </c>
    </row>
    <row r="141" spans="16:171" x14ac:dyDescent="0.35">
      <c r="P141" s="64">
        <v>139</v>
      </c>
      <c r="Q141" s="109">
        <v>0</v>
      </c>
      <c r="R141" s="110">
        <v>0</v>
      </c>
      <c r="S141" s="111">
        <v>0</v>
      </c>
      <c r="T141" s="110">
        <v>0</v>
      </c>
      <c r="U141" s="111">
        <v>0</v>
      </c>
      <c r="V141" s="110">
        <v>0</v>
      </c>
      <c r="W141" s="111">
        <v>0</v>
      </c>
      <c r="X141" s="110">
        <v>0</v>
      </c>
      <c r="Y141" s="111">
        <v>0</v>
      </c>
      <c r="Z141" s="110">
        <v>0</v>
      </c>
      <c r="AA141" s="111">
        <v>0</v>
      </c>
      <c r="AB141" s="110">
        <v>0</v>
      </c>
      <c r="AC141" s="111">
        <v>0</v>
      </c>
      <c r="AD141" s="110">
        <v>0</v>
      </c>
      <c r="AF141" s="64">
        <v>139</v>
      </c>
      <c r="AG141" s="109">
        <v>30793.930799999998</v>
      </c>
      <c r="AH141" s="111">
        <v>1718.1</v>
      </c>
      <c r="AI141" s="109">
        <v>373.5</v>
      </c>
      <c r="AJ141" s="59">
        <v>0.34599999999999997</v>
      </c>
      <c r="AK141" s="59">
        <v>0.747</v>
      </c>
      <c r="AL141" s="59">
        <v>0.747</v>
      </c>
      <c r="AM141" s="110">
        <v>295.86799999999999</v>
      </c>
      <c r="AN141" s="111">
        <v>2771.1768000000002</v>
      </c>
      <c r="AO141" s="59">
        <v>0.45800000000000002</v>
      </c>
      <c r="AP141" s="55">
        <v>0.23800000000000002</v>
      </c>
      <c r="AQ141" s="109">
        <v>8830.7999999999993</v>
      </c>
      <c r="AR141" s="111">
        <v>16737.674999999999</v>
      </c>
      <c r="AS141" s="59">
        <v>0.19799999999999998</v>
      </c>
      <c r="AT141" s="55">
        <v>0.71299999999999997</v>
      </c>
      <c r="AU141" s="43"/>
      <c r="AV141" s="109">
        <v>916.11</v>
      </c>
      <c r="AW141" s="110">
        <v>0.37200019491119363</v>
      </c>
      <c r="AX141" s="109">
        <v>1006.634</v>
      </c>
      <c r="AY141" s="110">
        <v>0.62640572495332925</v>
      </c>
      <c r="AZ141" s="109">
        <v>1121.4780000000001</v>
      </c>
      <c r="BA141" s="110">
        <v>0.5784392407674851</v>
      </c>
      <c r="BB141" s="43"/>
      <c r="BC141" s="112">
        <v>54782.928</v>
      </c>
      <c r="BD141" s="110">
        <v>0.78688524590163933</v>
      </c>
      <c r="BE141" s="43"/>
      <c r="BF141" s="157">
        <v>13155.22</v>
      </c>
      <c r="BG141" s="43">
        <v>0</v>
      </c>
      <c r="BH141" s="113">
        <v>0</v>
      </c>
      <c r="BI141" s="114">
        <v>0.40353435582822084</v>
      </c>
      <c r="BJ141" s="115">
        <v>0</v>
      </c>
      <c r="BK141" s="113">
        <v>0</v>
      </c>
      <c r="BL141" s="113">
        <v>0</v>
      </c>
      <c r="BM141" s="113">
        <v>0</v>
      </c>
      <c r="BN141" s="113">
        <v>4156.5519999999997</v>
      </c>
      <c r="BO141" s="114">
        <v>0.30839531087698469</v>
      </c>
      <c r="BP141" s="115">
        <v>0</v>
      </c>
      <c r="BQ141" s="43">
        <v>7668</v>
      </c>
      <c r="BR141" s="43">
        <v>0</v>
      </c>
      <c r="BS141" s="43"/>
      <c r="BT141" s="116">
        <v>-700</v>
      </c>
      <c r="BU141" s="43">
        <v>0</v>
      </c>
      <c r="BV141" s="43">
        <v>4485</v>
      </c>
      <c r="BW141" s="43">
        <v>4485</v>
      </c>
      <c r="BX141" s="43">
        <v>0</v>
      </c>
      <c r="BY141" s="43">
        <v>0</v>
      </c>
      <c r="BZ141" s="43">
        <v>-5000</v>
      </c>
      <c r="CA141" s="43">
        <v>0</v>
      </c>
      <c r="CB141" s="43">
        <v>-5300</v>
      </c>
      <c r="CC141" s="43">
        <v>0</v>
      </c>
      <c r="CD141" s="43">
        <v>-4000</v>
      </c>
      <c r="CE141" s="43">
        <v>0</v>
      </c>
      <c r="CF141" s="43">
        <v>-4800</v>
      </c>
      <c r="CG141" s="43">
        <v>0</v>
      </c>
      <c r="CH141" s="43">
        <v>11413.609467730001</v>
      </c>
      <c r="CI141" s="43">
        <v>11413.609467730001</v>
      </c>
      <c r="CJ141" s="114">
        <v>15898.609467730001</v>
      </c>
      <c r="CK141" s="43"/>
      <c r="CL141" s="116">
        <v>-700</v>
      </c>
      <c r="CM141" s="43">
        <v>700</v>
      </c>
      <c r="CN141" s="43">
        <v>4485</v>
      </c>
      <c r="CO141" s="43">
        <v>0</v>
      </c>
      <c r="CP141" s="43">
        <v>0</v>
      </c>
      <c r="CQ141" s="43">
        <v>0</v>
      </c>
      <c r="CR141" s="43">
        <v>-5000</v>
      </c>
      <c r="CS141" s="43">
        <v>5000</v>
      </c>
      <c r="CT141" s="43">
        <v>-5300</v>
      </c>
      <c r="CU141" s="43">
        <v>5300</v>
      </c>
      <c r="CV141" s="43">
        <v>-4000</v>
      </c>
      <c r="CW141" s="43">
        <v>4000</v>
      </c>
      <c r="CX141" s="43">
        <v>-4800</v>
      </c>
      <c r="CY141" s="43">
        <v>4800</v>
      </c>
      <c r="CZ141" s="43">
        <v>11413.609467730001</v>
      </c>
      <c r="DA141" s="43">
        <v>0</v>
      </c>
      <c r="DB141" s="114">
        <v>19800</v>
      </c>
      <c r="DC141" s="43"/>
      <c r="DD141" s="117">
        <v>36500.114000000001</v>
      </c>
      <c r="DE141" s="55">
        <v>2316.5680000000002</v>
      </c>
      <c r="DF141" s="59">
        <v>1899.2357965029</v>
      </c>
      <c r="DG141" s="59">
        <v>40715.917796502901</v>
      </c>
      <c r="DH141" s="117">
        <v>9696.7070000000003</v>
      </c>
      <c r="DI141" s="117">
        <v>63197.411</v>
      </c>
      <c r="DJ141" s="55">
        <v>8136</v>
      </c>
      <c r="DK141" s="114">
        <v>71333.410999999993</v>
      </c>
      <c r="DL141" s="43"/>
      <c r="DM141" s="117">
        <v>856.73199999999997</v>
      </c>
      <c r="DN141" s="55">
        <v>10569.62924658717</v>
      </c>
      <c r="DO141" s="55">
        <v>11426.36124658717</v>
      </c>
      <c r="DP141" s="59">
        <v>1601.956469328378</v>
      </c>
      <c r="DQ141" s="59">
        <v>2939.6521533658638</v>
      </c>
      <c r="DR141" s="59">
        <v>421.48346863</v>
      </c>
      <c r="DS141" s="55">
        <v>3361.1356219958639</v>
      </c>
      <c r="DT141" s="55">
        <v>163.31400852032581</v>
      </c>
      <c r="DU141" s="55">
        <v>163.31400852032581</v>
      </c>
      <c r="DW141" s="121">
        <v>0</v>
      </c>
      <c r="DX141" s="122">
        <v>6779.6610170000004</v>
      </c>
      <c r="DY141" s="128">
        <v>1447.7400829999999</v>
      </c>
      <c r="DZ141" s="128">
        <v>0</v>
      </c>
      <c r="EA141" s="121">
        <v>0</v>
      </c>
      <c r="EB141" s="122">
        <v>242.52099147999999</v>
      </c>
      <c r="EC141" s="121">
        <v>0</v>
      </c>
      <c r="ED141" s="122">
        <v>1271.1864410000001</v>
      </c>
      <c r="EE141" s="121">
        <v>0</v>
      </c>
      <c r="EF141" s="122">
        <v>847.5</v>
      </c>
      <c r="EG141" s="121">
        <v>0</v>
      </c>
      <c r="EH141" s="122">
        <v>7397.5988710000001</v>
      </c>
      <c r="EI141" s="121">
        <v>0</v>
      </c>
      <c r="EJ141" s="122">
        <v>6779.6610170000004</v>
      </c>
      <c r="EK141" s="129">
        <v>242.52099147999999</v>
      </c>
      <c r="EL141" s="130">
        <v>847.5</v>
      </c>
      <c r="EM141" s="131">
        <v>735.83500000000004</v>
      </c>
      <c r="EN141" s="129">
        <v>421.48346863</v>
      </c>
      <c r="EO141" s="129">
        <v>10964.025395000001</v>
      </c>
      <c r="EP141" s="129">
        <v>0</v>
      </c>
      <c r="ER141" s="157">
        <v>0</v>
      </c>
      <c r="ES141" s="37">
        <v>0</v>
      </c>
      <c r="ET141" s="55">
        <f t="shared" si="19"/>
        <v>0</v>
      </c>
      <c r="EU141" s="157">
        <v>0</v>
      </c>
      <c r="EV141" s="37">
        <v>0</v>
      </c>
      <c r="EW141" s="55">
        <f t="shared" si="18"/>
        <v>0</v>
      </c>
      <c r="EY141" s="166">
        <v>10447.41</v>
      </c>
      <c r="EZ141" s="37">
        <v>0</v>
      </c>
      <c r="FA141" s="164">
        <f t="shared" si="20"/>
        <v>0.76796716843159141</v>
      </c>
      <c r="FB141" s="5">
        <v>4613</v>
      </c>
      <c r="FC141" s="164">
        <f t="shared" si="21"/>
        <v>1</v>
      </c>
      <c r="FE141" s="5"/>
      <c r="FF141" s="166">
        <v>2897.4</v>
      </c>
      <c r="FG141" s="37">
        <v>0</v>
      </c>
      <c r="FH141" s="164">
        <f t="shared" si="22"/>
        <v>0.21751027532233547</v>
      </c>
      <c r="FI141" s="5">
        <v>0</v>
      </c>
      <c r="FJ141" s="164">
        <f t="shared" si="23"/>
        <v>0</v>
      </c>
      <c r="FL141" s="169">
        <v>7873</v>
      </c>
      <c r="FM141" s="170">
        <f t="shared" si="24"/>
        <v>0.68245451314546257</v>
      </c>
      <c r="FN141" s="169">
        <v>2591</v>
      </c>
      <c r="FO141" s="170">
        <f t="shared" si="25"/>
        <v>0.82634348588741824</v>
      </c>
    </row>
    <row r="142" spans="16:171" x14ac:dyDescent="0.35">
      <c r="P142" s="64">
        <v>140</v>
      </c>
      <c r="Q142" s="109">
        <v>0</v>
      </c>
      <c r="R142" s="110">
        <v>0</v>
      </c>
      <c r="S142" s="111">
        <v>0</v>
      </c>
      <c r="T142" s="110">
        <v>0</v>
      </c>
      <c r="U142" s="111">
        <v>0</v>
      </c>
      <c r="V142" s="110">
        <v>0</v>
      </c>
      <c r="W142" s="111">
        <v>0</v>
      </c>
      <c r="X142" s="110">
        <v>0</v>
      </c>
      <c r="Y142" s="111">
        <v>0</v>
      </c>
      <c r="Z142" s="110">
        <v>0</v>
      </c>
      <c r="AA142" s="111">
        <v>0</v>
      </c>
      <c r="AB142" s="110">
        <v>0</v>
      </c>
      <c r="AC142" s="111">
        <v>0</v>
      </c>
      <c r="AD142" s="110">
        <v>0</v>
      </c>
      <c r="AF142" s="64">
        <v>140</v>
      </c>
      <c r="AG142" s="109">
        <v>34175.923199999997</v>
      </c>
      <c r="AH142" s="111">
        <v>1725</v>
      </c>
      <c r="AI142" s="109">
        <v>375</v>
      </c>
      <c r="AJ142" s="59">
        <v>0.38399999999999995</v>
      </c>
      <c r="AK142" s="59">
        <v>0.75</v>
      </c>
      <c r="AL142" s="59">
        <v>0.75</v>
      </c>
      <c r="AM142" s="110">
        <v>326.87599999999998</v>
      </c>
      <c r="AN142" s="111">
        <v>2945.8308000000002</v>
      </c>
      <c r="AO142" s="59">
        <v>0.50600000000000001</v>
      </c>
      <c r="AP142" s="55">
        <v>0.253</v>
      </c>
      <c r="AQ142" s="109">
        <v>10704</v>
      </c>
      <c r="AR142" s="111">
        <v>17841</v>
      </c>
      <c r="AS142" s="59">
        <v>0.24</v>
      </c>
      <c r="AT142" s="55">
        <v>0.76</v>
      </c>
      <c r="AU142" s="43"/>
      <c r="AV142" s="109">
        <v>913.64700000000005</v>
      </c>
      <c r="AW142" s="110">
        <v>0.37100005684909815</v>
      </c>
      <c r="AX142" s="109">
        <v>1004.859</v>
      </c>
      <c r="AY142" s="110">
        <v>0.62530118232731802</v>
      </c>
      <c r="AZ142" s="109">
        <v>1121.4780000000001</v>
      </c>
      <c r="BA142" s="110">
        <v>0.5784392407674851</v>
      </c>
      <c r="BB142" s="43"/>
      <c r="BC142" s="112">
        <v>54782.928</v>
      </c>
      <c r="BD142" s="110">
        <v>0.78688524590163933</v>
      </c>
      <c r="BE142" s="43"/>
      <c r="BF142" s="157">
        <v>14605.852000000001</v>
      </c>
      <c r="BG142" s="43">
        <v>0</v>
      </c>
      <c r="BH142" s="113">
        <v>0</v>
      </c>
      <c r="BI142" s="114">
        <v>0.44803226993865031</v>
      </c>
      <c r="BJ142" s="115">
        <v>0</v>
      </c>
      <c r="BK142" s="113">
        <v>0</v>
      </c>
      <c r="BL142" s="113">
        <v>0</v>
      </c>
      <c r="BM142" s="113">
        <v>0</v>
      </c>
      <c r="BN142" s="113">
        <v>4540.826</v>
      </c>
      <c r="BO142" s="114">
        <v>0.33690651431963198</v>
      </c>
      <c r="BP142" s="115">
        <v>0</v>
      </c>
      <c r="BQ142" s="43">
        <v>7668</v>
      </c>
      <c r="BR142" s="43">
        <v>0</v>
      </c>
      <c r="BS142" s="43"/>
      <c r="BT142" s="116">
        <v>-700</v>
      </c>
      <c r="BU142" s="43">
        <v>0</v>
      </c>
      <c r="BV142" s="43">
        <v>4485</v>
      </c>
      <c r="BW142" s="43">
        <v>4485</v>
      </c>
      <c r="BX142" s="43">
        <v>0</v>
      </c>
      <c r="BY142" s="43">
        <v>0</v>
      </c>
      <c r="BZ142" s="43">
        <v>-5000</v>
      </c>
      <c r="CA142" s="43">
        <v>0</v>
      </c>
      <c r="CB142" s="43">
        <v>-5300</v>
      </c>
      <c r="CC142" s="43">
        <v>0</v>
      </c>
      <c r="CD142" s="43">
        <v>-4000</v>
      </c>
      <c r="CE142" s="43">
        <v>0</v>
      </c>
      <c r="CF142" s="43">
        <v>-4800</v>
      </c>
      <c r="CG142" s="43">
        <v>0</v>
      </c>
      <c r="CH142" s="43">
        <v>11345.870615059999</v>
      </c>
      <c r="CI142" s="43">
        <v>11345.870615059999</v>
      </c>
      <c r="CJ142" s="114">
        <v>15830.870615059999</v>
      </c>
      <c r="CK142" s="43"/>
      <c r="CL142" s="116">
        <v>-700</v>
      </c>
      <c r="CM142" s="43">
        <v>700</v>
      </c>
      <c r="CN142" s="43">
        <v>4485</v>
      </c>
      <c r="CO142" s="43">
        <v>0</v>
      </c>
      <c r="CP142" s="43">
        <v>0</v>
      </c>
      <c r="CQ142" s="43">
        <v>0</v>
      </c>
      <c r="CR142" s="43">
        <v>-5000</v>
      </c>
      <c r="CS142" s="43">
        <v>5000</v>
      </c>
      <c r="CT142" s="43">
        <v>-5300</v>
      </c>
      <c r="CU142" s="43">
        <v>5300</v>
      </c>
      <c r="CV142" s="43">
        <v>-4000</v>
      </c>
      <c r="CW142" s="43">
        <v>4000</v>
      </c>
      <c r="CX142" s="43">
        <v>-4800</v>
      </c>
      <c r="CY142" s="43">
        <v>4800</v>
      </c>
      <c r="CZ142" s="43">
        <v>11345.870615059999</v>
      </c>
      <c r="DA142" s="43">
        <v>0</v>
      </c>
      <c r="DB142" s="114">
        <v>19800</v>
      </c>
      <c r="DC142" s="43"/>
      <c r="DD142" s="117">
        <v>37140.712</v>
      </c>
      <c r="DE142" s="55">
        <v>2318.4690000000001</v>
      </c>
      <c r="DF142" s="59">
        <v>2023.4358837923</v>
      </c>
      <c r="DG142" s="59">
        <v>41482.616883792296</v>
      </c>
      <c r="DH142" s="117">
        <v>9717.3829999999998</v>
      </c>
      <c r="DI142" s="117">
        <v>62694.411</v>
      </c>
      <c r="DJ142" s="55">
        <v>7672</v>
      </c>
      <c r="DK142" s="114">
        <v>70366.410999999993</v>
      </c>
      <c r="DL142" s="43"/>
      <c r="DM142" s="117">
        <v>846.57100000000003</v>
      </c>
      <c r="DN142" s="55">
        <v>10553.7831128091</v>
      </c>
      <c r="DO142" s="55">
        <v>11400.3541128091</v>
      </c>
      <c r="DP142" s="59">
        <v>1601.956469328378</v>
      </c>
      <c r="DQ142" s="59">
        <v>2931.3025481182272</v>
      </c>
      <c r="DR142" s="59">
        <v>429.83307387999997</v>
      </c>
      <c r="DS142" s="55">
        <v>3361.1356219982272</v>
      </c>
      <c r="DT142" s="55">
        <v>162.8501415621237</v>
      </c>
      <c r="DU142" s="55">
        <v>162.8501415621237</v>
      </c>
      <c r="DW142" s="121">
        <v>0</v>
      </c>
      <c r="DX142" s="122">
        <v>6779.6610170000004</v>
      </c>
      <c r="DY142" s="128">
        <v>1447.7400829999999</v>
      </c>
      <c r="DZ142" s="128">
        <v>0</v>
      </c>
      <c r="EA142" s="121">
        <v>0</v>
      </c>
      <c r="EB142" s="122">
        <v>572.98485844000004</v>
      </c>
      <c r="EC142" s="121">
        <v>0</v>
      </c>
      <c r="ED142" s="122">
        <v>1271.1864410000001</v>
      </c>
      <c r="EE142" s="121">
        <v>0</v>
      </c>
      <c r="EF142" s="122">
        <v>847.5</v>
      </c>
      <c r="EG142" s="121">
        <v>0</v>
      </c>
      <c r="EH142" s="122">
        <v>7397.5988710000001</v>
      </c>
      <c r="EI142" s="121">
        <v>0</v>
      </c>
      <c r="EJ142" s="122">
        <v>6779.6610170000004</v>
      </c>
      <c r="EK142" s="129">
        <v>572.98485844000004</v>
      </c>
      <c r="EL142" s="130">
        <v>847.5</v>
      </c>
      <c r="EM142" s="131">
        <v>735.83500000000004</v>
      </c>
      <c r="EN142" s="129">
        <v>429.83307387999997</v>
      </c>
      <c r="EO142" s="129">
        <v>10964.025395000001</v>
      </c>
      <c r="EP142" s="129">
        <v>0</v>
      </c>
      <c r="ER142" s="157">
        <v>0</v>
      </c>
      <c r="ES142" s="37">
        <v>0</v>
      </c>
      <c r="ET142" s="55">
        <f t="shared" si="19"/>
        <v>0</v>
      </c>
      <c r="EU142" s="157">
        <v>0</v>
      </c>
      <c r="EV142" s="37">
        <v>0</v>
      </c>
      <c r="EW142" s="55">
        <f t="shared" si="18"/>
        <v>0</v>
      </c>
      <c r="EY142" s="166">
        <v>10447.41</v>
      </c>
      <c r="EZ142" s="37">
        <v>0</v>
      </c>
      <c r="FA142" s="164">
        <f t="shared" si="20"/>
        <v>0.76796716843159141</v>
      </c>
      <c r="FB142" s="5">
        <v>4613</v>
      </c>
      <c r="FC142" s="164">
        <f t="shared" si="21"/>
        <v>1</v>
      </c>
      <c r="FE142" s="5"/>
      <c r="FF142" s="166">
        <v>2897.4</v>
      </c>
      <c r="FG142" s="37">
        <v>0</v>
      </c>
      <c r="FH142" s="164">
        <f t="shared" si="22"/>
        <v>0.21751027532233547</v>
      </c>
      <c r="FI142" s="5">
        <v>1081.00173617</v>
      </c>
      <c r="FJ142" s="164">
        <f t="shared" si="23"/>
        <v>0.28173097111545475</v>
      </c>
      <c r="FL142" s="169">
        <v>7873</v>
      </c>
      <c r="FM142" s="170">
        <f t="shared" si="24"/>
        <v>0.68245451314546257</v>
      </c>
      <c r="FN142" s="169">
        <v>2591</v>
      </c>
      <c r="FO142" s="170">
        <f t="shared" si="25"/>
        <v>0.82634348588741824</v>
      </c>
    </row>
    <row r="143" spans="16:171" x14ac:dyDescent="0.35">
      <c r="P143" s="64">
        <v>141</v>
      </c>
      <c r="Q143" s="109">
        <v>0</v>
      </c>
      <c r="R143" s="110">
        <v>0</v>
      </c>
      <c r="S143" s="111">
        <v>0</v>
      </c>
      <c r="T143" s="110">
        <v>0</v>
      </c>
      <c r="U143" s="111">
        <v>0</v>
      </c>
      <c r="V143" s="110">
        <v>0</v>
      </c>
      <c r="W143" s="111">
        <v>0</v>
      </c>
      <c r="X143" s="110">
        <v>0</v>
      </c>
      <c r="Y143" s="111">
        <v>0</v>
      </c>
      <c r="Z143" s="110">
        <v>0</v>
      </c>
      <c r="AA143" s="111">
        <v>0</v>
      </c>
      <c r="AB143" s="110">
        <v>0</v>
      </c>
      <c r="AC143" s="111">
        <v>0</v>
      </c>
      <c r="AD143" s="110">
        <v>0</v>
      </c>
      <c r="AF143" s="64">
        <v>141</v>
      </c>
      <c r="AG143" s="109">
        <v>36845.917200000004</v>
      </c>
      <c r="AH143" s="111">
        <v>1734.2</v>
      </c>
      <c r="AI143" s="109">
        <v>377</v>
      </c>
      <c r="AJ143" s="59">
        <v>0.41400000000000003</v>
      </c>
      <c r="AK143" s="59">
        <v>0.754</v>
      </c>
      <c r="AL143" s="59">
        <v>0.754</v>
      </c>
      <c r="AM143" s="110">
        <v>354.00799999999998</v>
      </c>
      <c r="AN143" s="111">
        <v>3446.5056</v>
      </c>
      <c r="AO143" s="59">
        <v>0.54799999999999993</v>
      </c>
      <c r="AP143" s="55">
        <v>0.29599999999999999</v>
      </c>
      <c r="AQ143" s="109">
        <v>12978.6</v>
      </c>
      <c r="AR143" s="111">
        <v>19085.174999999999</v>
      </c>
      <c r="AS143" s="59">
        <v>0.29099999999999998</v>
      </c>
      <c r="AT143" s="55">
        <v>0.81299999999999994</v>
      </c>
      <c r="AU143" s="43"/>
      <c r="AV143" s="109">
        <v>908.72199999999998</v>
      </c>
      <c r="AW143" s="110">
        <v>0.36900018678989388</v>
      </c>
      <c r="AX143" s="109">
        <v>1004.706</v>
      </c>
      <c r="AY143" s="110">
        <v>0.62520597386434351</v>
      </c>
      <c r="AZ143" s="109">
        <v>1121.4780000000001</v>
      </c>
      <c r="BA143" s="110">
        <v>0.5784392407674851</v>
      </c>
      <c r="BB143" s="43"/>
      <c r="BC143" s="112">
        <v>54782.928</v>
      </c>
      <c r="BD143" s="110">
        <v>0.78688524590163933</v>
      </c>
      <c r="BE143" s="43"/>
      <c r="BF143" s="157">
        <v>15718.287</v>
      </c>
      <c r="BG143" s="43">
        <v>0</v>
      </c>
      <c r="BH143" s="113">
        <v>0</v>
      </c>
      <c r="BI143" s="114">
        <v>0.48215604294478526</v>
      </c>
      <c r="BJ143" s="115">
        <v>0</v>
      </c>
      <c r="BK143" s="113">
        <v>0</v>
      </c>
      <c r="BL143" s="113">
        <v>0</v>
      </c>
      <c r="BM143" s="113">
        <v>0</v>
      </c>
      <c r="BN143" s="113">
        <v>4914.1610000000001</v>
      </c>
      <c r="BO143" s="114">
        <v>0.36460609882771927</v>
      </c>
      <c r="BP143" s="115">
        <v>0</v>
      </c>
      <c r="BQ143" s="43">
        <v>7668</v>
      </c>
      <c r="BR143" s="43">
        <v>0</v>
      </c>
      <c r="BS143" s="43"/>
      <c r="BT143" s="116">
        <v>-700</v>
      </c>
      <c r="BU143" s="43">
        <v>0</v>
      </c>
      <c r="BV143" s="43">
        <v>4485</v>
      </c>
      <c r="BW143" s="43">
        <v>4485</v>
      </c>
      <c r="BX143" s="43">
        <v>0</v>
      </c>
      <c r="BY143" s="43">
        <v>0</v>
      </c>
      <c r="BZ143" s="43">
        <v>-5000</v>
      </c>
      <c r="CA143" s="43">
        <v>0</v>
      </c>
      <c r="CB143" s="43">
        <v>-5300</v>
      </c>
      <c r="CC143" s="43">
        <v>0</v>
      </c>
      <c r="CD143" s="43">
        <v>-4000</v>
      </c>
      <c r="CE143" s="43">
        <v>0</v>
      </c>
      <c r="CF143" s="43">
        <v>-4800</v>
      </c>
      <c r="CG143" s="43">
        <v>0</v>
      </c>
      <c r="CH143" s="43">
        <v>13917.72010602</v>
      </c>
      <c r="CI143" s="43">
        <v>13917.72010602</v>
      </c>
      <c r="CJ143" s="114">
        <v>18402.720106020002</v>
      </c>
      <c r="CK143" s="43"/>
      <c r="CL143" s="116">
        <v>-700</v>
      </c>
      <c r="CM143" s="43">
        <v>700</v>
      </c>
      <c r="CN143" s="43">
        <v>4485</v>
      </c>
      <c r="CO143" s="43">
        <v>0</v>
      </c>
      <c r="CP143" s="43">
        <v>0</v>
      </c>
      <c r="CQ143" s="43">
        <v>0</v>
      </c>
      <c r="CR143" s="43">
        <v>-5000</v>
      </c>
      <c r="CS143" s="43">
        <v>5000</v>
      </c>
      <c r="CT143" s="43">
        <v>-5300</v>
      </c>
      <c r="CU143" s="43">
        <v>5300</v>
      </c>
      <c r="CV143" s="43">
        <v>-4000</v>
      </c>
      <c r="CW143" s="43">
        <v>4000</v>
      </c>
      <c r="CX143" s="43">
        <v>-4800</v>
      </c>
      <c r="CY143" s="43">
        <v>4800</v>
      </c>
      <c r="CZ143" s="43">
        <v>13917.72010602</v>
      </c>
      <c r="DA143" s="43">
        <v>0</v>
      </c>
      <c r="DB143" s="114">
        <v>19800</v>
      </c>
      <c r="DC143" s="43"/>
      <c r="DD143" s="117">
        <v>37137.919000000002</v>
      </c>
      <c r="DE143" s="55">
        <v>2319.2249999999999</v>
      </c>
      <c r="DF143" s="59">
        <v>1985.4172930269999</v>
      </c>
      <c r="DG143" s="59">
        <v>41442.561293027</v>
      </c>
      <c r="DH143" s="117">
        <v>9348.4760000000006</v>
      </c>
      <c r="DI143" s="117">
        <v>59665.411</v>
      </c>
      <c r="DJ143" s="55">
        <v>7742</v>
      </c>
      <c r="DK143" s="114">
        <v>67407.410999999993</v>
      </c>
      <c r="DL143" s="43"/>
      <c r="DM143" s="117">
        <v>798.98900000000003</v>
      </c>
      <c r="DN143" s="55">
        <v>10537.936979031019</v>
      </c>
      <c r="DO143" s="55">
        <v>11336.925979031019</v>
      </c>
      <c r="DP143" s="59">
        <v>1601.956469328378</v>
      </c>
      <c r="DQ143" s="59">
        <v>2922.952942870591</v>
      </c>
      <c r="DR143" s="59">
        <v>438.18267913</v>
      </c>
      <c r="DS143" s="55">
        <v>3361.135622000591</v>
      </c>
      <c r="DT143" s="55">
        <v>162.38627460392169</v>
      </c>
      <c r="DU143" s="55">
        <v>162.38627460392169</v>
      </c>
      <c r="DW143" s="121">
        <v>0</v>
      </c>
      <c r="DX143" s="122">
        <v>6779.6610170000004</v>
      </c>
      <c r="DY143" s="128">
        <v>1447.7400829999999</v>
      </c>
      <c r="DZ143" s="128">
        <v>0</v>
      </c>
      <c r="EA143" s="121">
        <v>0</v>
      </c>
      <c r="EB143" s="122">
        <v>243.4487254</v>
      </c>
      <c r="EC143" s="121">
        <v>0</v>
      </c>
      <c r="ED143" s="122">
        <v>1271.1864410000001</v>
      </c>
      <c r="EE143" s="121">
        <v>0</v>
      </c>
      <c r="EF143" s="122">
        <v>847.5</v>
      </c>
      <c r="EG143" s="121">
        <v>0</v>
      </c>
      <c r="EH143" s="122">
        <v>7397.5988710000001</v>
      </c>
      <c r="EI143" s="121">
        <v>0</v>
      </c>
      <c r="EJ143" s="122">
        <v>6779.6610170000004</v>
      </c>
      <c r="EK143" s="129">
        <v>243.4487254</v>
      </c>
      <c r="EL143" s="130">
        <v>847.5</v>
      </c>
      <c r="EM143" s="131">
        <v>735.83500000000004</v>
      </c>
      <c r="EN143" s="129">
        <v>438.18267913</v>
      </c>
      <c r="EO143" s="129">
        <v>10964.025395000001</v>
      </c>
      <c r="EP143" s="129">
        <v>0</v>
      </c>
      <c r="ER143" s="157">
        <v>0</v>
      </c>
      <c r="ES143" s="37">
        <v>0</v>
      </c>
      <c r="ET143" s="55">
        <f t="shared" si="19"/>
        <v>0</v>
      </c>
      <c r="EU143" s="157">
        <v>0</v>
      </c>
      <c r="EV143" s="37">
        <v>0</v>
      </c>
      <c r="EW143" s="55">
        <f t="shared" si="18"/>
        <v>0</v>
      </c>
      <c r="EY143" s="166">
        <v>10447.41</v>
      </c>
      <c r="EZ143" s="37">
        <v>0</v>
      </c>
      <c r="FA143" s="164">
        <f t="shared" si="20"/>
        <v>0.76796716843159141</v>
      </c>
      <c r="FB143" s="5">
        <v>4613</v>
      </c>
      <c r="FC143" s="164">
        <f t="shared" si="21"/>
        <v>1</v>
      </c>
      <c r="FE143" s="5"/>
      <c r="FF143" s="166">
        <v>2897.4</v>
      </c>
      <c r="FG143" s="37">
        <v>0</v>
      </c>
      <c r="FH143" s="164">
        <f t="shared" si="22"/>
        <v>0.21751027532233547</v>
      </c>
      <c r="FI143" s="5">
        <v>0</v>
      </c>
      <c r="FJ143" s="164">
        <f t="shared" si="23"/>
        <v>0</v>
      </c>
      <c r="FL143" s="169">
        <v>7873</v>
      </c>
      <c r="FM143" s="170">
        <f t="shared" si="24"/>
        <v>0.68245451314546257</v>
      </c>
      <c r="FN143" s="169">
        <v>2591</v>
      </c>
      <c r="FO143" s="170">
        <f t="shared" si="25"/>
        <v>0.82634348588741824</v>
      </c>
    </row>
    <row r="144" spans="16:171" x14ac:dyDescent="0.35">
      <c r="P144" s="64">
        <v>142</v>
      </c>
      <c r="Q144" s="109">
        <v>0</v>
      </c>
      <c r="R144" s="110">
        <v>0</v>
      </c>
      <c r="S144" s="111">
        <v>0</v>
      </c>
      <c r="T144" s="110">
        <v>0</v>
      </c>
      <c r="U144" s="111">
        <v>0</v>
      </c>
      <c r="V144" s="110">
        <v>0</v>
      </c>
      <c r="W144" s="111">
        <v>0</v>
      </c>
      <c r="X144" s="110">
        <v>0</v>
      </c>
      <c r="Y144" s="111">
        <v>0</v>
      </c>
      <c r="Z144" s="110">
        <v>0</v>
      </c>
      <c r="AA144" s="111">
        <v>0</v>
      </c>
      <c r="AB144" s="110">
        <v>0</v>
      </c>
      <c r="AC144" s="111">
        <v>0</v>
      </c>
      <c r="AD144" s="110">
        <v>0</v>
      </c>
      <c r="AF144" s="64">
        <v>142</v>
      </c>
      <c r="AG144" s="109">
        <v>38447.9136</v>
      </c>
      <c r="AH144" s="111">
        <v>1766.4</v>
      </c>
      <c r="AI144" s="109">
        <v>384</v>
      </c>
      <c r="AJ144" s="59">
        <v>0.432</v>
      </c>
      <c r="AK144" s="59">
        <v>0.76800000000000002</v>
      </c>
      <c r="AL144" s="59">
        <v>0.76800000000000002</v>
      </c>
      <c r="AM144" s="110">
        <v>377.26400000000001</v>
      </c>
      <c r="AN144" s="111">
        <v>4354.7064</v>
      </c>
      <c r="AO144" s="59">
        <v>0.58399999999999996</v>
      </c>
      <c r="AP144" s="55">
        <v>0.374</v>
      </c>
      <c r="AQ144" s="109">
        <v>15476.2</v>
      </c>
      <c r="AR144" s="111">
        <v>20470.2</v>
      </c>
      <c r="AS144" s="59">
        <v>0.34700000000000003</v>
      </c>
      <c r="AT144" s="55">
        <v>0.872</v>
      </c>
      <c r="AU144" s="43"/>
      <c r="AV144" s="109">
        <v>911.18399999999997</v>
      </c>
      <c r="AW144" s="110">
        <v>0.36999991878700267</v>
      </c>
      <c r="AX144" s="109">
        <v>999.15300000000002</v>
      </c>
      <c r="AY144" s="110">
        <v>0.62175046670815182</v>
      </c>
      <c r="AZ144" s="109">
        <v>1121.4780000000001</v>
      </c>
      <c r="BA144" s="110">
        <v>0.5784392407674851</v>
      </c>
      <c r="BB144" s="43"/>
      <c r="BC144" s="112">
        <v>53641.616999999998</v>
      </c>
      <c r="BD144" s="110">
        <v>0.77049180327868849</v>
      </c>
      <c r="BE144" s="43"/>
      <c r="BF144" s="157">
        <v>16423.629000000001</v>
      </c>
      <c r="BG144" s="43">
        <v>0</v>
      </c>
      <c r="BH144" s="113">
        <v>0</v>
      </c>
      <c r="BI144" s="114">
        <v>0.503792300613497</v>
      </c>
      <c r="BJ144" s="115">
        <v>0</v>
      </c>
      <c r="BK144" s="113">
        <v>0</v>
      </c>
      <c r="BL144" s="113">
        <v>0</v>
      </c>
      <c r="BM144" s="113">
        <v>0</v>
      </c>
      <c r="BN144" s="113">
        <v>5236.0420000000004</v>
      </c>
      <c r="BO144" s="114">
        <v>0.38848805460750857</v>
      </c>
      <c r="BP144" s="115">
        <v>0</v>
      </c>
      <c r="BQ144" s="43">
        <v>7668</v>
      </c>
      <c r="BR144" s="43">
        <v>0</v>
      </c>
      <c r="BS144" s="43"/>
      <c r="BT144" s="116">
        <v>-700</v>
      </c>
      <c r="BU144" s="43">
        <v>0</v>
      </c>
      <c r="BV144" s="43">
        <v>4485</v>
      </c>
      <c r="BW144" s="43">
        <v>4485</v>
      </c>
      <c r="BX144" s="43">
        <v>0</v>
      </c>
      <c r="BY144" s="43">
        <v>0</v>
      </c>
      <c r="BZ144" s="43">
        <v>-5000</v>
      </c>
      <c r="CA144" s="43">
        <v>0</v>
      </c>
      <c r="CB144" s="43">
        <v>-5300</v>
      </c>
      <c r="CC144" s="43">
        <v>0</v>
      </c>
      <c r="CD144" s="43">
        <v>-4000</v>
      </c>
      <c r="CE144" s="43">
        <v>0</v>
      </c>
      <c r="CF144" s="43">
        <v>-4800</v>
      </c>
      <c r="CG144" s="43">
        <v>0</v>
      </c>
      <c r="CH144" s="43">
        <v>18224.409051629998</v>
      </c>
      <c r="CI144" s="43">
        <v>18224.409051629998</v>
      </c>
      <c r="CJ144" s="114">
        <v>22709.409051629998</v>
      </c>
      <c r="CK144" s="43"/>
      <c r="CL144" s="116">
        <v>-700</v>
      </c>
      <c r="CM144" s="43">
        <v>700</v>
      </c>
      <c r="CN144" s="43">
        <v>4485</v>
      </c>
      <c r="CO144" s="43">
        <v>0</v>
      </c>
      <c r="CP144" s="43">
        <v>0</v>
      </c>
      <c r="CQ144" s="43">
        <v>0</v>
      </c>
      <c r="CR144" s="43">
        <v>-5000</v>
      </c>
      <c r="CS144" s="43">
        <v>5000</v>
      </c>
      <c r="CT144" s="43">
        <v>-5300</v>
      </c>
      <c r="CU144" s="43">
        <v>5300</v>
      </c>
      <c r="CV144" s="43">
        <v>-4000</v>
      </c>
      <c r="CW144" s="43">
        <v>4000</v>
      </c>
      <c r="CX144" s="43">
        <v>-4800</v>
      </c>
      <c r="CY144" s="43">
        <v>4800</v>
      </c>
      <c r="CZ144" s="43">
        <v>18224.409051629998</v>
      </c>
      <c r="DA144" s="43">
        <v>0</v>
      </c>
      <c r="DB144" s="114">
        <v>19800</v>
      </c>
      <c r="DC144" s="43"/>
      <c r="DD144" s="117">
        <v>36284.303999999996</v>
      </c>
      <c r="DE144" s="55">
        <v>2320.0259999999998</v>
      </c>
      <c r="DF144" s="59">
        <v>1902.4026389026999</v>
      </c>
      <c r="DG144" s="59">
        <v>40506.732638902693</v>
      </c>
      <c r="DH144" s="117">
        <v>8831.4169999999995</v>
      </c>
      <c r="DI144" s="117">
        <v>57482.411</v>
      </c>
      <c r="DJ144" s="55">
        <v>7411</v>
      </c>
      <c r="DK144" s="114">
        <v>64893.411</v>
      </c>
      <c r="DL144" s="43"/>
      <c r="DM144" s="117">
        <v>686.94600000000003</v>
      </c>
      <c r="DN144" s="55">
        <v>10522.090845252949</v>
      </c>
      <c r="DO144" s="55">
        <v>11209.036845252949</v>
      </c>
      <c r="DP144" s="59">
        <v>1601.956469328378</v>
      </c>
      <c r="DQ144" s="59">
        <v>2914.6033376229539</v>
      </c>
      <c r="DR144" s="59">
        <v>446.53228438000002</v>
      </c>
      <c r="DS144" s="55">
        <v>3361.1356220029538</v>
      </c>
      <c r="DT144" s="55">
        <v>161.92240764571969</v>
      </c>
      <c r="DU144" s="55">
        <v>161.92240764571969</v>
      </c>
      <c r="DW144" s="121">
        <v>0</v>
      </c>
      <c r="DX144" s="122">
        <v>6779.6610170000004</v>
      </c>
      <c r="DY144" s="128">
        <v>1447.7400829999999</v>
      </c>
      <c r="DZ144" s="128">
        <v>0</v>
      </c>
      <c r="EA144" s="121">
        <v>0</v>
      </c>
      <c r="EB144" s="122">
        <v>573.91259234999995</v>
      </c>
      <c r="EC144" s="121">
        <v>0</v>
      </c>
      <c r="ED144" s="122">
        <v>1271.1864410000001</v>
      </c>
      <c r="EE144" s="121">
        <v>0</v>
      </c>
      <c r="EF144" s="122">
        <v>847.5</v>
      </c>
      <c r="EG144" s="121">
        <v>0</v>
      </c>
      <c r="EH144" s="122">
        <v>7397.5988710000001</v>
      </c>
      <c r="EI144" s="121">
        <v>0</v>
      </c>
      <c r="EJ144" s="122">
        <v>6779.6610170000004</v>
      </c>
      <c r="EK144" s="129">
        <v>573.91259234999995</v>
      </c>
      <c r="EL144" s="130">
        <v>847.5</v>
      </c>
      <c r="EM144" s="131">
        <v>735.83500000000004</v>
      </c>
      <c r="EN144" s="129">
        <v>446.53228438000002</v>
      </c>
      <c r="EO144" s="129">
        <v>10964.025395000001</v>
      </c>
      <c r="EP144" s="129">
        <v>0</v>
      </c>
      <c r="ER144" s="157">
        <v>0</v>
      </c>
      <c r="ES144" s="37">
        <v>0</v>
      </c>
      <c r="ET144" s="55">
        <f t="shared" si="19"/>
        <v>0</v>
      </c>
      <c r="EU144" s="157">
        <v>0</v>
      </c>
      <c r="EV144" s="37">
        <v>0</v>
      </c>
      <c r="EW144" s="55">
        <f t="shared" si="18"/>
        <v>0</v>
      </c>
      <c r="EY144" s="166">
        <v>10447.41</v>
      </c>
      <c r="EZ144" s="37">
        <v>0</v>
      </c>
      <c r="FA144" s="164">
        <f t="shared" si="20"/>
        <v>0.76796716843159141</v>
      </c>
      <c r="FB144" s="5">
        <v>3458.3974297899999</v>
      </c>
      <c r="FC144" s="164">
        <f t="shared" si="21"/>
        <v>0.74970679163017562</v>
      </c>
      <c r="FE144" s="5"/>
      <c r="FF144" s="166">
        <v>2897.4</v>
      </c>
      <c r="FG144" s="37">
        <v>0</v>
      </c>
      <c r="FH144" s="164">
        <f t="shared" si="22"/>
        <v>0.21751027532233547</v>
      </c>
      <c r="FI144" s="5">
        <v>0</v>
      </c>
      <c r="FJ144" s="164">
        <f t="shared" si="23"/>
        <v>0</v>
      </c>
      <c r="FL144" s="169">
        <v>7873</v>
      </c>
      <c r="FM144" s="170">
        <f t="shared" si="24"/>
        <v>0.68245451314546257</v>
      </c>
      <c r="FN144" s="169">
        <v>2591</v>
      </c>
      <c r="FO144" s="170">
        <f t="shared" si="25"/>
        <v>0.82634348588741824</v>
      </c>
    </row>
    <row r="145" spans="16:171" x14ac:dyDescent="0.35">
      <c r="P145" s="64">
        <v>143</v>
      </c>
      <c r="Q145" s="109">
        <v>0</v>
      </c>
      <c r="R145" s="110">
        <v>0</v>
      </c>
      <c r="S145" s="111">
        <v>0</v>
      </c>
      <c r="T145" s="110">
        <v>0</v>
      </c>
      <c r="U145" s="111">
        <v>0</v>
      </c>
      <c r="V145" s="110">
        <v>0</v>
      </c>
      <c r="W145" s="111">
        <v>0</v>
      </c>
      <c r="X145" s="110">
        <v>0</v>
      </c>
      <c r="Y145" s="111">
        <v>0</v>
      </c>
      <c r="Z145" s="110">
        <v>0</v>
      </c>
      <c r="AA145" s="111">
        <v>0</v>
      </c>
      <c r="AB145" s="110">
        <v>0</v>
      </c>
      <c r="AC145" s="111">
        <v>0</v>
      </c>
      <c r="AD145" s="110">
        <v>0</v>
      </c>
      <c r="AF145" s="64">
        <v>143</v>
      </c>
      <c r="AG145" s="109">
        <v>40761.9084</v>
      </c>
      <c r="AH145" s="111">
        <v>1805.5</v>
      </c>
      <c r="AI145" s="109">
        <v>392.5</v>
      </c>
      <c r="AJ145" s="59">
        <v>0.45799999999999996</v>
      </c>
      <c r="AK145" s="59">
        <v>0.78500000000000003</v>
      </c>
      <c r="AL145" s="59">
        <v>0.78500000000000003</v>
      </c>
      <c r="AM145" s="110">
        <v>399.87400000000002</v>
      </c>
      <c r="AN145" s="111">
        <v>5321.1252000000004</v>
      </c>
      <c r="AO145" s="59">
        <v>0.61899999999999999</v>
      </c>
      <c r="AP145" s="55">
        <v>0.45700000000000002</v>
      </c>
      <c r="AQ145" s="109">
        <v>18018.400000000001</v>
      </c>
      <c r="AR145" s="111">
        <v>21338.775000000001</v>
      </c>
      <c r="AS145" s="59">
        <v>0.40400000000000003</v>
      </c>
      <c r="AT145" s="55">
        <v>0.90900000000000003</v>
      </c>
      <c r="AU145" s="43"/>
      <c r="AV145" s="109">
        <v>891.48299999999995</v>
      </c>
      <c r="AW145" s="110">
        <v>0.36200003248519891</v>
      </c>
      <c r="AX145" s="109">
        <v>984.97900000000004</v>
      </c>
      <c r="AY145" s="110">
        <v>0.61293030491599254</v>
      </c>
      <c r="AZ145" s="109">
        <v>1121.4780000000001</v>
      </c>
      <c r="BA145" s="110">
        <v>0.5784392407674851</v>
      </c>
      <c r="BB145" s="43"/>
      <c r="BC145" s="112">
        <v>53641.616999999998</v>
      </c>
      <c r="BD145" s="110">
        <v>0.77049180327868849</v>
      </c>
      <c r="BE145" s="43"/>
      <c r="BF145" s="157">
        <v>17421.954000000002</v>
      </c>
      <c r="BG145" s="43">
        <v>0</v>
      </c>
      <c r="BH145" s="113">
        <v>0</v>
      </c>
      <c r="BI145" s="114">
        <v>0.53441576687116565</v>
      </c>
      <c r="BJ145" s="115">
        <v>0</v>
      </c>
      <c r="BK145" s="113">
        <v>0</v>
      </c>
      <c r="BL145" s="113">
        <v>0</v>
      </c>
      <c r="BM145" s="113">
        <v>0</v>
      </c>
      <c r="BN145" s="113">
        <v>5544.1530000000002</v>
      </c>
      <c r="BO145" s="114">
        <v>0.41134834545184745</v>
      </c>
      <c r="BP145" s="115">
        <v>0</v>
      </c>
      <c r="BQ145" s="43">
        <v>7668</v>
      </c>
      <c r="BR145" s="43">
        <v>0</v>
      </c>
      <c r="BS145" s="43"/>
      <c r="BT145" s="116">
        <v>-700</v>
      </c>
      <c r="BU145" s="43">
        <v>0</v>
      </c>
      <c r="BV145" s="43">
        <v>4485</v>
      </c>
      <c r="BW145" s="43">
        <v>4485</v>
      </c>
      <c r="BX145" s="43">
        <v>0</v>
      </c>
      <c r="BY145" s="43">
        <v>0</v>
      </c>
      <c r="BZ145" s="43">
        <v>-5000</v>
      </c>
      <c r="CA145" s="43">
        <v>0</v>
      </c>
      <c r="CB145" s="43">
        <v>-5300</v>
      </c>
      <c r="CC145" s="43">
        <v>0</v>
      </c>
      <c r="CD145" s="43">
        <v>-4000</v>
      </c>
      <c r="CE145" s="43">
        <v>0</v>
      </c>
      <c r="CF145" s="43">
        <v>-4800</v>
      </c>
      <c r="CG145" s="43">
        <v>0</v>
      </c>
      <c r="CH145" s="43">
        <v>14330.46466904</v>
      </c>
      <c r="CI145" s="43">
        <v>14330.46466904</v>
      </c>
      <c r="CJ145" s="114">
        <v>18815.46466904</v>
      </c>
      <c r="CK145" s="43"/>
      <c r="CL145" s="116">
        <v>-700</v>
      </c>
      <c r="CM145" s="43">
        <v>700</v>
      </c>
      <c r="CN145" s="43">
        <v>4485</v>
      </c>
      <c r="CO145" s="43">
        <v>0</v>
      </c>
      <c r="CP145" s="43">
        <v>0</v>
      </c>
      <c r="CQ145" s="43">
        <v>0</v>
      </c>
      <c r="CR145" s="43">
        <v>-5000</v>
      </c>
      <c r="CS145" s="43">
        <v>5000</v>
      </c>
      <c r="CT145" s="43">
        <v>-5300</v>
      </c>
      <c r="CU145" s="43">
        <v>5300</v>
      </c>
      <c r="CV145" s="43">
        <v>-4000</v>
      </c>
      <c r="CW145" s="43">
        <v>4000</v>
      </c>
      <c r="CX145" s="43">
        <v>-4800</v>
      </c>
      <c r="CY145" s="43">
        <v>4800</v>
      </c>
      <c r="CZ145" s="43">
        <v>14330.46466904</v>
      </c>
      <c r="DA145" s="43">
        <v>0</v>
      </c>
      <c r="DB145" s="114">
        <v>19800</v>
      </c>
      <c r="DC145" s="43"/>
      <c r="DD145" s="117">
        <v>34517.152999999998</v>
      </c>
      <c r="DE145" s="55">
        <v>2296.6019999999999</v>
      </c>
      <c r="DF145" s="59">
        <v>1907.1097407361001</v>
      </c>
      <c r="DG145" s="59">
        <v>38720.864740736099</v>
      </c>
      <c r="DH145" s="117">
        <v>8846.4850000000006</v>
      </c>
      <c r="DI145" s="117">
        <v>56575.411</v>
      </c>
      <c r="DJ145" s="55">
        <v>7738</v>
      </c>
      <c r="DK145" s="114">
        <v>64313.411</v>
      </c>
      <c r="DL145" s="43"/>
      <c r="DM145" s="117">
        <v>612.93200000000002</v>
      </c>
      <c r="DN145" s="55">
        <v>10490.3985776968</v>
      </c>
      <c r="DO145" s="55">
        <v>11103.330577696801</v>
      </c>
      <c r="DP145" s="59">
        <v>1601.956469328378</v>
      </c>
      <c r="DQ145" s="59">
        <v>2897.904127127681</v>
      </c>
      <c r="DR145" s="59">
        <v>463.23149487000001</v>
      </c>
      <c r="DS145" s="55">
        <v>3361.135621997681</v>
      </c>
      <c r="DT145" s="55">
        <v>160.99467372931559</v>
      </c>
      <c r="DU145" s="55">
        <v>160.99467372931559</v>
      </c>
      <c r="DW145" s="121">
        <v>0</v>
      </c>
      <c r="DX145" s="122">
        <v>6779.6610170000004</v>
      </c>
      <c r="DY145" s="128">
        <v>1447.7400829999999</v>
      </c>
      <c r="DZ145" s="128">
        <v>0</v>
      </c>
      <c r="EA145" s="121">
        <v>0</v>
      </c>
      <c r="EB145" s="122">
        <v>244.84032626999999</v>
      </c>
      <c r="EC145" s="121">
        <v>0</v>
      </c>
      <c r="ED145" s="122">
        <v>1271.1864410000001</v>
      </c>
      <c r="EE145" s="121">
        <v>0</v>
      </c>
      <c r="EF145" s="122">
        <v>847.5</v>
      </c>
      <c r="EG145" s="121">
        <v>0</v>
      </c>
      <c r="EH145" s="122">
        <v>7397.5988710000001</v>
      </c>
      <c r="EI145" s="121">
        <v>0</v>
      </c>
      <c r="EJ145" s="122">
        <v>6779.6610170000004</v>
      </c>
      <c r="EK145" s="129">
        <v>244.84032626999999</v>
      </c>
      <c r="EL145" s="130">
        <v>847.5</v>
      </c>
      <c r="EM145" s="131">
        <v>735.83500000000004</v>
      </c>
      <c r="EN145" s="129">
        <v>463.23149487000001</v>
      </c>
      <c r="EO145" s="129">
        <v>10964.025395000001</v>
      </c>
      <c r="EP145" s="129">
        <v>0</v>
      </c>
      <c r="ER145" s="157">
        <v>0</v>
      </c>
      <c r="ES145" s="37">
        <v>0</v>
      </c>
      <c r="ET145" s="55">
        <f t="shared" si="19"/>
        <v>0</v>
      </c>
      <c r="EU145" s="157">
        <v>0</v>
      </c>
      <c r="EV145" s="37">
        <v>0</v>
      </c>
      <c r="EW145" s="55">
        <f t="shared" si="18"/>
        <v>0</v>
      </c>
      <c r="EY145" s="166">
        <v>8416.2643414199993</v>
      </c>
      <c r="EZ145" s="37">
        <v>0</v>
      </c>
      <c r="FA145" s="164">
        <f t="shared" si="20"/>
        <v>0.6186619166905567</v>
      </c>
      <c r="FB145" s="5">
        <v>4613</v>
      </c>
      <c r="FC145" s="164">
        <f t="shared" si="21"/>
        <v>1</v>
      </c>
      <c r="FE145" s="5"/>
      <c r="FF145" s="166">
        <v>2897.4</v>
      </c>
      <c r="FG145" s="37">
        <v>0</v>
      </c>
      <c r="FH145" s="164">
        <f t="shared" si="22"/>
        <v>0.21751027532233547</v>
      </c>
      <c r="FI145" s="5">
        <v>1874.7234127700001</v>
      </c>
      <c r="FJ145" s="164">
        <f t="shared" si="23"/>
        <v>0.48859093374250717</v>
      </c>
      <c r="FL145" s="169">
        <v>7873</v>
      </c>
      <c r="FM145" s="170">
        <f t="shared" si="24"/>
        <v>0.68245451314546257</v>
      </c>
      <c r="FN145" s="169">
        <v>2591</v>
      </c>
      <c r="FO145" s="170">
        <f t="shared" si="25"/>
        <v>0.82634348588741824</v>
      </c>
    </row>
    <row r="146" spans="16:171" x14ac:dyDescent="0.35">
      <c r="P146" s="64">
        <v>144</v>
      </c>
      <c r="Q146" s="109">
        <v>0</v>
      </c>
      <c r="R146" s="110">
        <v>0</v>
      </c>
      <c r="S146" s="111">
        <v>0</v>
      </c>
      <c r="T146" s="110">
        <v>0</v>
      </c>
      <c r="U146" s="111">
        <v>0</v>
      </c>
      <c r="V146" s="110">
        <v>0</v>
      </c>
      <c r="W146" s="111">
        <v>0</v>
      </c>
      <c r="X146" s="110">
        <v>0</v>
      </c>
      <c r="Y146" s="111">
        <v>0</v>
      </c>
      <c r="Z146" s="110">
        <v>0</v>
      </c>
      <c r="AA146" s="111">
        <v>0</v>
      </c>
      <c r="AB146" s="110">
        <v>0</v>
      </c>
      <c r="AC146" s="111">
        <v>0</v>
      </c>
      <c r="AD146" s="110">
        <v>0</v>
      </c>
      <c r="AF146" s="64">
        <v>144</v>
      </c>
      <c r="AG146" s="109">
        <v>43253.902800000003</v>
      </c>
      <c r="AH146" s="111">
        <v>1851.5</v>
      </c>
      <c r="AI146" s="109">
        <v>402.5</v>
      </c>
      <c r="AJ146" s="59">
        <v>0.48600000000000004</v>
      </c>
      <c r="AK146" s="59">
        <v>0.80500000000000005</v>
      </c>
      <c r="AL146" s="59">
        <v>0.80500000000000005</v>
      </c>
      <c r="AM146" s="110">
        <v>421.83800000000002</v>
      </c>
      <c r="AN146" s="111">
        <v>6171.1080000000002</v>
      </c>
      <c r="AO146" s="59">
        <v>0.65300000000000002</v>
      </c>
      <c r="AP146" s="55">
        <v>0.53</v>
      </c>
      <c r="AQ146" s="109">
        <v>21809.4</v>
      </c>
      <c r="AR146" s="111">
        <v>21714.375</v>
      </c>
      <c r="AS146" s="59">
        <v>0.48900000000000005</v>
      </c>
      <c r="AT146" s="55">
        <v>0.92500000000000004</v>
      </c>
      <c r="AU146" s="43"/>
      <c r="AV146" s="109">
        <v>881.63199999999995</v>
      </c>
      <c r="AW146" s="110">
        <v>0.35799988630180374</v>
      </c>
      <c r="AX146" s="109">
        <v>972.048</v>
      </c>
      <c r="AY146" s="110">
        <v>0.60488363410080892</v>
      </c>
      <c r="AZ146" s="109">
        <v>1121.4780000000001</v>
      </c>
      <c r="BA146" s="110">
        <v>0.5784392407674851</v>
      </c>
      <c r="BB146" s="43"/>
      <c r="BC146" s="112">
        <v>53641.616999999998</v>
      </c>
      <c r="BD146" s="110">
        <v>0.77049180327868849</v>
      </c>
      <c r="BE146" s="43"/>
      <c r="BF146" s="157">
        <v>18473.257000000001</v>
      </c>
      <c r="BG146" s="43">
        <v>0</v>
      </c>
      <c r="BH146" s="113">
        <v>0</v>
      </c>
      <c r="BI146" s="114">
        <v>0.56666432515337428</v>
      </c>
      <c r="BJ146" s="115">
        <v>0</v>
      </c>
      <c r="BK146" s="113">
        <v>0</v>
      </c>
      <c r="BL146" s="113">
        <v>0</v>
      </c>
      <c r="BM146" s="113">
        <v>0</v>
      </c>
      <c r="BN146" s="113">
        <v>5853.1850000000004</v>
      </c>
      <c r="BO146" s="114">
        <v>0.43427696987683634</v>
      </c>
      <c r="BP146" s="115">
        <v>0</v>
      </c>
      <c r="BQ146" s="43">
        <v>7668</v>
      </c>
      <c r="BR146" s="43">
        <v>0</v>
      </c>
      <c r="BS146" s="43"/>
      <c r="BT146" s="116">
        <v>-700</v>
      </c>
      <c r="BU146" s="43">
        <v>0</v>
      </c>
      <c r="BV146" s="43">
        <v>4485</v>
      </c>
      <c r="BW146" s="43">
        <v>4485</v>
      </c>
      <c r="BX146" s="43">
        <v>0</v>
      </c>
      <c r="BY146" s="43">
        <v>0</v>
      </c>
      <c r="BZ146" s="43">
        <v>-5000</v>
      </c>
      <c r="CA146" s="43">
        <v>0</v>
      </c>
      <c r="CB146" s="43">
        <v>-5300</v>
      </c>
      <c r="CC146" s="43">
        <v>0</v>
      </c>
      <c r="CD146" s="43">
        <v>-4000</v>
      </c>
      <c r="CE146" s="43">
        <v>0</v>
      </c>
      <c r="CF146" s="43">
        <v>-4800</v>
      </c>
      <c r="CG146" s="43">
        <v>0</v>
      </c>
      <c r="CH146" s="43">
        <v>12379.71611505</v>
      </c>
      <c r="CI146" s="43">
        <v>12379.71611505</v>
      </c>
      <c r="CJ146" s="114">
        <v>16864.71611505</v>
      </c>
      <c r="CK146" s="43"/>
      <c r="CL146" s="116">
        <v>-700</v>
      </c>
      <c r="CM146" s="43">
        <v>700</v>
      </c>
      <c r="CN146" s="43">
        <v>4485</v>
      </c>
      <c r="CO146" s="43">
        <v>0</v>
      </c>
      <c r="CP146" s="43">
        <v>0</v>
      </c>
      <c r="CQ146" s="43">
        <v>0</v>
      </c>
      <c r="CR146" s="43">
        <v>-5000</v>
      </c>
      <c r="CS146" s="43">
        <v>5000</v>
      </c>
      <c r="CT146" s="43">
        <v>-5300</v>
      </c>
      <c r="CU146" s="43">
        <v>5300</v>
      </c>
      <c r="CV146" s="43">
        <v>-4000</v>
      </c>
      <c r="CW146" s="43">
        <v>4000</v>
      </c>
      <c r="CX146" s="43">
        <v>-4800</v>
      </c>
      <c r="CY146" s="43">
        <v>4800</v>
      </c>
      <c r="CZ146" s="43">
        <v>12379.71611505</v>
      </c>
      <c r="DA146" s="43">
        <v>0</v>
      </c>
      <c r="DB146" s="114">
        <v>19800</v>
      </c>
      <c r="DC146" s="43"/>
      <c r="DD146" s="117">
        <v>32088.77</v>
      </c>
      <c r="DE146" s="55">
        <v>2193.31</v>
      </c>
      <c r="DF146" s="59">
        <v>1599.6443355250001</v>
      </c>
      <c r="DG146" s="59">
        <v>35881.724335525003</v>
      </c>
      <c r="DH146" s="117">
        <v>8546.5609999999997</v>
      </c>
      <c r="DI146" s="117">
        <v>56045.411</v>
      </c>
      <c r="DJ146" s="55">
        <v>7978</v>
      </c>
      <c r="DK146" s="114">
        <v>64023.411</v>
      </c>
      <c r="DL146" s="43"/>
      <c r="DM146" s="117">
        <v>630.96900000000005</v>
      </c>
      <c r="DN146" s="55">
        <v>10490.3985776968</v>
      </c>
      <c r="DO146" s="55">
        <v>11121.367577696801</v>
      </c>
      <c r="DP146" s="59">
        <v>1601.956469328378</v>
      </c>
      <c r="DQ146" s="59">
        <v>2897.904127127681</v>
      </c>
      <c r="DR146" s="59">
        <v>463.23149487000001</v>
      </c>
      <c r="DS146" s="55">
        <v>3361.135621997681</v>
      </c>
      <c r="DT146" s="55">
        <v>160.99467372931559</v>
      </c>
      <c r="DU146" s="55">
        <v>160.99467372931559</v>
      </c>
      <c r="DW146" s="121">
        <v>0</v>
      </c>
      <c r="DX146" s="122">
        <v>6779.6610170000004</v>
      </c>
      <c r="DY146" s="128">
        <v>1447.7400829999999</v>
      </c>
      <c r="DZ146" s="128">
        <v>0</v>
      </c>
      <c r="EA146" s="121">
        <v>0</v>
      </c>
      <c r="EB146" s="122">
        <v>574.84032626999999</v>
      </c>
      <c r="EC146" s="121">
        <v>0</v>
      </c>
      <c r="ED146" s="122">
        <v>1271.1864410000001</v>
      </c>
      <c r="EE146" s="121">
        <v>0</v>
      </c>
      <c r="EF146" s="122">
        <v>847.5</v>
      </c>
      <c r="EG146" s="121">
        <v>0</v>
      </c>
      <c r="EH146" s="122">
        <v>7397.5988710000001</v>
      </c>
      <c r="EI146" s="121">
        <v>0</v>
      </c>
      <c r="EJ146" s="122">
        <v>6779.6610170000004</v>
      </c>
      <c r="EK146" s="129">
        <v>574.84032626999999</v>
      </c>
      <c r="EL146" s="130">
        <v>847.5</v>
      </c>
      <c r="EM146" s="131">
        <v>735.83500000000004</v>
      </c>
      <c r="EN146" s="129">
        <v>463.23149487000001</v>
      </c>
      <c r="EO146" s="129">
        <v>10964.025395000001</v>
      </c>
      <c r="EP146" s="129">
        <v>0</v>
      </c>
      <c r="ER146" s="157">
        <v>0</v>
      </c>
      <c r="ES146" s="37">
        <v>0</v>
      </c>
      <c r="ET146" s="55">
        <f t="shared" si="19"/>
        <v>0</v>
      </c>
      <c r="EU146" s="157">
        <v>0</v>
      </c>
      <c r="EV146" s="37">
        <v>0</v>
      </c>
      <c r="EW146" s="55">
        <f t="shared" si="18"/>
        <v>0</v>
      </c>
      <c r="EY146" s="166">
        <v>2012.12705351</v>
      </c>
      <c r="EZ146" s="37">
        <v>0</v>
      </c>
      <c r="FA146" s="164">
        <f t="shared" si="20"/>
        <v>0.14790723402342551</v>
      </c>
      <c r="FB146" s="5">
        <v>3821.1880371500001</v>
      </c>
      <c r="FC146" s="164">
        <f t="shared" si="21"/>
        <v>0.82835205661174938</v>
      </c>
      <c r="FE146" s="5"/>
      <c r="FF146" s="166">
        <v>2897.4</v>
      </c>
      <c r="FG146" s="37">
        <v>0</v>
      </c>
      <c r="FH146" s="164">
        <f t="shared" si="22"/>
        <v>0.21751027532233547</v>
      </c>
      <c r="FI146" s="5">
        <v>3837</v>
      </c>
      <c r="FJ146" s="164">
        <f t="shared" si="23"/>
        <v>1</v>
      </c>
      <c r="FL146" s="169">
        <v>7873</v>
      </c>
      <c r="FM146" s="170">
        <f t="shared" si="24"/>
        <v>0.68245451314546257</v>
      </c>
      <c r="FN146" s="169">
        <v>2591</v>
      </c>
      <c r="FO146" s="170">
        <f t="shared" si="25"/>
        <v>0.82634348588741824</v>
      </c>
    </row>
    <row r="147" spans="16:171" x14ac:dyDescent="0.35">
      <c r="P147" s="64">
        <v>145</v>
      </c>
      <c r="Q147" s="109">
        <v>0</v>
      </c>
      <c r="R147" s="110">
        <v>0</v>
      </c>
      <c r="S147" s="111">
        <v>0</v>
      </c>
      <c r="T147" s="110">
        <v>0</v>
      </c>
      <c r="U147" s="111">
        <v>0</v>
      </c>
      <c r="V147" s="110">
        <v>0</v>
      </c>
      <c r="W147" s="111">
        <v>0</v>
      </c>
      <c r="X147" s="110">
        <v>0</v>
      </c>
      <c r="Y147" s="111">
        <v>0</v>
      </c>
      <c r="Z147" s="110">
        <v>0</v>
      </c>
      <c r="AA147" s="111">
        <v>0</v>
      </c>
      <c r="AB147" s="110">
        <v>0</v>
      </c>
      <c r="AC147" s="111">
        <v>0</v>
      </c>
      <c r="AD147" s="110">
        <v>0</v>
      </c>
      <c r="AF147" s="64">
        <v>145</v>
      </c>
      <c r="AG147" s="109">
        <v>46635.895199999999</v>
      </c>
      <c r="AH147" s="111">
        <v>1911.3</v>
      </c>
      <c r="AI147" s="109">
        <v>415.5</v>
      </c>
      <c r="AJ147" s="59">
        <v>0.52400000000000002</v>
      </c>
      <c r="AK147" s="59">
        <v>0.83099999999999996</v>
      </c>
      <c r="AL147" s="59">
        <v>0.83099999999999996</v>
      </c>
      <c r="AM147" s="110">
        <v>441.21800000000002</v>
      </c>
      <c r="AN147" s="111">
        <v>7219.0320000000002</v>
      </c>
      <c r="AO147" s="59">
        <v>0.68300000000000005</v>
      </c>
      <c r="AP147" s="55">
        <v>0.62</v>
      </c>
      <c r="AQ147" s="109">
        <v>25957.200000000001</v>
      </c>
      <c r="AR147" s="111">
        <v>21714.375</v>
      </c>
      <c r="AS147" s="59">
        <v>0.58199999999999996</v>
      </c>
      <c r="AT147" s="55">
        <v>0.92500000000000004</v>
      </c>
      <c r="AU147" s="43"/>
      <c r="AV147" s="109">
        <v>884.09500000000003</v>
      </c>
      <c r="AW147" s="110">
        <v>0.35900002436389922</v>
      </c>
      <c r="AX147" s="109">
        <v>919.899</v>
      </c>
      <c r="AY147" s="110">
        <v>0.57243248288736781</v>
      </c>
      <c r="AZ147" s="109">
        <v>1121.4780000000001</v>
      </c>
      <c r="BA147" s="110">
        <v>0.5784392407674851</v>
      </c>
      <c r="BB147" s="43"/>
      <c r="BC147" s="112">
        <v>53641.616999999998</v>
      </c>
      <c r="BD147" s="110">
        <v>0.77049180327868849</v>
      </c>
      <c r="BE147" s="43"/>
      <c r="BF147" s="157">
        <v>19895.514999999999</v>
      </c>
      <c r="BG147" s="43">
        <v>0</v>
      </c>
      <c r="BH147" s="113">
        <v>0</v>
      </c>
      <c r="BI147" s="114">
        <v>0.61029187116564421</v>
      </c>
      <c r="BJ147" s="115">
        <v>0</v>
      </c>
      <c r="BK147" s="113">
        <v>0</v>
      </c>
      <c r="BL147" s="113">
        <v>0</v>
      </c>
      <c r="BM147" s="113">
        <v>0</v>
      </c>
      <c r="BN147" s="113">
        <v>6119.268</v>
      </c>
      <c r="BO147" s="114">
        <v>0.4540189939160113</v>
      </c>
      <c r="BP147" s="115">
        <v>0</v>
      </c>
      <c r="BQ147" s="43">
        <v>7668</v>
      </c>
      <c r="BR147" s="43">
        <v>0</v>
      </c>
      <c r="BS147" s="43"/>
      <c r="BT147" s="116">
        <v>-700</v>
      </c>
      <c r="BU147" s="43">
        <v>0</v>
      </c>
      <c r="BV147" s="43">
        <v>4485</v>
      </c>
      <c r="BW147" s="43">
        <v>4485</v>
      </c>
      <c r="BX147" s="43">
        <v>0</v>
      </c>
      <c r="BY147" s="43">
        <v>0</v>
      </c>
      <c r="BZ147" s="43">
        <v>-5000</v>
      </c>
      <c r="CA147" s="43">
        <v>0</v>
      </c>
      <c r="CB147" s="43">
        <v>-5300</v>
      </c>
      <c r="CC147" s="43">
        <v>0</v>
      </c>
      <c r="CD147" s="43">
        <v>-4000</v>
      </c>
      <c r="CE147" s="43">
        <v>0</v>
      </c>
      <c r="CF147" s="43">
        <v>-4800</v>
      </c>
      <c r="CG147" s="43">
        <v>0</v>
      </c>
      <c r="CH147" s="43">
        <v>14639.132617020001</v>
      </c>
      <c r="CI147" s="43">
        <v>14639.132617020001</v>
      </c>
      <c r="CJ147" s="114">
        <v>19124.132617020001</v>
      </c>
      <c r="CK147" s="43"/>
      <c r="CL147" s="116">
        <v>-700</v>
      </c>
      <c r="CM147" s="43">
        <v>700</v>
      </c>
      <c r="CN147" s="43">
        <v>4485</v>
      </c>
      <c r="CO147" s="43">
        <v>0</v>
      </c>
      <c r="CP147" s="43">
        <v>0</v>
      </c>
      <c r="CQ147" s="43">
        <v>0</v>
      </c>
      <c r="CR147" s="43">
        <v>-5000</v>
      </c>
      <c r="CS147" s="43">
        <v>5000</v>
      </c>
      <c r="CT147" s="43">
        <v>-5300</v>
      </c>
      <c r="CU147" s="43">
        <v>5300</v>
      </c>
      <c r="CV147" s="43">
        <v>-4000</v>
      </c>
      <c r="CW147" s="43">
        <v>4000</v>
      </c>
      <c r="CX147" s="43">
        <v>-4800</v>
      </c>
      <c r="CY147" s="43">
        <v>4800</v>
      </c>
      <c r="CZ147" s="43">
        <v>14639.132617020001</v>
      </c>
      <c r="DA147" s="43">
        <v>0</v>
      </c>
      <c r="DB147" s="114">
        <v>19800</v>
      </c>
      <c r="DC147" s="43"/>
      <c r="DD147" s="117">
        <v>30518.436000000002</v>
      </c>
      <c r="DE147" s="55">
        <v>2115.34</v>
      </c>
      <c r="DF147" s="59">
        <v>1275.0043948544001</v>
      </c>
      <c r="DG147" s="59">
        <v>33908.780394854402</v>
      </c>
      <c r="DH147" s="117">
        <v>7957.4250000000002</v>
      </c>
      <c r="DI147" s="117">
        <v>55114.411</v>
      </c>
      <c r="DJ147" s="55">
        <v>8072</v>
      </c>
      <c r="DK147" s="114">
        <v>63186.411</v>
      </c>
      <c r="DL147" s="43"/>
      <c r="DM147" s="117">
        <v>667.68399999999997</v>
      </c>
      <c r="DN147" s="55">
        <v>10490.3985776968</v>
      </c>
      <c r="DO147" s="55">
        <v>11158.082577696799</v>
      </c>
      <c r="DP147" s="59">
        <v>1455.3989030504879</v>
      </c>
      <c r="DQ147" s="59">
        <v>2897.8863782272761</v>
      </c>
      <c r="DR147" s="59">
        <v>463.24924377000002</v>
      </c>
      <c r="DS147" s="55">
        <v>3361.1356219972758</v>
      </c>
      <c r="DT147" s="55">
        <v>160.9936876792932</v>
      </c>
      <c r="DU147" s="55">
        <v>160.9936876792932</v>
      </c>
      <c r="DW147" s="121">
        <v>0</v>
      </c>
      <c r="DX147" s="122">
        <v>6779.6610170000004</v>
      </c>
      <c r="DY147" s="128">
        <v>1447.7400829999999</v>
      </c>
      <c r="DZ147" s="128">
        <v>0</v>
      </c>
      <c r="EA147" s="121">
        <v>0</v>
      </c>
      <c r="EB147" s="122">
        <v>244.84131231999999</v>
      </c>
      <c r="EC147" s="121">
        <v>0</v>
      </c>
      <c r="ED147" s="122">
        <v>1271.1864410000001</v>
      </c>
      <c r="EE147" s="121">
        <v>0</v>
      </c>
      <c r="EF147" s="122">
        <v>847.5</v>
      </c>
      <c r="EG147" s="121">
        <v>0</v>
      </c>
      <c r="EH147" s="122">
        <v>7397.5988710000001</v>
      </c>
      <c r="EI147" s="121">
        <v>0</v>
      </c>
      <c r="EJ147" s="122">
        <v>6779.6610170000004</v>
      </c>
      <c r="EK147" s="129">
        <v>244.84131231999999</v>
      </c>
      <c r="EL147" s="130">
        <v>847.5</v>
      </c>
      <c r="EM147" s="131">
        <v>735.83500000000004</v>
      </c>
      <c r="EN147" s="129">
        <v>463.24924377000002</v>
      </c>
      <c r="EO147" s="129">
        <v>10964.025395000001</v>
      </c>
      <c r="EP147" s="129">
        <v>0</v>
      </c>
      <c r="ER147" s="157">
        <v>0</v>
      </c>
      <c r="ES147" s="37">
        <v>0</v>
      </c>
      <c r="ET147" s="55">
        <f t="shared" si="19"/>
        <v>0</v>
      </c>
      <c r="EU147" s="157">
        <v>0</v>
      </c>
      <c r="EV147" s="37">
        <v>0</v>
      </c>
      <c r="EW147" s="55">
        <f t="shared" si="18"/>
        <v>0</v>
      </c>
      <c r="EY147" s="166">
        <v>0</v>
      </c>
      <c r="EZ147" s="37">
        <v>0</v>
      </c>
      <c r="FA147" s="164">
        <f t="shared" si="20"/>
        <v>0</v>
      </c>
      <c r="FB147" s="5">
        <v>0</v>
      </c>
      <c r="FC147" s="164">
        <f t="shared" si="21"/>
        <v>0</v>
      </c>
      <c r="FE147" s="5"/>
      <c r="FF147" s="166">
        <v>2897.4</v>
      </c>
      <c r="FG147" s="37">
        <v>0</v>
      </c>
      <c r="FH147" s="164">
        <f t="shared" si="22"/>
        <v>0.21751027532233547</v>
      </c>
      <c r="FI147" s="5">
        <v>1997.73478099</v>
      </c>
      <c r="FJ147" s="164">
        <f t="shared" si="23"/>
        <v>0.52065019051081574</v>
      </c>
      <c r="FL147" s="169">
        <v>7873</v>
      </c>
      <c r="FM147" s="170">
        <f t="shared" si="24"/>
        <v>0.68245451314546257</v>
      </c>
      <c r="FN147" s="169">
        <v>2591</v>
      </c>
      <c r="FO147" s="170">
        <f t="shared" si="25"/>
        <v>0.82634348588741824</v>
      </c>
    </row>
    <row r="148" spans="16:171" x14ac:dyDescent="0.35">
      <c r="P148" s="64">
        <v>146</v>
      </c>
      <c r="Q148" s="109">
        <v>0</v>
      </c>
      <c r="R148" s="110">
        <v>0</v>
      </c>
      <c r="S148" s="111">
        <v>0</v>
      </c>
      <c r="T148" s="110">
        <v>0</v>
      </c>
      <c r="U148" s="111">
        <v>0</v>
      </c>
      <c r="V148" s="110">
        <v>0</v>
      </c>
      <c r="W148" s="111">
        <v>0</v>
      </c>
      <c r="X148" s="110">
        <v>0</v>
      </c>
      <c r="Y148" s="111">
        <v>0</v>
      </c>
      <c r="Z148" s="110">
        <v>0</v>
      </c>
      <c r="AA148" s="111">
        <v>0</v>
      </c>
      <c r="AB148" s="110">
        <v>0</v>
      </c>
      <c r="AC148" s="111">
        <v>0</v>
      </c>
      <c r="AD148" s="110">
        <v>0</v>
      </c>
      <c r="AF148" s="64">
        <v>146</v>
      </c>
      <c r="AG148" s="109">
        <v>50195.887199999997</v>
      </c>
      <c r="AH148" s="111">
        <v>1948.1</v>
      </c>
      <c r="AI148" s="109">
        <v>423.5</v>
      </c>
      <c r="AJ148" s="59">
        <v>0.56399999999999995</v>
      </c>
      <c r="AK148" s="59">
        <v>0.84699999999999998</v>
      </c>
      <c r="AL148" s="59">
        <v>0.84699999999999998</v>
      </c>
      <c r="AM148" s="110">
        <v>454.78399999999999</v>
      </c>
      <c r="AN148" s="111">
        <v>8243.6687999999995</v>
      </c>
      <c r="AO148" s="59">
        <v>0.70399999999999996</v>
      </c>
      <c r="AP148" s="55">
        <v>0.70799999999999996</v>
      </c>
      <c r="AQ148" s="109">
        <v>30149.599999999999</v>
      </c>
      <c r="AR148" s="111">
        <v>21432.674999999999</v>
      </c>
      <c r="AS148" s="59">
        <v>0.67599999999999993</v>
      </c>
      <c r="AT148" s="55">
        <v>0.91299999999999992</v>
      </c>
      <c r="AU148" s="43"/>
      <c r="AV148" s="109">
        <v>884.09500000000003</v>
      </c>
      <c r="AW148" s="110">
        <v>0.35900002436389922</v>
      </c>
      <c r="AX148" s="109">
        <v>922.79899999999998</v>
      </c>
      <c r="AY148" s="110">
        <v>0.57423708774113258</v>
      </c>
      <c r="AZ148" s="109">
        <v>1121.4780000000001</v>
      </c>
      <c r="BA148" s="110">
        <v>0.5784392407674851</v>
      </c>
      <c r="BB148" s="43"/>
      <c r="BC148" s="112">
        <v>53641.616999999998</v>
      </c>
      <c r="BD148" s="110">
        <v>0.77049180327868849</v>
      </c>
      <c r="BE148" s="43"/>
      <c r="BF148" s="157">
        <v>21433.611000000001</v>
      </c>
      <c r="BG148" s="43">
        <v>0</v>
      </c>
      <c r="BH148" s="113">
        <v>0</v>
      </c>
      <c r="BI148" s="114">
        <v>0.65747273006134976</v>
      </c>
      <c r="BJ148" s="115">
        <v>0</v>
      </c>
      <c r="BK148" s="113">
        <v>0</v>
      </c>
      <c r="BL148" s="113">
        <v>0</v>
      </c>
      <c r="BM148" s="113">
        <v>0</v>
      </c>
      <c r="BN148" s="113">
        <v>6305.2460000000001</v>
      </c>
      <c r="BO148" s="114">
        <v>0.46781762872829796</v>
      </c>
      <c r="BP148" s="115">
        <v>0</v>
      </c>
      <c r="BQ148" s="43">
        <v>7668</v>
      </c>
      <c r="BR148" s="43">
        <v>0</v>
      </c>
      <c r="BS148" s="43"/>
      <c r="BT148" s="116">
        <v>-700</v>
      </c>
      <c r="BU148" s="43">
        <v>0</v>
      </c>
      <c r="BV148" s="43">
        <v>4485</v>
      </c>
      <c r="BW148" s="43">
        <v>4485</v>
      </c>
      <c r="BX148" s="43">
        <v>0</v>
      </c>
      <c r="BY148" s="43">
        <v>0</v>
      </c>
      <c r="BZ148" s="43">
        <v>-5000</v>
      </c>
      <c r="CA148" s="43">
        <v>0</v>
      </c>
      <c r="CB148" s="43">
        <v>-5300</v>
      </c>
      <c r="CC148" s="43">
        <v>0</v>
      </c>
      <c r="CD148" s="43">
        <v>-4000</v>
      </c>
      <c r="CE148" s="43">
        <v>0</v>
      </c>
      <c r="CF148" s="43">
        <v>-4800</v>
      </c>
      <c r="CG148" s="43">
        <v>0</v>
      </c>
      <c r="CH148" s="43">
        <v>16513.29453191</v>
      </c>
      <c r="CI148" s="43">
        <v>16513.29453191</v>
      </c>
      <c r="CJ148" s="114">
        <v>20998.29453191</v>
      </c>
      <c r="CK148" s="43"/>
      <c r="CL148" s="116">
        <v>-700</v>
      </c>
      <c r="CM148" s="43">
        <v>700</v>
      </c>
      <c r="CN148" s="43">
        <v>4485</v>
      </c>
      <c r="CO148" s="43">
        <v>0</v>
      </c>
      <c r="CP148" s="43">
        <v>0</v>
      </c>
      <c r="CQ148" s="43">
        <v>0</v>
      </c>
      <c r="CR148" s="43">
        <v>-5000</v>
      </c>
      <c r="CS148" s="43">
        <v>5000</v>
      </c>
      <c r="CT148" s="43">
        <v>-5300</v>
      </c>
      <c r="CU148" s="43">
        <v>5300</v>
      </c>
      <c r="CV148" s="43">
        <v>-4000</v>
      </c>
      <c r="CW148" s="43">
        <v>4000</v>
      </c>
      <c r="CX148" s="43">
        <v>-4800</v>
      </c>
      <c r="CY148" s="43">
        <v>4800</v>
      </c>
      <c r="CZ148" s="43">
        <v>16513.29453191</v>
      </c>
      <c r="DA148" s="43">
        <v>0</v>
      </c>
      <c r="DB148" s="114">
        <v>19800</v>
      </c>
      <c r="DC148" s="43"/>
      <c r="DD148" s="117">
        <v>28686.294999999998</v>
      </c>
      <c r="DE148" s="55">
        <v>2040.8309999999999</v>
      </c>
      <c r="DF148" s="59">
        <v>967.56677635230005</v>
      </c>
      <c r="DG148" s="59">
        <v>31694.692776352298</v>
      </c>
      <c r="DH148" s="117">
        <v>7541.326</v>
      </c>
      <c r="DI148" s="117">
        <v>53600.411</v>
      </c>
      <c r="DJ148" s="55">
        <v>8073</v>
      </c>
      <c r="DK148" s="114">
        <v>61673.411</v>
      </c>
      <c r="DL148" s="43"/>
      <c r="DM148" s="117">
        <v>693.5</v>
      </c>
      <c r="DN148" s="55">
        <v>10490.3985776968</v>
      </c>
      <c r="DO148" s="55">
        <v>11183.8985776968</v>
      </c>
      <c r="DP148" s="59">
        <v>1455.3989030504879</v>
      </c>
      <c r="DQ148" s="59">
        <v>2897.8863782272761</v>
      </c>
      <c r="DR148" s="59">
        <v>463.24924377000002</v>
      </c>
      <c r="DS148" s="55">
        <v>3361.1356219972758</v>
      </c>
      <c r="DT148" s="55">
        <v>160.9936876792932</v>
      </c>
      <c r="DU148" s="55">
        <v>160.9936876792932</v>
      </c>
      <c r="DW148" s="121">
        <v>0</v>
      </c>
      <c r="DX148" s="122">
        <v>6779.6610170000004</v>
      </c>
      <c r="DY148" s="128">
        <v>1447.7400829999999</v>
      </c>
      <c r="DZ148" s="128">
        <v>0</v>
      </c>
      <c r="EA148" s="121">
        <v>0</v>
      </c>
      <c r="EB148" s="122">
        <v>244.84131231999999</v>
      </c>
      <c r="EC148" s="121">
        <v>0</v>
      </c>
      <c r="ED148" s="122">
        <v>1271.1864410000001</v>
      </c>
      <c r="EE148" s="121">
        <v>0</v>
      </c>
      <c r="EF148" s="122">
        <v>847.5</v>
      </c>
      <c r="EG148" s="121">
        <v>0</v>
      </c>
      <c r="EH148" s="122">
        <v>7397.5988710000001</v>
      </c>
      <c r="EI148" s="121">
        <v>0</v>
      </c>
      <c r="EJ148" s="122">
        <v>6779.6610170000004</v>
      </c>
      <c r="EK148" s="129">
        <v>244.84131231999999</v>
      </c>
      <c r="EL148" s="130">
        <v>847.5</v>
      </c>
      <c r="EM148" s="131">
        <v>735.83500000000004</v>
      </c>
      <c r="EN148" s="129">
        <v>463.24924377000002</v>
      </c>
      <c r="EO148" s="129">
        <v>10964.025395000001</v>
      </c>
      <c r="EP148" s="129">
        <v>0</v>
      </c>
      <c r="ER148" s="157">
        <v>0</v>
      </c>
      <c r="ES148" s="37">
        <v>0</v>
      </c>
      <c r="ET148" s="55">
        <f t="shared" si="19"/>
        <v>0</v>
      </c>
      <c r="EU148" s="157">
        <v>0</v>
      </c>
      <c r="EV148" s="37">
        <v>0</v>
      </c>
      <c r="EW148" s="55">
        <f t="shared" si="18"/>
        <v>0</v>
      </c>
      <c r="EY148" s="166">
        <v>7817.5124999999998</v>
      </c>
      <c r="EZ148" s="37">
        <v>0</v>
      </c>
      <c r="FA148" s="164">
        <f t="shared" si="20"/>
        <v>0.57464892627010622</v>
      </c>
      <c r="FB148" s="5">
        <v>0</v>
      </c>
      <c r="FC148" s="164">
        <f t="shared" si="21"/>
        <v>0</v>
      </c>
      <c r="FE148" s="5"/>
      <c r="FF148" s="166">
        <v>2897.4</v>
      </c>
      <c r="FG148" s="37">
        <v>10423.35</v>
      </c>
      <c r="FH148" s="164">
        <f t="shared" si="22"/>
        <v>1</v>
      </c>
      <c r="FI148" s="5">
        <v>3837</v>
      </c>
      <c r="FJ148" s="164">
        <f t="shared" si="23"/>
        <v>1</v>
      </c>
      <c r="FL148" s="169">
        <v>7873</v>
      </c>
      <c r="FM148" s="170">
        <f t="shared" si="24"/>
        <v>0.68245451314546257</v>
      </c>
      <c r="FN148" s="169">
        <v>2591</v>
      </c>
      <c r="FO148" s="170">
        <f t="shared" si="25"/>
        <v>0.82634348588741824</v>
      </c>
    </row>
    <row r="149" spans="16:171" x14ac:dyDescent="0.35">
      <c r="P149" s="64">
        <v>147</v>
      </c>
      <c r="Q149" s="109">
        <v>0</v>
      </c>
      <c r="R149" s="110">
        <v>0</v>
      </c>
      <c r="S149" s="111">
        <v>0</v>
      </c>
      <c r="T149" s="110">
        <v>0</v>
      </c>
      <c r="U149" s="111">
        <v>0</v>
      </c>
      <c r="V149" s="110">
        <v>0</v>
      </c>
      <c r="W149" s="111">
        <v>0</v>
      </c>
      <c r="X149" s="110">
        <v>0</v>
      </c>
      <c r="Y149" s="111">
        <v>0</v>
      </c>
      <c r="Z149" s="110">
        <v>0</v>
      </c>
      <c r="AA149" s="111">
        <v>0</v>
      </c>
      <c r="AB149" s="110">
        <v>0</v>
      </c>
      <c r="AC149" s="111">
        <v>0</v>
      </c>
      <c r="AD149" s="110">
        <v>0</v>
      </c>
      <c r="AF149" s="64">
        <v>147</v>
      </c>
      <c r="AG149" s="109">
        <v>53755.879200000003</v>
      </c>
      <c r="AH149" s="111">
        <v>1978</v>
      </c>
      <c r="AI149" s="109">
        <v>430</v>
      </c>
      <c r="AJ149" s="59">
        <v>0.60399999999999998</v>
      </c>
      <c r="AK149" s="59">
        <v>0.86</v>
      </c>
      <c r="AL149" s="59">
        <v>0.86</v>
      </c>
      <c r="AM149" s="110">
        <v>468.99599999999998</v>
      </c>
      <c r="AN149" s="111">
        <v>8755.9871999999996</v>
      </c>
      <c r="AO149" s="59">
        <v>0.72599999999999998</v>
      </c>
      <c r="AP149" s="55">
        <v>0.75199999999999989</v>
      </c>
      <c r="AQ149" s="109">
        <v>33450</v>
      </c>
      <c r="AR149" s="111">
        <v>21150.974999999999</v>
      </c>
      <c r="AS149" s="59">
        <v>0.75</v>
      </c>
      <c r="AT149" s="55">
        <v>0.90099999999999991</v>
      </c>
      <c r="AU149" s="43"/>
      <c r="AV149" s="109">
        <v>886.55799999999999</v>
      </c>
      <c r="AW149" s="110">
        <v>0.3600001624259947</v>
      </c>
      <c r="AX149" s="109">
        <v>926.03700000000003</v>
      </c>
      <c r="AY149" s="110">
        <v>0.57625202240199136</v>
      </c>
      <c r="AZ149" s="109">
        <v>1121.4780000000001</v>
      </c>
      <c r="BA149" s="110">
        <v>0.5784392407674851</v>
      </c>
      <c r="BB149" s="43"/>
      <c r="BC149" s="112">
        <v>53641.616999999998</v>
      </c>
      <c r="BD149" s="110">
        <v>0.77049180327868849</v>
      </c>
      <c r="BE149" s="43"/>
      <c r="BF149" s="157">
        <v>22964.167000000001</v>
      </c>
      <c r="BG149" s="43">
        <v>0</v>
      </c>
      <c r="BH149" s="113">
        <v>0</v>
      </c>
      <c r="BI149" s="114">
        <v>0.70442230061349698</v>
      </c>
      <c r="BJ149" s="115">
        <v>0</v>
      </c>
      <c r="BK149" s="113">
        <v>0</v>
      </c>
      <c r="BL149" s="113">
        <v>0</v>
      </c>
      <c r="BM149" s="113">
        <v>0</v>
      </c>
      <c r="BN149" s="113">
        <v>6507.5330000000004</v>
      </c>
      <c r="BO149" s="114">
        <v>0.48282630954147504</v>
      </c>
      <c r="BP149" s="115">
        <v>0</v>
      </c>
      <c r="BQ149" s="43">
        <v>7668</v>
      </c>
      <c r="BR149" s="43">
        <v>0</v>
      </c>
      <c r="BS149" s="43"/>
      <c r="BT149" s="116">
        <v>-700</v>
      </c>
      <c r="BU149" s="43">
        <v>0</v>
      </c>
      <c r="BV149" s="43">
        <v>4485</v>
      </c>
      <c r="BW149" s="43">
        <v>4485</v>
      </c>
      <c r="BX149" s="43">
        <v>0</v>
      </c>
      <c r="BY149" s="43">
        <v>0</v>
      </c>
      <c r="BZ149" s="43">
        <v>-5000</v>
      </c>
      <c r="CA149" s="43">
        <v>0</v>
      </c>
      <c r="CB149" s="43">
        <v>-5300</v>
      </c>
      <c r="CC149" s="43">
        <v>0</v>
      </c>
      <c r="CD149" s="43">
        <v>-4000</v>
      </c>
      <c r="CE149" s="43">
        <v>0</v>
      </c>
      <c r="CF149" s="43">
        <v>-4800</v>
      </c>
      <c r="CG149" s="43">
        <v>0</v>
      </c>
      <c r="CH149" s="43">
        <v>22339.958574470002</v>
      </c>
      <c r="CI149" s="43">
        <v>22339.958574470002</v>
      </c>
      <c r="CJ149" s="114">
        <v>26824.958574470002</v>
      </c>
      <c r="CK149" s="43"/>
      <c r="CL149" s="116">
        <v>-700</v>
      </c>
      <c r="CM149" s="43">
        <v>700</v>
      </c>
      <c r="CN149" s="43">
        <v>4485</v>
      </c>
      <c r="CO149" s="43">
        <v>0</v>
      </c>
      <c r="CP149" s="43">
        <v>0</v>
      </c>
      <c r="CQ149" s="43">
        <v>0</v>
      </c>
      <c r="CR149" s="43">
        <v>-5000</v>
      </c>
      <c r="CS149" s="43">
        <v>5000</v>
      </c>
      <c r="CT149" s="43">
        <v>-5300</v>
      </c>
      <c r="CU149" s="43">
        <v>5300</v>
      </c>
      <c r="CV149" s="43">
        <v>-4000</v>
      </c>
      <c r="CW149" s="43">
        <v>4000</v>
      </c>
      <c r="CX149" s="43">
        <v>-4800</v>
      </c>
      <c r="CY149" s="43">
        <v>4800</v>
      </c>
      <c r="CZ149" s="43">
        <v>22339.958574470002</v>
      </c>
      <c r="DA149" s="43">
        <v>0</v>
      </c>
      <c r="DB149" s="114">
        <v>19800</v>
      </c>
      <c r="DC149" s="43"/>
      <c r="DD149" s="117">
        <v>27467.654999999999</v>
      </c>
      <c r="DE149" s="55">
        <v>1992.9269999999999</v>
      </c>
      <c r="DF149" s="59">
        <v>1581.5952864992</v>
      </c>
      <c r="DG149" s="59">
        <v>31042.177286499198</v>
      </c>
      <c r="DH149" s="117">
        <v>7143.91</v>
      </c>
      <c r="DI149" s="117">
        <v>51701.411</v>
      </c>
      <c r="DJ149" s="55">
        <v>8095</v>
      </c>
      <c r="DK149" s="114">
        <v>59796.411</v>
      </c>
      <c r="DL149" s="43"/>
      <c r="DM149" s="117">
        <v>752.06799999999998</v>
      </c>
      <c r="DN149" s="55">
        <v>10490.3985776968</v>
      </c>
      <c r="DO149" s="55">
        <v>11242.4665776968</v>
      </c>
      <c r="DP149" s="59">
        <v>1455.3989030504879</v>
      </c>
      <c r="DQ149" s="59">
        <v>2897.8863782272761</v>
      </c>
      <c r="DR149" s="59">
        <v>463.24924377000002</v>
      </c>
      <c r="DS149" s="55">
        <v>3361.1356219972758</v>
      </c>
      <c r="DT149" s="55">
        <v>160.9936876792932</v>
      </c>
      <c r="DU149" s="55">
        <v>160.9936876792932</v>
      </c>
      <c r="DW149" s="121">
        <v>0</v>
      </c>
      <c r="DX149" s="122">
        <v>6779.6610170000004</v>
      </c>
      <c r="DY149" s="128">
        <v>1447.7400829999999</v>
      </c>
      <c r="DZ149" s="128">
        <v>0</v>
      </c>
      <c r="EA149" s="121">
        <v>0</v>
      </c>
      <c r="EB149" s="122">
        <v>244.84131231999999</v>
      </c>
      <c r="EC149" s="121">
        <v>0</v>
      </c>
      <c r="ED149" s="122">
        <v>1271.1864410000001</v>
      </c>
      <c r="EE149" s="121">
        <v>0</v>
      </c>
      <c r="EF149" s="122">
        <v>847.5</v>
      </c>
      <c r="EG149" s="121">
        <v>0</v>
      </c>
      <c r="EH149" s="122">
        <v>7397.5988710000001</v>
      </c>
      <c r="EI149" s="121">
        <v>0</v>
      </c>
      <c r="EJ149" s="122">
        <v>6779.6610170000004</v>
      </c>
      <c r="EK149" s="129">
        <v>244.84131231999999</v>
      </c>
      <c r="EL149" s="130">
        <v>847.5</v>
      </c>
      <c r="EM149" s="131">
        <v>735.83500000000004</v>
      </c>
      <c r="EN149" s="129">
        <v>463.24924377000002</v>
      </c>
      <c r="EO149" s="129">
        <v>10964.025395000001</v>
      </c>
      <c r="EP149" s="129">
        <v>0</v>
      </c>
      <c r="ER149" s="157">
        <v>0</v>
      </c>
      <c r="ES149" s="37">
        <v>0</v>
      </c>
      <c r="ET149" s="55">
        <f t="shared" si="19"/>
        <v>0</v>
      </c>
      <c r="EU149" s="157">
        <v>0</v>
      </c>
      <c r="EV149" s="37">
        <v>0</v>
      </c>
      <c r="EW149" s="55">
        <f t="shared" si="18"/>
        <v>0</v>
      </c>
      <c r="EY149" s="166">
        <v>7817.5124999999998</v>
      </c>
      <c r="EZ149" s="37">
        <v>0</v>
      </c>
      <c r="FA149" s="164">
        <f t="shared" si="20"/>
        <v>0.57464892627010622</v>
      </c>
      <c r="FB149" s="5">
        <v>0</v>
      </c>
      <c r="FC149" s="164">
        <f t="shared" si="21"/>
        <v>0</v>
      </c>
      <c r="FE149" s="5"/>
      <c r="FF149" s="166">
        <v>2897.4</v>
      </c>
      <c r="FG149" s="37">
        <v>10423.35</v>
      </c>
      <c r="FH149" s="164">
        <f t="shared" si="22"/>
        <v>1</v>
      </c>
      <c r="FI149" s="5">
        <v>3837</v>
      </c>
      <c r="FJ149" s="164">
        <f t="shared" si="23"/>
        <v>1</v>
      </c>
      <c r="FL149" s="169">
        <v>7873</v>
      </c>
      <c r="FM149" s="170">
        <f t="shared" si="24"/>
        <v>0.68245451314546257</v>
      </c>
      <c r="FN149" s="169">
        <v>2591</v>
      </c>
      <c r="FO149" s="170">
        <f t="shared" si="25"/>
        <v>0.82634348588741824</v>
      </c>
    </row>
    <row r="150" spans="16:171" x14ac:dyDescent="0.35">
      <c r="P150" s="64">
        <v>148</v>
      </c>
      <c r="Q150" s="109">
        <v>0</v>
      </c>
      <c r="R150" s="110">
        <v>0</v>
      </c>
      <c r="S150" s="111">
        <v>0</v>
      </c>
      <c r="T150" s="110">
        <v>0</v>
      </c>
      <c r="U150" s="111">
        <v>0</v>
      </c>
      <c r="V150" s="110">
        <v>0</v>
      </c>
      <c r="W150" s="111">
        <v>0</v>
      </c>
      <c r="X150" s="110">
        <v>0</v>
      </c>
      <c r="Y150" s="111">
        <v>0</v>
      </c>
      <c r="Z150" s="110">
        <v>0</v>
      </c>
      <c r="AA150" s="111">
        <v>0</v>
      </c>
      <c r="AB150" s="110">
        <v>0</v>
      </c>
      <c r="AC150" s="111">
        <v>0</v>
      </c>
      <c r="AD150" s="110">
        <v>0</v>
      </c>
      <c r="AF150" s="64">
        <v>148</v>
      </c>
      <c r="AG150" s="109">
        <v>57582.870600000002</v>
      </c>
      <c r="AH150" s="111">
        <v>2010.2</v>
      </c>
      <c r="AI150" s="109">
        <v>437</v>
      </c>
      <c r="AJ150" s="59">
        <v>0.64700000000000002</v>
      </c>
      <c r="AK150" s="59">
        <v>0.874</v>
      </c>
      <c r="AL150" s="59">
        <v>0.874</v>
      </c>
      <c r="AM150" s="110">
        <v>473.51799999999997</v>
      </c>
      <c r="AN150" s="111">
        <v>9175.1568000000007</v>
      </c>
      <c r="AO150" s="59">
        <v>0.73299999999999998</v>
      </c>
      <c r="AP150" s="55">
        <v>0.78800000000000003</v>
      </c>
      <c r="AQ150" s="109">
        <v>35546.199999999997</v>
      </c>
      <c r="AR150" s="111">
        <v>20611.05</v>
      </c>
      <c r="AS150" s="59">
        <v>0.79699999999999993</v>
      </c>
      <c r="AT150" s="55">
        <v>0.878</v>
      </c>
      <c r="AU150" s="43"/>
      <c r="AV150" s="109">
        <v>886.55799999999999</v>
      </c>
      <c r="AW150" s="110">
        <v>0.3600001624259947</v>
      </c>
      <c r="AX150" s="109">
        <v>932.17399999999998</v>
      </c>
      <c r="AY150" s="110">
        <v>0.58007093963907896</v>
      </c>
      <c r="AZ150" s="109">
        <v>1121.4780000000001</v>
      </c>
      <c r="BA150" s="110">
        <v>0.5784392407674851</v>
      </c>
      <c r="BB150" s="43"/>
      <c r="BC150" s="112">
        <v>53641.616999999998</v>
      </c>
      <c r="BD150" s="110">
        <v>0.77049180327868849</v>
      </c>
      <c r="BE150" s="43"/>
      <c r="BF150" s="157">
        <v>24578.392</v>
      </c>
      <c r="BG150" s="43">
        <v>0</v>
      </c>
      <c r="BH150" s="113">
        <v>0</v>
      </c>
      <c r="BI150" s="114">
        <v>0.75393840490797548</v>
      </c>
      <c r="BJ150" s="115">
        <v>0</v>
      </c>
      <c r="BK150" s="113">
        <v>0</v>
      </c>
      <c r="BL150" s="113">
        <v>0</v>
      </c>
      <c r="BM150" s="113">
        <v>0</v>
      </c>
      <c r="BN150" s="113">
        <v>6567.3729999999996</v>
      </c>
      <c r="BO150" s="114">
        <v>0.48726613740911112</v>
      </c>
      <c r="BP150" s="115">
        <v>0</v>
      </c>
      <c r="BQ150" s="43">
        <v>7668</v>
      </c>
      <c r="BR150" s="43">
        <v>0</v>
      </c>
      <c r="BS150" s="43"/>
      <c r="BT150" s="116">
        <v>-700</v>
      </c>
      <c r="BU150" s="43">
        <v>0</v>
      </c>
      <c r="BV150" s="43">
        <v>4485</v>
      </c>
      <c r="BW150" s="43">
        <v>4485</v>
      </c>
      <c r="BX150" s="43">
        <v>0</v>
      </c>
      <c r="BY150" s="43">
        <v>0</v>
      </c>
      <c r="BZ150" s="43">
        <v>-5000</v>
      </c>
      <c r="CA150" s="43">
        <v>0</v>
      </c>
      <c r="CB150" s="43">
        <v>-5300</v>
      </c>
      <c r="CC150" s="43">
        <v>0</v>
      </c>
      <c r="CD150" s="43">
        <v>-4000</v>
      </c>
      <c r="CE150" s="43">
        <v>0</v>
      </c>
      <c r="CF150" s="43">
        <v>-4800</v>
      </c>
      <c r="CG150" s="43">
        <v>0</v>
      </c>
      <c r="CH150" s="43">
        <v>38048.08338787</v>
      </c>
      <c r="CI150" s="43">
        <v>38048.08338787</v>
      </c>
      <c r="CJ150" s="114">
        <v>42533.08338787</v>
      </c>
      <c r="CK150" s="43"/>
      <c r="CL150" s="116">
        <v>-700</v>
      </c>
      <c r="CM150" s="43">
        <v>700</v>
      </c>
      <c r="CN150" s="43">
        <v>4485</v>
      </c>
      <c r="CO150" s="43">
        <v>0</v>
      </c>
      <c r="CP150" s="43">
        <v>0</v>
      </c>
      <c r="CQ150" s="43">
        <v>0</v>
      </c>
      <c r="CR150" s="43">
        <v>-5000</v>
      </c>
      <c r="CS150" s="43">
        <v>5000</v>
      </c>
      <c r="CT150" s="43">
        <v>-5300</v>
      </c>
      <c r="CU150" s="43">
        <v>5300</v>
      </c>
      <c r="CV150" s="43">
        <v>-4000</v>
      </c>
      <c r="CW150" s="43">
        <v>4000</v>
      </c>
      <c r="CX150" s="43">
        <v>-4800</v>
      </c>
      <c r="CY150" s="43">
        <v>4800</v>
      </c>
      <c r="CZ150" s="43">
        <v>38048.08338787</v>
      </c>
      <c r="DA150" s="43">
        <v>0</v>
      </c>
      <c r="DB150" s="114">
        <v>19800</v>
      </c>
      <c r="DC150" s="43"/>
      <c r="DD150" s="117">
        <v>26794.48</v>
      </c>
      <c r="DE150" s="55">
        <v>1963.6559999999999</v>
      </c>
      <c r="DF150" s="59">
        <v>2498.7366734859002</v>
      </c>
      <c r="DG150" s="59">
        <v>31256.872673485897</v>
      </c>
      <c r="DH150" s="117">
        <v>6954.5510000000004</v>
      </c>
      <c r="DI150" s="117">
        <v>50110.411</v>
      </c>
      <c r="DJ150" s="55">
        <v>7869</v>
      </c>
      <c r="DK150" s="114">
        <v>57979.411</v>
      </c>
      <c r="DL150" s="43"/>
      <c r="DM150" s="117">
        <v>841.47900000000004</v>
      </c>
      <c r="DN150" s="55">
        <v>10490.3985776968</v>
      </c>
      <c r="DO150" s="55">
        <v>11331.8775776968</v>
      </c>
      <c r="DP150" s="59">
        <v>1455.3989030504879</v>
      </c>
      <c r="DQ150" s="59">
        <v>2897.8863782272761</v>
      </c>
      <c r="DR150" s="59">
        <v>463.24924377000002</v>
      </c>
      <c r="DS150" s="55">
        <v>3361.1356219972758</v>
      </c>
      <c r="DT150" s="55">
        <v>160.9936876792932</v>
      </c>
      <c r="DU150" s="55">
        <v>160.9936876792932</v>
      </c>
      <c r="DW150" s="121">
        <v>0</v>
      </c>
      <c r="DX150" s="122">
        <v>6779.6610170000004</v>
      </c>
      <c r="DY150" s="128">
        <v>1447.7400829999999</v>
      </c>
      <c r="DZ150" s="128">
        <v>0</v>
      </c>
      <c r="EA150" s="121">
        <v>0</v>
      </c>
      <c r="EB150" s="122">
        <v>244.84131231999999</v>
      </c>
      <c r="EC150" s="121">
        <v>0</v>
      </c>
      <c r="ED150" s="122">
        <v>1271.1864410000001</v>
      </c>
      <c r="EE150" s="121">
        <v>0</v>
      </c>
      <c r="EF150" s="122">
        <v>847.5</v>
      </c>
      <c r="EG150" s="121">
        <v>0</v>
      </c>
      <c r="EH150" s="122">
        <v>7397.5988710000001</v>
      </c>
      <c r="EI150" s="121">
        <v>0</v>
      </c>
      <c r="EJ150" s="122">
        <v>6779.6610170000004</v>
      </c>
      <c r="EK150" s="129">
        <v>244.84131231999999</v>
      </c>
      <c r="EL150" s="130">
        <v>847.5</v>
      </c>
      <c r="EM150" s="131">
        <v>735.83500000000004</v>
      </c>
      <c r="EN150" s="129">
        <v>463.24924377000002</v>
      </c>
      <c r="EO150" s="129">
        <v>10964.025395000001</v>
      </c>
      <c r="EP150" s="129">
        <v>0</v>
      </c>
      <c r="ER150" s="157">
        <v>0</v>
      </c>
      <c r="ES150" s="37">
        <v>0</v>
      </c>
      <c r="ET150" s="55">
        <f t="shared" si="19"/>
        <v>0</v>
      </c>
      <c r="EU150" s="157">
        <v>0</v>
      </c>
      <c r="EV150" s="37">
        <v>0</v>
      </c>
      <c r="EW150" s="55">
        <f t="shared" si="18"/>
        <v>0</v>
      </c>
      <c r="EY150" s="166">
        <v>7817.5124999999998</v>
      </c>
      <c r="EZ150" s="37">
        <v>0</v>
      </c>
      <c r="FA150" s="164">
        <f t="shared" si="20"/>
        <v>0.57464892627010622</v>
      </c>
      <c r="FB150" s="5">
        <v>0</v>
      </c>
      <c r="FC150" s="164">
        <f t="shared" si="21"/>
        <v>0</v>
      </c>
      <c r="FE150" s="5"/>
      <c r="FF150" s="166">
        <v>2897.4</v>
      </c>
      <c r="FG150" s="37">
        <v>10423.35</v>
      </c>
      <c r="FH150" s="164">
        <f t="shared" si="22"/>
        <v>1</v>
      </c>
      <c r="FI150" s="5">
        <v>3837</v>
      </c>
      <c r="FJ150" s="164">
        <f t="shared" si="23"/>
        <v>1</v>
      </c>
      <c r="FL150" s="169">
        <v>7873</v>
      </c>
      <c r="FM150" s="170">
        <f t="shared" si="24"/>
        <v>0.68245451314546257</v>
      </c>
      <c r="FN150" s="169">
        <v>2591</v>
      </c>
      <c r="FO150" s="170">
        <f t="shared" si="25"/>
        <v>0.82634348588741824</v>
      </c>
    </row>
    <row r="151" spans="16:171" x14ac:dyDescent="0.35">
      <c r="P151" s="64">
        <v>149</v>
      </c>
      <c r="Q151" s="109">
        <v>0</v>
      </c>
      <c r="R151" s="110">
        <v>0</v>
      </c>
      <c r="S151" s="111">
        <v>0</v>
      </c>
      <c r="T151" s="110">
        <v>0</v>
      </c>
      <c r="U151" s="111">
        <v>0</v>
      </c>
      <c r="V151" s="110">
        <v>0</v>
      </c>
      <c r="W151" s="111">
        <v>0</v>
      </c>
      <c r="X151" s="110">
        <v>0</v>
      </c>
      <c r="Y151" s="111">
        <v>0</v>
      </c>
      <c r="Z151" s="110">
        <v>0</v>
      </c>
      <c r="AA151" s="111">
        <v>0</v>
      </c>
      <c r="AB151" s="110">
        <v>0</v>
      </c>
      <c r="AC151" s="111">
        <v>0</v>
      </c>
      <c r="AD151" s="110">
        <v>0</v>
      </c>
      <c r="AF151" s="64">
        <v>149</v>
      </c>
      <c r="AG151" s="109">
        <v>61320.862200000003</v>
      </c>
      <c r="AH151" s="111">
        <v>2037.8</v>
      </c>
      <c r="AI151" s="109">
        <v>443</v>
      </c>
      <c r="AJ151" s="59">
        <v>0.68900000000000006</v>
      </c>
      <c r="AK151" s="59">
        <v>0.88600000000000001</v>
      </c>
      <c r="AL151" s="59">
        <v>0.88600000000000001</v>
      </c>
      <c r="AM151" s="110">
        <v>465.12</v>
      </c>
      <c r="AN151" s="111">
        <v>9408.0288</v>
      </c>
      <c r="AO151" s="59">
        <v>0.72</v>
      </c>
      <c r="AP151" s="55">
        <v>0.80799999999999994</v>
      </c>
      <c r="AQ151" s="109">
        <v>36304.400000000001</v>
      </c>
      <c r="AR151" s="111">
        <v>20000.7</v>
      </c>
      <c r="AS151" s="59">
        <v>0.81400000000000006</v>
      </c>
      <c r="AT151" s="55">
        <v>0.85199999999999998</v>
      </c>
      <c r="AU151" s="43"/>
      <c r="AV151" s="109">
        <v>879.17</v>
      </c>
      <c r="AW151" s="110">
        <v>0.35700015430469495</v>
      </c>
      <c r="AX151" s="109">
        <v>932.14700000000005</v>
      </c>
      <c r="AY151" s="110">
        <v>0.58005413814561302</v>
      </c>
      <c r="AZ151" s="109">
        <v>1121.4780000000001</v>
      </c>
      <c r="BA151" s="110">
        <v>0.5784392407674851</v>
      </c>
      <c r="BB151" s="43"/>
      <c r="BC151" s="112">
        <v>53641.616999999998</v>
      </c>
      <c r="BD151" s="110">
        <v>0.77049180327868849</v>
      </c>
      <c r="BE151" s="43"/>
      <c r="BF151" s="157">
        <v>26177.436000000002</v>
      </c>
      <c r="BG151" s="43">
        <v>0</v>
      </c>
      <c r="BH151" s="113">
        <v>0</v>
      </c>
      <c r="BI151" s="114">
        <v>0.80298883435582824</v>
      </c>
      <c r="BJ151" s="115">
        <v>0</v>
      </c>
      <c r="BK151" s="113">
        <v>0</v>
      </c>
      <c r="BL151" s="113">
        <v>0</v>
      </c>
      <c r="BM151" s="113">
        <v>0</v>
      </c>
      <c r="BN151" s="113">
        <v>6449.9719999999998</v>
      </c>
      <c r="BO151" s="114">
        <v>0.47855557204332988</v>
      </c>
      <c r="BP151" s="115">
        <v>0</v>
      </c>
      <c r="BQ151" s="43">
        <v>7668</v>
      </c>
      <c r="BR151" s="43">
        <v>0</v>
      </c>
      <c r="BS151" s="43"/>
      <c r="BT151" s="116">
        <v>-700</v>
      </c>
      <c r="BU151" s="43">
        <v>0</v>
      </c>
      <c r="BV151" s="43">
        <v>4485</v>
      </c>
      <c r="BW151" s="43">
        <v>4485</v>
      </c>
      <c r="BX151" s="43">
        <v>0</v>
      </c>
      <c r="BY151" s="43">
        <v>0</v>
      </c>
      <c r="BZ151" s="43">
        <v>-5000</v>
      </c>
      <c r="CA151" s="43">
        <v>0</v>
      </c>
      <c r="CB151" s="43">
        <v>-5300</v>
      </c>
      <c r="CC151" s="43">
        <v>0</v>
      </c>
      <c r="CD151" s="43">
        <v>-4000</v>
      </c>
      <c r="CE151" s="43">
        <v>0</v>
      </c>
      <c r="CF151" s="43">
        <v>-4800</v>
      </c>
      <c r="CG151" s="43">
        <v>0</v>
      </c>
      <c r="CH151" s="43">
        <v>28564.700170209999</v>
      </c>
      <c r="CI151" s="43">
        <v>28564.700170209999</v>
      </c>
      <c r="CJ151" s="114">
        <v>33049.700170209995</v>
      </c>
      <c r="CK151" s="43"/>
      <c r="CL151" s="116">
        <v>-700</v>
      </c>
      <c r="CM151" s="43">
        <v>700</v>
      </c>
      <c r="CN151" s="43">
        <v>4485</v>
      </c>
      <c r="CO151" s="43">
        <v>0</v>
      </c>
      <c r="CP151" s="43">
        <v>0</v>
      </c>
      <c r="CQ151" s="43">
        <v>0</v>
      </c>
      <c r="CR151" s="43">
        <v>-5000</v>
      </c>
      <c r="CS151" s="43">
        <v>5000</v>
      </c>
      <c r="CT151" s="43">
        <v>-5300</v>
      </c>
      <c r="CU151" s="43">
        <v>5300</v>
      </c>
      <c r="CV151" s="43">
        <v>-4000</v>
      </c>
      <c r="CW151" s="43">
        <v>4000</v>
      </c>
      <c r="CX151" s="43">
        <v>-4800</v>
      </c>
      <c r="CY151" s="43">
        <v>4800</v>
      </c>
      <c r="CZ151" s="43">
        <v>28564.700170209999</v>
      </c>
      <c r="DA151" s="43">
        <v>0</v>
      </c>
      <c r="DB151" s="114">
        <v>19800</v>
      </c>
      <c r="DC151" s="43"/>
      <c r="DD151" s="117">
        <v>26630.736000000001</v>
      </c>
      <c r="DE151" s="55">
        <v>1954.9349999999999</v>
      </c>
      <c r="DF151" s="59">
        <v>2804.0450830970999</v>
      </c>
      <c r="DG151" s="59">
        <v>31389.716083097101</v>
      </c>
      <c r="DH151" s="117">
        <v>6894.78</v>
      </c>
      <c r="DI151" s="117">
        <v>49683.411</v>
      </c>
      <c r="DJ151" s="55">
        <v>7869</v>
      </c>
      <c r="DK151" s="114">
        <v>57552.411</v>
      </c>
      <c r="DL151" s="43"/>
      <c r="DM151" s="117">
        <v>987.78</v>
      </c>
      <c r="DN151" s="55">
        <v>10522.090845252949</v>
      </c>
      <c r="DO151" s="55">
        <v>11509.87084525295</v>
      </c>
      <c r="DP151" s="59">
        <v>1455.3989030504879</v>
      </c>
      <c r="DQ151" s="59">
        <v>2914.5855887225489</v>
      </c>
      <c r="DR151" s="59">
        <v>446.55003327999998</v>
      </c>
      <c r="DS151" s="55">
        <v>3361.1356220025491</v>
      </c>
      <c r="DT151" s="55">
        <v>161.92142159569721</v>
      </c>
      <c r="DU151" s="55">
        <v>161.92142159569721</v>
      </c>
      <c r="DW151" s="121">
        <v>0</v>
      </c>
      <c r="DX151" s="122">
        <v>6779.6610170000004</v>
      </c>
      <c r="DY151" s="128">
        <v>1447.7400829999999</v>
      </c>
      <c r="DZ151" s="128">
        <v>0</v>
      </c>
      <c r="EA151" s="121">
        <v>0</v>
      </c>
      <c r="EB151" s="122">
        <v>243.91357840000001</v>
      </c>
      <c r="EC151" s="121">
        <v>0</v>
      </c>
      <c r="ED151" s="122">
        <v>1271.1864410000001</v>
      </c>
      <c r="EE151" s="121">
        <v>0</v>
      </c>
      <c r="EF151" s="122">
        <v>847.5</v>
      </c>
      <c r="EG151" s="121">
        <v>0</v>
      </c>
      <c r="EH151" s="122">
        <v>7397.5988710000001</v>
      </c>
      <c r="EI151" s="121">
        <v>0</v>
      </c>
      <c r="EJ151" s="122">
        <v>6779.6610170000004</v>
      </c>
      <c r="EK151" s="129">
        <v>243.91357840000001</v>
      </c>
      <c r="EL151" s="130">
        <v>847.5</v>
      </c>
      <c r="EM151" s="131">
        <v>735.83500000000004</v>
      </c>
      <c r="EN151" s="129">
        <v>446.55003327999998</v>
      </c>
      <c r="EO151" s="129">
        <v>10964.025395000001</v>
      </c>
      <c r="EP151" s="129">
        <v>0</v>
      </c>
      <c r="ER151" s="157">
        <v>0</v>
      </c>
      <c r="ES151" s="37">
        <v>0</v>
      </c>
      <c r="ET151" s="55">
        <f t="shared" si="19"/>
        <v>0</v>
      </c>
      <c r="EU151" s="157">
        <v>0</v>
      </c>
      <c r="EV151" s="37">
        <v>0</v>
      </c>
      <c r="EW151" s="55">
        <f t="shared" si="18"/>
        <v>0</v>
      </c>
      <c r="EY151" s="166">
        <v>0</v>
      </c>
      <c r="EZ151" s="37">
        <v>0</v>
      </c>
      <c r="FA151" s="164">
        <f t="shared" si="20"/>
        <v>0</v>
      </c>
      <c r="FB151" s="5">
        <v>0</v>
      </c>
      <c r="FC151" s="164">
        <f t="shared" si="21"/>
        <v>0</v>
      </c>
      <c r="FE151" s="5"/>
      <c r="FF151" s="166">
        <v>2897.4</v>
      </c>
      <c r="FG151" s="37">
        <v>10423.35</v>
      </c>
      <c r="FH151" s="164">
        <f t="shared" si="22"/>
        <v>1</v>
      </c>
      <c r="FI151" s="5">
        <v>3837</v>
      </c>
      <c r="FJ151" s="164">
        <f t="shared" si="23"/>
        <v>1</v>
      </c>
      <c r="FL151" s="169">
        <v>7873</v>
      </c>
      <c r="FM151" s="170">
        <f t="shared" si="24"/>
        <v>0.68245451314546257</v>
      </c>
      <c r="FN151" s="169">
        <v>2591</v>
      </c>
      <c r="FO151" s="170">
        <f t="shared" si="25"/>
        <v>0.82634348588741824</v>
      </c>
    </row>
    <row r="152" spans="16:171" x14ac:dyDescent="0.35">
      <c r="P152" s="64">
        <v>150</v>
      </c>
      <c r="Q152" s="109">
        <v>0</v>
      </c>
      <c r="R152" s="110">
        <v>0</v>
      </c>
      <c r="S152" s="111">
        <v>0</v>
      </c>
      <c r="T152" s="110">
        <v>0</v>
      </c>
      <c r="U152" s="111">
        <v>0</v>
      </c>
      <c r="V152" s="110">
        <v>0</v>
      </c>
      <c r="W152" s="111">
        <v>0</v>
      </c>
      <c r="X152" s="110">
        <v>0</v>
      </c>
      <c r="Y152" s="111">
        <v>0</v>
      </c>
      <c r="Z152" s="110">
        <v>0</v>
      </c>
      <c r="AA152" s="111">
        <v>0</v>
      </c>
      <c r="AB152" s="110">
        <v>0</v>
      </c>
      <c r="AC152" s="111">
        <v>0</v>
      </c>
      <c r="AD152" s="110">
        <v>0</v>
      </c>
      <c r="AF152" s="64">
        <v>150</v>
      </c>
      <c r="AG152" s="109">
        <v>63100.858200000002</v>
      </c>
      <c r="AH152" s="111">
        <v>2056.1999999999998</v>
      </c>
      <c r="AI152" s="109">
        <v>447</v>
      </c>
      <c r="AJ152" s="59">
        <v>0.70899999999999996</v>
      </c>
      <c r="AK152" s="59">
        <v>0.89399999999999991</v>
      </c>
      <c r="AL152" s="59">
        <v>0.89400000000000002</v>
      </c>
      <c r="AM152" s="110">
        <v>445.09399999999999</v>
      </c>
      <c r="AN152" s="111">
        <v>9256.6620000000003</v>
      </c>
      <c r="AO152" s="59">
        <v>0.68899999999999995</v>
      </c>
      <c r="AP152" s="55">
        <v>0.79500000000000004</v>
      </c>
      <c r="AQ152" s="109">
        <v>36616.6</v>
      </c>
      <c r="AR152" s="111">
        <v>19578.150000000001</v>
      </c>
      <c r="AS152" s="59">
        <v>0.82099999999999995</v>
      </c>
      <c r="AT152" s="55">
        <v>0.83400000000000007</v>
      </c>
      <c r="AU152" s="43"/>
      <c r="AV152" s="109">
        <v>884.09500000000003</v>
      </c>
      <c r="AW152" s="110">
        <v>0.35900002436389922</v>
      </c>
      <c r="AX152" s="109">
        <v>934.01599999999996</v>
      </c>
      <c r="AY152" s="110">
        <v>0.58121717485998758</v>
      </c>
      <c r="AZ152" s="109">
        <v>1121.4780000000001</v>
      </c>
      <c r="BA152" s="110">
        <v>0.5784392407674851</v>
      </c>
      <c r="BB152" s="43"/>
      <c r="BC152" s="112">
        <v>53641.616999999998</v>
      </c>
      <c r="BD152" s="110">
        <v>0.77049180327868849</v>
      </c>
      <c r="BE152" s="43"/>
      <c r="BF152" s="157">
        <v>26939.273000000001</v>
      </c>
      <c r="BG152" s="43">
        <v>0</v>
      </c>
      <c r="BH152" s="113">
        <v>0</v>
      </c>
      <c r="BI152" s="114">
        <v>0.82635806748466256</v>
      </c>
      <c r="BJ152" s="115">
        <v>0</v>
      </c>
      <c r="BK152" s="113">
        <v>0</v>
      </c>
      <c r="BL152" s="113">
        <v>0</v>
      </c>
      <c r="BM152" s="113">
        <v>0</v>
      </c>
      <c r="BN152" s="113">
        <v>6175.2070000000003</v>
      </c>
      <c r="BO152" s="114">
        <v>0.45816938714942873</v>
      </c>
      <c r="BP152" s="115">
        <v>0</v>
      </c>
      <c r="BQ152" s="43">
        <v>7668</v>
      </c>
      <c r="BR152" s="43">
        <v>0</v>
      </c>
      <c r="BS152" s="43"/>
      <c r="BT152" s="116">
        <v>-700</v>
      </c>
      <c r="BU152" s="43">
        <v>0</v>
      </c>
      <c r="BV152" s="43">
        <v>4485</v>
      </c>
      <c r="BW152" s="43">
        <v>4485</v>
      </c>
      <c r="BX152" s="43">
        <v>0</v>
      </c>
      <c r="BY152" s="43">
        <v>0</v>
      </c>
      <c r="BZ152" s="43">
        <v>-5000</v>
      </c>
      <c r="CA152" s="43">
        <v>0</v>
      </c>
      <c r="CB152" s="43">
        <v>-5300</v>
      </c>
      <c r="CC152" s="43">
        <v>0</v>
      </c>
      <c r="CD152" s="43">
        <v>-4000</v>
      </c>
      <c r="CE152" s="43">
        <v>0</v>
      </c>
      <c r="CF152" s="43">
        <v>-4800</v>
      </c>
      <c r="CG152" s="43">
        <v>0</v>
      </c>
      <c r="CH152" s="43">
        <v>23454.642297869999</v>
      </c>
      <c r="CI152" s="43">
        <v>23454.642297869999</v>
      </c>
      <c r="CJ152" s="114">
        <v>27939.642297869999</v>
      </c>
      <c r="CK152" s="43"/>
      <c r="CL152" s="116">
        <v>-700</v>
      </c>
      <c r="CM152" s="43">
        <v>700</v>
      </c>
      <c r="CN152" s="43">
        <v>4485</v>
      </c>
      <c r="CO152" s="43">
        <v>0</v>
      </c>
      <c r="CP152" s="43">
        <v>0</v>
      </c>
      <c r="CQ152" s="43">
        <v>0</v>
      </c>
      <c r="CR152" s="43">
        <v>-5000</v>
      </c>
      <c r="CS152" s="43">
        <v>5000</v>
      </c>
      <c r="CT152" s="43">
        <v>-5300</v>
      </c>
      <c r="CU152" s="43">
        <v>5300</v>
      </c>
      <c r="CV152" s="43">
        <v>-4000</v>
      </c>
      <c r="CW152" s="43">
        <v>4000</v>
      </c>
      <c r="CX152" s="43">
        <v>-4800</v>
      </c>
      <c r="CY152" s="43">
        <v>4800</v>
      </c>
      <c r="CZ152" s="43">
        <v>23454.642297869999</v>
      </c>
      <c r="DA152" s="43">
        <v>0</v>
      </c>
      <c r="DB152" s="114">
        <v>19800</v>
      </c>
      <c r="DC152" s="43"/>
      <c r="DD152" s="117">
        <v>26829.452000000001</v>
      </c>
      <c r="DE152" s="55">
        <v>1954.27</v>
      </c>
      <c r="DF152" s="59">
        <v>2984.8624044164999</v>
      </c>
      <c r="DG152" s="59">
        <v>31768.584404416502</v>
      </c>
      <c r="DH152" s="117">
        <v>6929.8019999999997</v>
      </c>
      <c r="DI152" s="117">
        <v>50184.411</v>
      </c>
      <c r="DJ152" s="55">
        <v>7819</v>
      </c>
      <c r="DK152" s="114">
        <v>58003.411</v>
      </c>
      <c r="DL152" s="43"/>
      <c r="DM152" s="117">
        <v>1161.4269999999999</v>
      </c>
      <c r="DN152" s="55">
        <v>10553.7831128091</v>
      </c>
      <c r="DO152" s="55">
        <v>11715.2101128091</v>
      </c>
      <c r="DP152" s="59">
        <v>1455.3989030504879</v>
      </c>
      <c r="DQ152" s="59">
        <v>2931.2847992178222</v>
      </c>
      <c r="DR152" s="59">
        <v>429.85082277999999</v>
      </c>
      <c r="DS152" s="55">
        <v>3361.135621997822</v>
      </c>
      <c r="DT152" s="55">
        <v>162.84915551210119</v>
      </c>
      <c r="DU152" s="55">
        <v>162.84915551210119</v>
      </c>
      <c r="DW152" s="121">
        <v>0</v>
      </c>
      <c r="DX152" s="122">
        <v>6779.6610170000004</v>
      </c>
      <c r="DY152" s="128">
        <v>1447.7400829999999</v>
      </c>
      <c r="DZ152" s="128">
        <v>0</v>
      </c>
      <c r="EA152" s="121">
        <v>0</v>
      </c>
      <c r="EB152" s="122">
        <v>242.98584449000001</v>
      </c>
      <c r="EC152" s="121">
        <v>0</v>
      </c>
      <c r="ED152" s="122">
        <v>1271.1864410000001</v>
      </c>
      <c r="EE152" s="121">
        <v>0</v>
      </c>
      <c r="EF152" s="122">
        <v>847.5</v>
      </c>
      <c r="EG152" s="121">
        <v>0</v>
      </c>
      <c r="EH152" s="122">
        <v>7397.5988710000001</v>
      </c>
      <c r="EI152" s="121">
        <v>0</v>
      </c>
      <c r="EJ152" s="122">
        <v>6779.6610170000004</v>
      </c>
      <c r="EK152" s="129">
        <v>242.98584449000001</v>
      </c>
      <c r="EL152" s="130">
        <v>847.5</v>
      </c>
      <c r="EM152" s="131">
        <v>735.83500000000004</v>
      </c>
      <c r="EN152" s="129">
        <v>429.85082277999999</v>
      </c>
      <c r="EO152" s="129">
        <v>10964.025395000001</v>
      </c>
      <c r="EP152" s="129">
        <v>0</v>
      </c>
      <c r="ER152" s="157">
        <v>0</v>
      </c>
      <c r="ES152" s="37">
        <v>0</v>
      </c>
      <c r="ET152" s="55">
        <f t="shared" si="19"/>
        <v>0</v>
      </c>
      <c r="EU152" s="157">
        <v>0</v>
      </c>
      <c r="EV152" s="37">
        <v>0</v>
      </c>
      <c r="EW152" s="55">
        <f t="shared" si="18"/>
        <v>0</v>
      </c>
      <c r="EY152" s="166">
        <v>0</v>
      </c>
      <c r="EZ152" s="37">
        <v>0</v>
      </c>
      <c r="FA152" s="164">
        <f t="shared" si="20"/>
        <v>0</v>
      </c>
      <c r="FB152" s="5">
        <v>0</v>
      </c>
      <c r="FC152" s="164">
        <f t="shared" si="21"/>
        <v>0</v>
      </c>
      <c r="FE152" s="5"/>
      <c r="FF152" s="166">
        <v>2897.4</v>
      </c>
      <c r="FG152" s="37">
        <v>10423.35</v>
      </c>
      <c r="FH152" s="164">
        <f t="shared" si="22"/>
        <v>1</v>
      </c>
      <c r="FI152" s="5">
        <v>3837</v>
      </c>
      <c r="FJ152" s="164">
        <f t="shared" si="23"/>
        <v>1</v>
      </c>
      <c r="FL152" s="169">
        <v>7873</v>
      </c>
      <c r="FM152" s="170">
        <f t="shared" si="24"/>
        <v>0.68245451314546257</v>
      </c>
      <c r="FN152" s="169">
        <v>2591</v>
      </c>
      <c r="FO152" s="170">
        <f t="shared" si="25"/>
        <v>0.82634348588741824</v>
      </c>
    </row>
    <row r="153" spans="16:171" x14ac:dyDescent="0.35">
      <c r="P153" s="64">
        <v>151</v>
      </c>
      <c r="Q153" s="109">
        <v>0</v>
      </c>
      <c r="R153" s="110">
        <v>0</v>
      </c>
      <c r="S153" s="111">
        <v>0</v>
      </c>
      <c r="T153" s="110">
        <v>0</v>
      </c>
      <c r="U153" s="111">
        <v>0</v>
      </c>
      <c r="V153" s="110">
        <v>0</v>
      </c>
      <c r="W153" s="111">
        <v>0</v>
      </c>
      <c r="X153" s="110">
        <v>0</v>
      </c>
      <c r="Y153" s="111">
        <v>0</v>
      </c>
      <c r="Z153" s="110">
        <v>0</v>
      </c>
      <c r="AA153" s="111">
        <v>0</v>
      </c>
      <c r="AB153" s="110">
        <v>0</v>
      </c>
      <c r="AC153" s="111">
        <v>0</v>
      </c>
      <c r="AD153" s="110">
        <v>0</v>
      </c>
      <c r="AF153" s="64">
        <v>151</v>
      </c>
      <c r="AG153" s="109">
        <v>62032.8606</v>
      </c>
      <c r="AH153" s="111">
        <v>2060.8000000000002</v>
      </c>
      <c r="AI153" s="109">
        <v>448</v>
      </c>
      <c r="AJ153" s="59">
        <v>0.69699999999999995</v>
      </c>
      <c r="AK153" s="59">
        <v>0.89600000000000013</v>
      </c>
      <c r="AL153" s="59">
        <v>0.89600000000000002</v>
      </c>
      <c r="AM153" s="110">
        <v>448.32400000000001</v>
      </c>
      <c r="AN153" s="111">
        <v>9198.4439999999995</v>
      </c>
      <c r="AO153" s="59">
        <v>0.69400000000000006</v>
      </c>
      <c r="AP153" s="55">
        <v>0.78999999999999992</v>
      </c>
      <c r="AQ153" s="109">
        <v>37285.599999999999</v>
      </c>
      <c r="AR153" s="111">
        <v>19179.075000000001</v>
      </c>
      <c r="AS153" s="59">
        <v>0.83599999999999997</v>
      </c>
      <c r="AT153" s="55">
        <v>0.81700000000000006</v>
      </c>
      <c r="AU153" s="43"/>
      <c r="AV153" s="109">
        <v>889.02</v>
      </c>
      <c r="AW153" s="110">
        <v>0.36099989442310348</v>
      </c>
      <c r="AX153" s="109">
        <v>943.673</v>
      </c>
      <c r="AY153" s="110">
        <v>0.58722650902302431</v>
      </c>
      <c r="AZ153" s="109">
        <v>1121.4780000000001</v>
      </c>
      <c r="BA153" s="110">
        <v>0.5784392407674851</v>
      </c>
      <c r="BB153" s="43"/>
      <c r="BC153" s="112">
        <v>53641.616999999998</v>
      </c>
      <c r="BD153" s="110">
        <v>0.77049180327868849</v>
      </c>
      <c r="BE153" s="43"/>
      <c r="BF153" s="157">
        <v>26489.846000000001</v>
      </c>
      <c r="BG153" s="43">
        <v>0</v>
      </c>
      <c r="BH153" s="113">
        <v>0</v>
      </c>
      <c r="BI153" s="114">
        <v>0.8125719631901841</v>
      </c>
      <c r="BJ153" s="115">
        <v>0</v>
      </c>
      <c r="BK153" s="113">
        <v>0</v>
      </c>
      <c r="BL153" s="113">
        <v>0</v>
      </c>
      <c r="BM153" s="113">
        <v>0</v>
      </c>
      <c r="BN153" s="113">
        <v>6224.9139999999998</v>
      </c>
      <c r="BO153" s="114">
        <v>0.46185739723994657</v>
      </c>
      <c r="BP153" s="115">
        <v>0</v>
      </c>
      <c r="BQ153" s="43">
        <v>7668</v>
      </c>
      <c r="BR153" s="43">
        <v>0</v>
      </c>
      <c r="BS153" s="43"/>
      <c r="BT153" s="116">
        <v>-700</v>
      </c>
      <c r="BU153" s="43">
        <v>0</v>
      </c>
      <c r="BV153" s="43">
        <v>4485</v>
      </c>
      <c r="BW153" s="43">
        <v>4485</v>
      </c>
      <c r="BX153" s="43">
        <v>0</v>
      </c>
      <c r="BY153" s="43">
        <v>0</v>
      </c>
      <c r="BZ153" s="43">
        <v>-5000</v>
      </c>
      <c r="CA153" s="43">
        <v>0</v>
      </c>
      <c r="CB153" s="43">
        <v>-5300</v>
      </c>
      <c r="CC153" s="43">
        <v>0</v>
      </c>
      <c r="CD153" s="43">
        <v>-4000</v>
      </c>
      <c r="CE153" s="43">
        <v>0</v>
      </c>
      <c r="CF153" s="43">
        <v>-4800</v>
      </c>
      <c r="CG153" s="43">
        <v>0</v>
      </c>
      <c r="CH153" s="43">
        <v>24177.85301649</v>
      </c>
      <c r="CI153" s="43">
        <v>24177.85301649</v>
      </c>
      <c r="CJ153" s="114">
        <v>28662.85301649</v>
      </c>
      <c r="CK153" s="43"/>
      <c r="CL153" s="116">
        <v>-700</v>
      </c>
      <c r="CM153" s="43">
        <v>700</v>
      </c>
      <c r="CN153" s="43">
        <v>4485</v>
      </c>
      <c r="CO153" s="43">
        <v>0</v>
      </c>
      <c r="CP153" s="43">
        <v>0</v>
      </c>
      <c r="CQ153" s="43">
        <v>0</v>
      </c>
      <c r="CR153" s="43">
        <v>-5000</v>
      </c>
      <c r="CS153" s="43">
        <v>5000</v>
      </c>
      <c r="CT153" s="43">
        <v>-5300</v>
      </c>
      <c r="CU153" s="43">
        <v>5300</v>
      </c>
      <c r="CV153" s="43">
        <v>-4000</v>
      </c>
      <c r="CW153" s="43">
        <v>4000</v>
      </c>
      <c r="CX153" s="43">
        <v>-4800</v>
      </c>
      <c r="CY153" s="43">
        <v>4800</v>
      </c>
      <c r="CZ153" s="43">
        <v>24177.85301649</v>
      </c>
      <c r="DA153" s="43">
        <v>0</v>
      </c>
      <c r="DB153" s="114">
        <v>19800</v>
      </c>
      <c r="DC153" s="43"/>
      <c r="DD153" s="117">
        <v>27697.37</v>
      </c>
      <c r="DE153" s="55">
        <v>1976.7650000000001</v>
      </c>
      <c r="DF153" s="59">
        <v>3746.0903539301999</v>
      </c>
      <c r="DG153" s="59">
        <v>33420.225353930196</v>
      </c>
      <c r="DH153" s="117">
        <v>6996.299</v>
      </c>
      <c r="DI153" s="117">
        <v>50078.411</v>
      </c>
      <c r="DJ153" s="55">
        <v>7850</v>
      </c>
      <c r="DK153" s="114">
        <v>57928.411</v>
      </c>
      <c r="DL153" s="43"/>
      <c r="DM153" s="117">
        <v>1222.2739999999999</v>
      </c>
      <c r="DN153" s="55">
        <v>10569.62924658717</v>
      </c>
      <c r="DO153" s="55">
        <v>11791.90324658717</v>
      </c>
      <c r="DP153" s="59">
        <v>1455.3989030504879</v>
      </c>
      <c r="DQ153" s="59">
        <v>2939.6344044654588</v>
      </c>
      <c r="DR153" s="59">
        <v>421.50121753000002</v>
      </c>
      <c r="DS153" s="55">
        <v>3361.1356219954587</v>
      </c>
      <c r="DT153" s="55">
        <v>163.31302247030331</v>
      </c>
      <c r="DU153" s="55">
        <v>163.31302247030331</v>
      </c>
      <c r="DW153" s="121">
        <v>0</v>
      </c>
      <c r="DX153" s="122">
        <v>6779.6610170000004</v>
      </c>
      <c r="DY153" s="128">
        <v>1447.7400829999999</v>
      </c>
      <c r="DZ153" s="128">
        <v>0</v>
      </c>
      <c r="EA153" s="121">
        <v>0</v>
      </c>
      <c r="EB153" s="122">
        <v>242.52197752999999</v>
      </c>
      <c r="EC153" s="121">
        <v>0</v>
      </c>
      <c r="ED153" s="122">
        <v>1271.1864410000001</v>
      </c>
      <c r="EE153" s="121">
        <v>0</v>
      </c>
      <c r="EF153" s="122">
        <v>847.5</v>
      </c>
      <c r="EG153" s="121">
        <v>0</v>
      </c>
      <c r="EH153" s="122">
        <v>7397.5988710000001</v>
      </c>
      <c r="EI153" s="121">
        <v>0</v>
      </c>
      <c r="EJ153" s="122">
        <v>6779.6610170000004</v>
      </c>
      <c r="EK153" s="129">
        <v>242.52197752999999</v>
      </c>
      <c r="EL153" s="130">
        <v>847.5</v>
      </c>
      <c r="EM153" s="131">
        <v>735.83500000000004</v>
      </c>
      <c r="EN153" s="129">
        <v>421.50121753000002</v>
      </c>
      <c r="EO153" s="129">
        <v>10964.025395000001</v>
      </c>
      <c r="EP153" s="129">
        <v>0</v>
      </c>
      <c r="ER153" s="157">
        <v>0</v>
      </c>
      <c r="ES153" s="37">
        <v>0</v>
      </c>
      <c r="ET153" s="55">
        <f t="shared" si="19"/>
        <v>0</v>
      </c>
      <c r="EU153" s="157">
        <v>0</v>
      </c>
      <c r="EV153" s="37">
        <v>0</v>
      </c>
      <c r="EW153" s="55">
        <f t="shared" si="18"/>
        <v>0</v>
      </c>
      <c r="EY153" s="166">
        <v>6511.5986926699998</v>
      </c>
      <c r="EZ153" s="37">
        <v>0</v>
      </c>
      <c r="FA153" s="164">
        <f t="shared" si="20"/>
        <v>0.47865394485069812</v>
      </c>
      <c r="FB153" s="5">
        <v>0</v>
      </c>
      <c r="FC153" s="164">
        <f t="shared" si="21"/>
        <v>0</v>
      </c>
      <c r="FE153" s="5"/>
      <c r="FF153" s="166">
        <v>2897.4</v>
      </c>
      <c r="FG153" s="37">
        <v>10423.35</v>
      </c>
      <c r="FH153" s="164">
        <f t="shared" si="22"/>
        <v>1</v>
      </c>
      <c r="FI153" s="5">
        <v>3837</v>
      </c>
      <c r="FJ153" s="164">
        <f t="shared" si="23"/>
        <v>1</v>
      </c>
      <c r="FL153" s="169">
        <v>7873</v>
      </c>
      <c r="FM153" s="170">
        <f t="shared" si="24"/>
        <v>0.68245451314546257</v>
      </c>
      <c r="FN153" s="169">
        <v>2591</v>
      </c>
      <c r="FO153" s="170">
        <f t="shared" si="25"/>
        <v>0.82634348588741824</v>
      </c>
    </row>
    <row r="154" spans="16:171" x14ac:dyDescent="0.35">
      <c r="P154" s="64">
        <v>152</v>
      </c>
      <c r="Q154" s="109">
        <v>0</v>
      </c>
      <c r="R154" s="110">
        <v>0</v>
      </c>
      <c r="S154" s="111">
        <v>0</v>
      </c>
      <c r="T154" s="110">
        <v>0</v>
      </c>
      <c r="U154" s="111">
        <v>0</v>
      </c>
      <c r="V154" s="110">
        <v>0</v>
      </c>
      <c r="W154" s="111">
        <v>0</v>
      </c>
      <c r="X154" s="110">
        <v>0</v>
      </c>
      <c r="Y154" s="111">
        <v>0</v>
      </c>
      <c r="Z154" s="110">
        <v>0</v>
      </c>
      <c r="AA154" s="111">
        <v>0</v>
      </c>
      <c r="AB154" s="110">
        <v>0</v>
      </c>
      <c r="AC154" s="111">
        <v>0</v>
      </c>
      <c r="AD154" s="110">
        <v>0</v>
      </c>
      <c r="AF154" s="64">
        <v>152</v>
      </c>
      <c r="AG154" s="109">
        <v>59718.8658</v>
      </c>
      <c r="AH154" s="111">
        <v>2079.1999999999998</v>
      </c>
      <c r="AI154" s="109">
        <v>452</v>
      </c>
      <c r="AJ154" s="59">
        <v>0.67099999999999993</v>
      </c>
      <c r="AK154" s="59">
        <v>0.90399999999999991</v>
      </c>
      <c r="AL154" s="59">
        <v>0.90400000000000003</v>
      </c>
      <c r="AM154" s="110">
        <v>436.05</v>
      </c>
      <c r="AN154" s="111">
        <v>9058.7207999999991</v>
      </c>
      <c r="AO154" s="59">
        <v>0.67500000000000004</v>
      </c>
      <c r="AP154" s="55">
        <v>0.77799999999999991</v>
      </c>
      <c r="AQ154" s="109">
        <v>37687</v>
      </c>
      <c r="AR154" s="111">
        <v>18850.424999999999</v>
      </c>
      <c r="AS154" s="59">
        <v>0.84499999999999997</v>
      </c>
      <c r="AT154" s="55">
        <v>0.80299999999999994</v>
      </c>
      <c r="AU154" s="43"/>
      <c r="AV154" s="109">
        <v>891.48299999999995</v>
      </c>
      <c r="AW154" s="110">
        <v>0.36200003248519891</v>
      </c>
      <c r="AX154" s="109">
        <v>1016.37</v>
      </c>
      <c r="AY154" s="110">
        <v>0.63246421904169259</v>
      </c>
      <c r="AZ154" s="109">
        <v>1121.4780000000001</v>
      </c>
      <c r="BA154" s="110">
        <v>0.5784392407674851</v>
      </c>
      <c r="BB154" s="43"/>
      <c r="BC154" s="112">
        <v>53641.616999999998</v>
      </c>
      <c r="BD154" s="110">
        <v>0.77049180327868849</v>
      </c>
      <c r="BE154" s="43"/>
      <c r="BF154" s="157">
        <v>25487.447</v>
      </c>
      <c r="BG154" s="43">
        <v>0</v>
      </c>
      <c r="BH154" s="113">
        <v>0</v>
      </c>
      <c r="BI154" s="114">
        <v>0.78182352760736196</v>
      </c>
      <c r="BJ154" s="115">
        <v>0</v>
      </c>
      <c r="BK154" s="113">
        <v>0</v>
      </c>
      <c r="BL154" s="113">
        <v>0</v>
      </c>
      <c r="BM154" s="113">
        <v>0</v>
      </c>
      <c r="BN154" s="113">
        <v>6055.6409999999996</v>
      </c>
      <c r="BO154" s="114">
        <v>0.44929818964238016</v>
      </c>
      <c r="BP154" s="115">
        <v>0</v>
      </c>
      <c r="BQ154" s="43">
        <v>7668</v>
      </c>
      <c r="BR154" s="43">
        <v>0</v>
      </c>
      <c r="BS154" s="43"/>
      <c r="BT154" s="116">
        <v>-700</v>
      </c>
      <c r="BU154" s="43">
        <v>0</v>
      </c>
      <c r="BV154" s="43">
        <v>4485</v>
      </c>
      <c r="BW154" s="43">
        <v>4485</v>
      </c>
      <c r="BX154" s="43">
        <v>0</v>
      </c>
      <c r="BY154" s="43">
        <v>0</v>
      </c>
      <c r="BZ154" s="43">
        <v>-5000</v>
      </c>
      <c r="CA154" s="43">
        <v>0</v>
      </c>
      <c r="CB154" s="43">
        <v>-5300</v>
      </c>
      <c r="CC154" s="43">
        <v>0</v>
      </c>
      <c r="CD154" s="43">
        <v>-4000</v>
      </c>
      <c r="CE154" s="43">
        <v>0</v>
      </c>
      <c r="CF154" s="43">
        <v>-4800</v>
      </c>
      <c r="CG154" s="43">
        <v>0</v>
      </c>
      <c r="CH154" s="43">
        <v>18549.629253560001</v>
      </c>
      <c r="CI154" s="43">
        <v>18549.629253560001</v>
      </c>
      <c r="CJ154" s="114">
        <v>23034.629253560001</v>
      </c>
      <c r="CK154" s="43"/>
      <c r="CL154" s="116">
        <v>-700</v>
      </c>
      <c r="CM154" s="43">
        <v>700</v>
      </c>
      <c r="CN154" s="43">
        <v>4485</v>
      </c>
      <c r="CO154" s="43">
        <v>0</v>
      </c>
      <c r="CP154" s="43">
        <v>0</v>
      </c>
      <c r="CQ154" s="43">
        <v>0</v>
      </c>
      <c r="CR154" s="43">
        <v>-5000</v>
      </c>
      <c r="CS154" s="43">
        <v>5000</v>
      </c>
      <c r="CT154" s="43">
        <v>-5300</v>
      </c>
      <c r="CU154" s="43">
        <v>5300</v>
      </c>
      <c r="CV154" s="43">
        <v>-4000</v>
      </c>
      <c r="CW154" s="43">
        <v>4000</v>
      </c>
      <c r="CX154" s="43">
        <v>-4800</v>
      </c>
      <c r="CY154" s="43">
        <v>4800</v>
      </c>
      <c r="CZ154" s="43">
        <v>18549.629253560001</v>
      </c>
      <c r="DA154" s="43">
        <v>0</v>
      </c>
      <c r="DB154" s="114">
        <v>19800</v>
      </c>
      <c r="DC154" s="43"/>
      <c r="DD154" s="117">
        <v>29304.958999999999</v>
      </c>
      <c r="DE154" s="55">
        <v>2014.7550000000001</v>
      </c>
      <c r="DF154" s="59">
        <v>4164.2738159463997</v>
      </c>
      <c r="DG154" s="59">
        <v>35483.987815946399</v>
      </c>
      <c r="DH154" s="117">
        <v>6963.8149999999996</v>
      </c>
      <c r="DI154" s="117">
        <v>49789.411</v>
      </c>
      <c r="DJ154" s="55">
        <v>8040</v>
      </c>
      <c r="DK154" s="114">
        <v>57829.411</v>
      </c>
      <c r="DL154" s="43"/>
      <c r="DM154" s="117">
        <v>1218.1959999999999</v>
      </c>
      <c r="DN154" s="55">
        <v>10553.7831128091</v>
      </c>
      <c r="DO154" s="55">
        <v>11771.9791128091</v>
      </c>
      <c r="DP154" s="59">
        <v>1455.3989030504879</v>
      </c>
      <c r="DQ154" s="59">
        <v>2931.2847992178222</v>
      </c>
      <c r="DR154" s="59">
        <v>429.85082277999999</v>
      </c>
      <c r="DS154" s="55">
        <v>3361.135621997822</v>
      </c>
      <c r="DT154" s="55">
        <v>162.84915551210119</v>
      </c>
      <c r="DU154" s="55">
        <v>162.84915551210119</v>
      </c>
      <c r="DW154" s="121">
        <v>0</v>
      </c>
      <c r="DX154" s="122">
        <v>6779.6610170000004</v>
      </c>
      <c r="DY154" s="128">
        <v>1447.7400829999999</v>
      </c>
      <c r="DZ154" s="128">
        <v>0</v>
      </c>
      <c r="EA154" s="121">
        <v>0</v>
      </c>
      <c r="EB154" s="122">
        <v>242.98584449000001</v>
      </c>
      <c r="EC154" s="121">
        <v>0</v>
      </c>
      <c r="ED154" s="122">
        <v>1271.1864410000001</v>
      </c>
      <c r="EE154" s="121">
        <v>0</v>
      </c>
      <c r="EF154" s="122">
        <v>847.5</v>
      </c>
      <c r="EG154" s="121">
        <v>0</v>
      </c>
      <c r="EH154" s="122">
        <v>7397.5988710000001</v>
      </c>
      <c r="EI154" s="121">
        <v>0</v>
      </c>
      <c r="EJ154" s="122">
        <v>6779.6610170000004</v>
      </c>
      <c r="EK154" s="129">
        <v>242.98584449000001</v>
      </c>
      <c r="EL154" s="130">
        <v>847.5</v>
      </c>
      <c r="EM154" s="131">
        <v>735.83500000000004</v>
      </c>
      <c r="EN154" s="129">
        <v>429.85082277999999</v>
      </c>
      <c r="EO154" s="129">
        <v>10964.025395000001</v>
      </c>
      <c r="EP154" s="129">
        <v>0</v>
      </c>
      <c r="ER154" s="157">
        <v>0</v>
      </c>
      <c r="ES154" s="37">
        <v>0</v>
      </c>
      <c r="ET154" s="55">
        <f t="shared" si="19"/>
        <v>0</v>
      </c>
      <c r="EU154" s="157">
        <v>0</v>
      </c>
      <c r="EV154" s="37">
        <v>0</v>
      </c>
      <c r="EW154" s="55">
        <f t="shared" si="18"/>
        <v>0</v>
      </c>
      <c r="EY154" s="166">
        <v>562.79134395000005</v>
      </c>
      <c r="EZ154" s="37">
        <v>0</v>
      </c>
      <c r="FA154" s="164">
        <f t="shared" si="20"/>
        <v>4.1369609772287236E-2</v>
      </c>
      <c r="FB154" s="5">
        <v>0</v>
      </c>
      <c r="FC154" s="164">
        <f t="shared" si="21"/>
        <v>0</v>
      </c>
      <c r="FE154" s="5"/>
      <c r="FF154" s="166">
        <v>2897.4</v>
      </c>
      <c r="FG154" s="37">
        <v>10423.35</v>
      </c>
      <c r="FH154" s="164">
        <f t="shared" si="22"/>
        <v>1</v>
      </c>
      <c r="FI154" s="5">
        <v>3078.2521829799998</v>
      </c>
      <c r="FJ154" s="164">
        <f t="shared" si="23"/>
        <v>0.80225493431847794</v>
      </c>
      <c r="FL154" s="169">
        <v>7873</v>
      </c>
      <c r="FM154" s="170">
        <f t="shared" si="24"/>
        <v>0.68245451314546257</v>
      </c>
      <c r="FN154" s="169">
        <v>2591</v>
      </c>
      <c r="FO154" s="170">
        <f t="shared" si="25"/>
        <v>0.82634348588741824</v>
      </c>
    </row>
    <row r="155" spans="16:171" x14ac:dyDescent="0.35">
      <c r="P155" s="64">
        <v>153</v>
      </c>
      <c r="Q155" s="109">
        <v>0</v>
      </c>
      <c r="R155" s="110">
        <v>0</v>
      </c>
      <c r="S155" s="111">
        <v>0</v>
      </c>
      <c r="T155" s="110">
        <v>0</v>
      </c>
      <c r="U155" s="111">
        <v>0</v>
      </c>
      <c r="V155" s="110">
        <v>0</v>
      </c>
      <c r="W155" s="111">
        <v>0</v>
      </c>
      <c r="X155" s="110">
        <v>0</v>
      </c>
      <c r="Y155" s="111">
        <v>0</v>
      </c>
      <c r="Z155" s="110">
        <v>0</v>
      </c>
      <c r="AA155" s="111">
        <v>0</v>
      </c>
      <c r="AB155" s="110">
        <v>0</v>
      </c>
      <c r="AC155" s="111">
        <v>0</v>
      </c>
      <c r="AD155" s="110">
        <v>0</v>
      </c>
      <c r="AF155" s="64">
        <v>153</v>
      </c>
      <c r="AG155" s="109">
        <v>56959.872000000003</v>
      </c>
      <c r="AH155" s="111">
        <v>2097.6</v>
      </c>
      <c r="AI155" s="109">
        <v>456</v>
      </c>
      <c r="AJ155" s="59">
        <v>0.64</v>
      </c>
      <c r="AK155" s="59">
        <v>0.91199999999999992</v>
      </c>
      <c r="AL155" s="59">
        <v>0.91200000000000003</v>
      </c>
      <c r="AM155" s="110">
        <v>390.83</v>
      </c>
      <c r="AN155" s="111">
        <v>8383.3919999999998</v>
      </c>
      <c r="AO155" s="59">
        <v>0.60499999999999998</v>
      </c>
      <c r="AP155" s="55">
        <v>0.72</v>
      </c>
      <c r="AQ155" s="109">
        <v>37820.800000000003</v>
      </c>
      <c r="AR155" s="111">
        <v>18897.375</v>
      </c>
      <c r="AS155" s="59">
        <v>0.84800000000000009</v>
      </c>
      <c r="AT155" s="55">
        <v>0.80500000000000005</v>
      </c>
      <c r="AU155" s="43"/>
      <c r="AV155" s="109">
        <v>891.48299999999995</v>
      </c>
      <c r="AW155" s="110">
        <v>0.36200003248519891</v>
      </c>
      <c r="AX155" s="109">
        <v>1031.7850000000001</v>
      </c>
      <c r="AY155" s="110">
        <v>0.64205662725575607</v>
      </c>
      <c r="AZ155" s="109">
        <v>1121.4780000000001</v>
      </c>
      <c r="BA155" s="110">
        <v>0.5784392407674851</v>
      </c>
      <c r="BB155" s="43"/>
      <c r="BC155" s="112">
        <v>53641.616999999998</v>
      </c>
      <c r="BD155" s="110">
        <v>0.77049180327868849</v>
      </c>
      <c r="BE155" s="43"/>
      <c r="BF155" s="157">
        <v>24359.144</v>
      </c>
      <c r="BG155" s="43">
        <v>0</v>
      </c>
      <c r="BH155" s="113">
        <v>0</v>
      </c>
      <c r="BI155" s="114">
        <v>0.74721300613496933</v>
      </c>
      <c r="BJ155" s="115">
        <v>0</v>
      </c>
      <c r="BK155" s="113">
        <v>0</v>
      </c>
      <c r="BL155" s="113">
        <v>0</v>
      </c>
      <c r="BM155" s="113">
        <v>0</v>
      </c>
      <c r="BN155" s="113">
        <v>5428.94</v>
      </c>
      <c r="BO155" s="114">
        <v>0.40280011871197502</v>
      </c>
      <c r="BP155" s="115">
        <v>0</v>
      </c>
      <c r="BQ155" s="43">
        <v>7668</v>
      </c>
      <c r="BR155" s="43">
        <v>0</v>
      </c>
      <c r="BS155" s="43"/>
      <c r="BT155" s="116">
        <v>-700</v>
      </c>
      <c r="BU155" s="43">
        <v>0</v>
      </c>
      <c r="BV155" s="43">
        <v>4485</v>
      </c>
      <c r="BW155" s="43">
        <v>4485</v>
      </c>
      <c r="BX155" s="43">
        <v>0</v>
      </c>
      <c r="BY155" s="43">
        <v>0</v>
      </c>
      <c r="BZ155" s="43">
        <v>-5000</v>
      </c>
      <c r="CA155" s="43">
        <v>0</v>
      </c>
      <c r="CB155" s="43">
        <v>-5300</v>
      </c>
      <c r="CC155" s="43">
        <v>0</v>
      </c>
      <c r="CD155" s="43">
        <v>-4000</v>
      </c>
      <c r="CE155" s="43">
        <v>0</v>
      </c>
      <c r="CF155" s="43">
        <v>-4800</v>
      </c>
      <c r="CG155" s="43">
        <v>0</v>
      </c>
      <c r="CH155" s="43">
        <v>20200.097486499999</v>
      </c>
      <c r="CI155" s="43">
        <v>20200.097486499999</v>
      </c>
      <c r="CJ155" s="114">
        <v>24685.097486499999</v>
      </c>
      <c r="CK155" s="43"/>
      <c r="CL155" s="116">
        <v>-700</v>
      </c>
      <c r="CM155" s="43">
        <v>700</v>
      </c>
      <c r="CN155" s="43">
        <v>4485</v>
      </c>
      <c r="CO155" s="43">
        <v>0</v>
      </c>
      <c r="CP155" s="43">
        <v>0</v>
      </c>
      <c r="CQ155" s="43">
        <v>0</v>
      </c>
      <c r="CR155" s="43">
        <v>-5000</v>
      </c>
      <c r="CS155" s="43">
        <v>5000</v>
      </c>
      <c r="CT155" s="43">
        <v>-5300</v>
      </c>
      <c r="CU155" s="43">
        <v>5300</v>
      </c>
      <c r="CV155" s="43">
        <v>-4000</v>
      </c>
      <c r="CW155" s="43">
        <v>4000</v>
      </c>
      <c r="CX155" s="43">
        <v>-4800</v>
      </c>
      <c r="CY155" s="43">
        <v>4800</v>
      </c>
      <c r="CZ155" s="43">
        <v>20200.097486499999</v>
      </c>
      <c r="DA155" s="43">
        <v>0</v>
      </c>
      <c r="DB155" s="114">
        <v>19800</v>
      </c>
      <c r="DC155" s="43"/>
      <c r="DD155" s="117">
        <v>31600.330999999998</v>
      </c>
      <c r="DE155" s="55">
        <v>2035.595</v>
      </c>
      <c r="DF155" s="59">
        <v>4005.3451847143001</v>
      </c>
      <c r="DG155" s="59">
        <v>37641.2711847143</v>
      </c>
      <c r="DH155" s="117">
        <v>7009.6719999999996</v>
      </c>
      <c r="DI155" s="117">
        <v>49762.411</v>
      </c>
      <c r="DJ155" s="55">
        <v>8874</v>
      </c>
      <c r="DK155" s="114">
        <v>58636.411</v>
      </c>
      <c r="DL155" s="43"/>
      <c r="DM155" s="117">
        <v>1137.6869999999999</v>
      </c>
      <c r="DN155" s="55">
        <v>10553.7831128091</v>
      </c>
      <c r="DO155" s="55">
        <v>11691.4701128091</v>
      </c>
      <c r="DP155" s="59">
        <v>1455.3989030504879</v>
      </c>
      <c r="DQ155" s="59">
        <v>2931.2847992178222</v>
      </c>
      <c r="DR155" s="59">
        <v>429.85082277999999</v>
      </c>
      <c r="DS155" s="55">
        <v>3361.135621997822</v>
      </c>
      <c r="DT155" s="55">
        <v>162.84915551210119</v>
      </c>
      <c r="DU155" s="55">
        <v>162.84915551210119</v>
      </c>
      <c r="DW155" s="121">
        <v>0</v>
      </c>
      <c r="DX155" s="122">
        <v>6779.6610170000004</v>
      </c>
      <c r="DY155" s="128">
        <v>1447.7400829999999</v>
      </c>
      <c r="DZ155" s="128">
        <v>0</v>
      </c>
      <c r="EA155" s="121">
        <v>0</v>
      </c>
      <c r="EB155" s="122">
        <v>242.98584449000001</v>
      </c>
      <c r="EC155" s="121">
        <v>0</v>
      </c>
      <c r="ED155" s="122">
        <v>1271.1864410000001</v>
      </c>
      <c r="EE155" s="121">
        <v>0</v>
      </c>
      <c r="EF155" s="122">
        <v>847.5</v>
      </c>
      <c r="EG155" s="121">
        <v>0</v>
      </c>
      <c r="EH155" s="122">
        <v>7397.5988710000001</v>
      </c>
      <c r="EI155" s="121">
        <v>0</v>
      </c>
      <c r="EJ155" s="122">
        <v>6779.6610170000004</v>
      </c>
      <c r="EK155" s="129">
        <v>242.98584449000001</v>
      </c>
      <c r="EL155" s="130">
        <v>847.5</v>
      </c>
      <c r="EM155" s="131">
        <v>735.83500000000004</v>
      </c>
      <c r="EN155" s="129">
        <v>429.85082277999999</v>
      </c>
      <c r="EO155" s="129">
        <v>10964.025395000001</v>
      </c>
      <c r="EP155" s="129">
        <v>0</v>
      </c>
      <c r="ER155" s="157">
        <v>0</v>
      </c>
      <c r="ES155" s="37">
        <v>0</v>
      </c>
      <c r="ET155" s="55">
        <f t="shared" si="19"/>
        <v>0</v>
      </c>
      <c r="EU155" s="157">
        <v>0</v>
      </c>
      <c r="EV155" s="37">
        <v>0</v>
      </c>
      <c r="EW155" s="55">
        <f t="shared" si="18"/>
        <v>0</v>
      </c>
      <c r="EY155" s="166">
        <v>7211.9239925399997</v>
      </c>
      <c r="EZ155" s="37">
        <v>0</v>
      </c>
      <c r="FA155" s="164">
        <f t="shared" si="20"/>
        <v>0.53013338688677869</v>
      </c>
      <c r="FB155" s="5">
        <v>0</v>
      </c>
      <c r="FC155" s="164">
        <f t="shared" si="21"/>
        <v>0</v>
      </c>
      <c r="FE155" s="5"/>
      <c r="FF155" s="166">
        <v>2897.4</v>
      </c>
      <c r="FG155" s="37">
        <v>0</v>
      </c>
      <c r="FH155" s="164">
        <f t="shared" si="22"/>
        <v>0.21751027532233547</v>
      </c>
      <c r="FI155" s="5">
        <v>3837</v>
      </c>
      <c r="FJ155" s="164">
        <f t="shared" si="23"/>
        <v>1</v>
      </c>
      <c r="FL155" s="169">
        <v>7873</v>
      </c>
      <c r="FM155" s="170">
        <f t="shared" si="24"/>
        <v>0.68245451314546257</v>
      </c>
      <c r="FN155" s="169">
        <v>2591</v>
      </c>
      <c r="FO155" s="170">
        <f t="shared" si="25"/>
        <v>0.82634348588741824</v>
      </c>
    </row>
    <row r="156" spans="16:171" x14ac:dyDescent="0.35">
      <c r="P156" s="64">
        <v>154</v>
      </c>
      <c r="Q156" s="109">
        <v>2490</v>
      </c>
      <c r="R156" s="110">
        <v>0.03</v>
      </c>
      <c r="S156" s="111">
        <v>0</v>
      </c>
      <c r="T156" s="110">
        <v>0</v>
      </c>
      <c r="U156" s="111">
        <v>1110</v>
      </c>
      <c r="V156" s="110">
        <v>3.6999999999999998E-2</v>
      </c>
      <c r="W156" s="111">
        <v>172.5384</v>
      </c>
      <c r="X156" s="110">
        <v>1.1999999999999999E-2</v>
      </c>
      <c r="Y156" s="111">
        <v>115.9188</v>
      </c>
      <c r="Z156" s="110">
        <v>1.2E-2</v>
      </c>
      <c r="AA156" s="111">
        <v>1079.82</v>
      </c>
      <c r="AB156" s="110">
        <v>2.0999999999999998E-2</v>
      </c>
      <c r="AC156" s="111">
        <v>972.73680000000002</v>
      </c>
      <c r="AD156" s="110">
        <v>2.0999999999999998E-2</v>
      </c>
      <c r="AF156" s="64">
        <v>154</v>
      </c>
      <c r="AG156" s="109">
        <v>53933.878799999999</v>
      </c>
      <c r="AH156" s="111">
        <v>2099.9</v>
      </c>
      <c r="AI156" s="109">
        <v>456.5</v>
      </c>
      <c r="AJ156" s="59">
        <v>0.60599999999999998</v>
      </c>
      <c r="AK156" s="59">
        <v>0.91300000000000003</v>
      </c>
      <c r="AL156" s="59">
        <v>0.91300000000000003</v>
      </c>
      <c r="AM156" s="110">
        <v>341.08800000000002</v>
      </c>
      <c r="AN156" s="111">
        <v>7742.9939999999997</v>
      </c>
      <c r="AO156" s="59">
        <v>0.52800000000000002</v>
      </c>
      <c r="AP156" s="55">
        <v>0.66499999999999992</v>
      </c>
      <c r="AQ156" s="109">
        <v>37151.800000000003</v>
      </c>
      <c r="AR156" s="111">
        <v>19085.174999999999</v>
      </c>
      <c r="AS156" s="59">
        <v>0.83300000000000007</v>
      </c>
      <c r="AT156" s="55">
        <v>0.81299999999999994</v>
      </c>
      <c r="AU156" s="43"/>
      <c r="AV156" s="109">
        <v>906.25900000000001</v>
      </c>
      <c r="AW156" s="110">
        <v>0.3680000487277984</v>
      </c>
      <c r="AX156" s="109">
        <v>0</v>
      </c>
      <c r="AY156" s="110">
        <v>0</v>
      </c>
      <c r="AZ156" s="109">
        <v>1121.4780000000001</v>
      </c>
      <c r="BA156" s="110">
        <v>0.5784392407674851</v>
      </c>
      <c r="BB156" s="43"/>
      <c r="BC156" s="112">
        <v>53641.616999999998</v>
      </c>
      <c r="BD156" s="110">
        <v>0.77049180327868849</v>
      </c>
      <c r="BE156" s="43"/>
      <c r="BF156" s="157">
        <v>24295.387999999999</v>
      </c>
      <c r="BG156" s="43">
        <v>0</v>
      </c>
      <c r="BH156" s="113">
        <v>0</v>
      </c>
      <c r="BI156" s="114">
        <v>0.74525730061349693</v>
      </c>
      <c r="BJ156" s="115">
        <v>0</v>
      </c>
      <c r="BK156" s="113">
        <v>0</v>
      </c>
      <c r="BL156" s="113">
        <v>0</v>
      </c>
      <c r="BM156" s="113">
        <v>0</v>
      </c>
      <c r="BN156" s="113">
        <v>4891.6629999999996</v>
      </c>
      <c r="BO156" s="114">
        <v>0.36293686006825937</v>
      </c>
      <c r="BP156" s="115">
        <v>0</v>
      </c>
      <c r="BQ156" s="43">
        <v>7668</v>
      </c>
      <c r="BR156" s="43">
        <v>0</v>
      </c>
      <c r="BS156" s="43"/>
      <c r="BT156" s="116">
        <v>-700</v>
      </c>
      <c r="BU156" s="43">
        <v>0</v>
      </c>
      <c r="BV156" s="43">
        <v>4485</v>
      </c>
      <c r="BW156" s="43">
        <v>4485</v>
      </c>
      <c r="BX156" s="43">
        <v>0</v>
      </c>
      <c r="BY156" s="43">
        <v>0</v>
      </c>
      <c r="BZ156" s="43">
        <v>-5000</v>
      </c>
      <c r="CA156" s="43">
        <v>0</v>
      </c>
      <c r="CB156" s="43">
        <v>-5300</v>
      </c>
      <c r="CC156" s="43">
        <v>0</v>
      </c>
      <c r="CD156" s="43">
        <v>-4000</v>
      </c>
      <c r="CE156" s="43">
        <v>0</v>
      </c>
      <c r="CF156" s="43">
        <v>-4800</v>
      </c>
      <c r="CG156" s="43">
        <v>0</v>
      </c>
      <c r="CH156" s="43">
        <v>20381.173239299998</v>
      </c>
      <c r="CI156" s="43">
        <v>20381.173239299998</v>
      </c>
      <c r="CJ156" s="114">
        <v>24866.173239299998</v>
      </c>
      <c r="CK156" s="43"/>
      <c r="CL156" s="116">
        <v>-700</v>
      </c>
      <c r="CM156" s="43">
        <v>700</v>
      </c>
      <c r="CN156" s="43">
        <v>4485</v>
      </c>
      <c r="CO156" s="43">
        <v>0</v>
      </c>
      <c r="CP156" s="43">
        <v>0</v>
      </c>
      <c r="CQ156" s="43">
        <v>0</v>
      </c>
      <c r="CR156" s="43">
        <v>-5000</v>
      </c>
      <c r="CS156" s="43">
        <v>5000</v>
      </c>
      <c r="CT156" s="43">
        <v>-5300</v>
      </c>
      <c r="CU156" s="43">
        <v>5300</v>
      </c>
      <c r="CV156" s="43">
        <v>-4000</v>
      </c>
      <c r="CW156" s="43">
        <v>4000</v>
      </c>
      <c r="CX156" s="43">
        <v>-4800</v>
      </c>
      <c r="CY156" s="43">
        <v>4800</v>
      </c>
      <c r="CZ156" s="43">
        <v>20381.173239299998</v>
      </c>
      <c r="DA156" s="43">
        <v>0</v>
      </c>
      <c r="DB156" s="114">
        <v>19800</v>
      </c>
      <c r="DC156" s="43"/>
      <c r="DD156" s="117">
        <v>34110.508000000002</v>
      </c>
      <c r="DE156" s="55">
        <v>1913.068</v>
      </c>
      <c r="DF156" s="59">
        <v>2484.8285621874002</v>
      </c>
      <c r="DG156" s="59">
        <v>38508.404562187403</v>
      </c>
      <c r="DH156" s="117">
        <v>7404.299</v>
      </c>
      <c r="DI156" s="117">
        <v>50267.411</v>
      </c>
      <c r="DJ156" s="55">
        <v>9802</v>
      </c>
      <c r="DK156" s="114">
        <v>60069.411</v>
      </c>
      <c r="DL156" s="43"/>
      <c r="DM156" s="117">
        <v>1060.5630000000001</v>
      </c>
      <c r="DN156" s="55">
        <v>10553.7831128091</v>
      </c>
      <c r="DO156" s="55">
        <v>11614.3461128091</v>
      </c>
      <c r="DP156" s="59">
        <v>1455.3989030504879</v>
      </c>
      <c r="DQ156" s="59">
        <v>2931.2847992178222</v>
      </c>
      <c r="DR156" s="59">
        <v>429.85082277999999</v>
      </c>
      <c r="DS156" s="55">
        <v>3361.135621997822</v>
      </c>
      <c r="DT156" s="55">
        <v>162.84915551210119</v>
      </c>
      <c r="DU156" s="55">
        <v>162.84915551210119</v>
      </c>
      <c r="DW156" s="121">
        <v>0</v>
      </c>
      <c r="DX156" s="122">
        <v>6779.6610170000004</v>
      </c>
      <c r="DY156" s="128">
        <v>1447.7400829999999</v>
      </c>
      <c r="DZ156" s="128">
        <v>0</v>
      </c>
      <c r="EA156" s="121">
        <v>0</v>
      </c>
      <c r="EB156" s="122">
        <v>242.98584449000001</v>
      </c>
      <c r="EC156" s="121">
        <v>0</v>
      </c>
      <c r="ED156" s="122">
        <v>1271.1864410000001</v>
      </c>
      <c r="EE156" s="121">
        <v>0</v>
      </c>
      <c r="EF156" s="122">
        <v>847.5</v>
      </c>
      <c r="EG156" s="121">
        <v>0</v>
      </c>
      <c r="EH156" s="122">
        <v>7397.5988710000001</v>
      </c>
      <c r="EI156" s="121">
        <v>0</v>
      </c>
      <c r="EJ156" s="122">
        <v>6779.6610170000004</v>
      </c>
      <c r="EK156" s="129">
        <v>242.98584449000001</v>
      </c>
      <c r="EL156" s="130">
        <v>847.5</v>
      </c>
      <c r="EM156" s="131">
        <v>735.83500000000004</v>
      </c>
      <c r="EN156" s="129">
        <v>429.85082277999999</v>
      </c>
      <c r="EO156" s="129">
        <v>10964.025395000001</v>
      </c>
      <c r="EP156" s="129">
        <v>0</v>
      </c>
      <c r="ER156" s="157">
        <v>0</v>
      </c>
      <c r="ES156" s="37">
        <v>0</v>
      </c>
      <c r="ET156" s="55">
        <f t="shared" si="19"/>
        <v>0</v>
      </c>
      <c r="EU156" s="157">
        <v>0</v>
      </c>
      <c r="EV156" s="37">
        <v>0</v>
      </c>
      <c r="EW156" s="55">
        <f t="shared" si="18"/>
        <v>0</v>
      </c>
      <c r="EY156" s="166">
        <v>6322.18954536</v>
      </c>
      <c r="EZ156" s="37">
        <v>0</v>
      </c>
      <c r="FA156" s="164">
        <f t="shared" si="20"/>
        <v>0.46473087621122644</v>
      </c>
      <c r="FB156" s="5">
        <v>0</v>
      </c>
      <c r="FC156" s="164">
        <f t="shared" si="21"/>
        <v>0</v>
      </c>
      <c r="FE156" s="5"/>
      <c r="FF156" s="166">
        <v>2897.4</v>
      </c>
      <c r="FG156" s="37">
        <v>0</v>
      </c>
      <c r="FH156" s="164">
        <f t="shared" si="22"/>
        <v>0.21751027532233547</v>
      </c>
      <c r="FI156" s="5">
        <v>0</v>
      </c>
      <c r="FJ156" s="164">
        <f t="shared" si="23"/>
        <v>0</v>
      </c>
      <c r="FL156" s="169">
        <v>7873</v>
      </c>
      <c r="FM156" s="170">
        <f t="shared" si="24"/>
        <v>0.68245451314546257</v>
      </c>
      <c r="FN156" s="169">
        <v>2591</v>
      </c>
      <c r="FO156" s="170">
        <f t="shared" si="25"/>
        <v>0.82634348588741824</v>
      </c>
    </row>
    <row r="157" spans="16:171" x14ac:dyDescent="0.35">
      <c r="P157" s="64">
        <v>155</v>
      </c>
      <c r="Q157" s="109">
        <v>6806</v>
      </c>
      <c r="R157" s="110">
        <v>8.2000000000000003E-2</v>
      </c>
      <c r="S157" s="111">
        <v>81.685000000000002</v>
      </c>
      <c r="T157" s="110">
        <v>1.7000000000000001E-2</v>
      </c>
      <c r="U157" s="111">
        <v>3210</v>
      </c>
      <c r="V157" s="110">
        <v>0.107</v>
      </c>
      <c r="W157" s="111">
        <v>704.53179999999998</v>
      </c>
      <c r="X157" s="110">
        <v>4.8999999999999995E-2</v>
      </c>
      <c r="Y157" s="111">
        <v>540.95439999999996</v>
      </c>
      <c r="Z157" s="110">
        <v>5.6000000000000001E-2</v>
      </c>
      <c r="AA157" s="111">
        <v>4267.8599999999997</v>
      </c>
      <c r="AB157" s="110">
        <v>8.299999999999999E-2</v>
      </c>
      <c r="AC157" s="111">
        <v>3427.7392</v>
      </c>
      <c r="AD157" s="110">
        <v>7.3999999999999996E-2</v>
      </c>
      <c r="AF157" s="64">
        <v>155</v>
      </c>
      <c r="AG157" s="109">
        <v>53666.879399999998</v>
      </c>
      <c r="AH157" s="111">
        <v>2093</v>
      </c>
      <c r="AI157" s="109">
        <v>455</v>
      </c>
      <c r="AJ157" s="59">
        <v>0.60299999999999998</v>
      </c>
      <c r="AK157" s="59">
        <v>0.91</v>
      </c>
      <c r="AL157" s="59">
        <v>0.91</v>
      </c>
      <c r="AM157" s="110">
        <v>288.11599999999999</v>
      </c>
      <c r="AN157" s="111">
        <v>7230.6755999999996</v>
      </c>
      <c r="AO157" s="59">
        <v>0.44599999999999995</v>
      </c>
      <c r="AP157" s="55">
        <v>0.621</v>
      </c>
      <c r="AQ157" s="109">
        <v>36705.800000000003</v>
      </c>
      <c r="AR157" s="111">
        <v>19695.525000000001</v>
      </c>
      <c r="AS157" s="59">
        <v>0.82300000000000006</v>
      </c>
      <c r="AT157" s="55">
        <v>0.83900000000000008</v>
      </c>
      <c r="AU157" s="43"/>
      <c r="AV157" s="109">
        <v>901.33399999999995</v>
      </c>
      <c r="AW157" s="110">
        <v>0.36600017866859413</v>
      </c>
      <c r="AX157" s="109">
        <v>1033.3889999999999</v>
      </c>
      <c r="AY157" s="110">
        <v>0.64305476042314869</v>
      </c>
      <c r="AZ157" s="109">
        <v>1121.4780000000001</v>
      </c>
      <c r="BA157" s="110">
        <v>0.5784392407674851</v>
      </c>
      <c r="BB157" s="43"/>
      <c r="BC157" s="112">
        <v>53641.616999999998</v>
      </c>
      <c r="BD157" s="110">
        <v>0.77049180327868849</v>
      </c>
      <c r="BE157" s="43"/>
      <c r="BF157" s="157">
        <v>26488.441999999999</v>
      </c>
      <c r="BG157" s="43">
        <v>0</v>
      </c>
      <c r="BH157" s="113">
        <v>0</v>
      </c>
      <c r="BI157" s="114">
        <v>0.81252889570552145</v>
      </c>
      <c r="BJ157" s="115">
        <v>0</v>
      </c>
      <c r="BK157" s="113">
        <v>0</v>
      </c>
      <c r="BL157" s="113">
        <v>0</v>
      </c>
      <c r="BM157" s="113">
        <v>0</v>
      </c>
      <c r="BN157" s="113">
        <v>4668.4679999999998</v>
      </c>
      <c r="BO157" s="114">
        <v>0.34637691052084879</v>
      </c>
      <c r="BP157" s="115">
        <v>0</v>
      </c>
      <c r="BQ157" s="43">
        <v>7668</v>
      </c>
      <c r="BR157" s="43">
        <v>0</v>
      </c>
      <c r="BS157" s="43"/>
      <c r="BT157" s="116">
        <v>-700</v>
      </c>
      <c r="BU157" s="43">
        <v>0</v>
      </c>
      <c r="BV157" s="43">
        <v>4485</v>
      </c>
      <c r="BW157" s="43">
        <v>4485</v>
      </c>
      <c r="BX157" s="43">
        <v>0</v>
      </c>
      <c r="BY157" s="43">
        <v>0</v>
      </c>
      <c r="BZ157" s="43">
        <v>-5000</v>
      </c>
      <c r="CA157" s="43">
        <v>0</v>
      </c>
      <c r="CB157" s="43">
        <v>-5300</v>
      </c>
      <c r="CC157" s="43">
        <v>0</v>
      </c>
      <c r="CD157" s="43">
        <v>-4000</v>
      </c>
      <c r="CE157" s="43">
        <v>0</v>
      </c>
      <c r="CF157" s="43">
        <v>-4800</v>
      </c>
      <c r="CG157" s="43">
        <v>0</v>
      </c>
      <c r="CH157" s="43">
        <v>20889.164371880001</v>
      </c>
      <c r="CI157" s="43">
        <v>20889.164371880001</v>
      </c>
      <c r="CJ157" s="114">
        <v>25374.164371880001</v>
      </c>
      <c r="CK157" s="43"/>
      <c r="CL157" s="116">
        <v>-700</v>
      </c>
      <c r="CM157" s="43">
        <v>700</v>
      </c>
      <c r="CN157" s="43">
        <v>4485</v>
      </c>
      <c r="CO157" s="43">
        <v>0</v>
      </c>
      <c r="CP157" s="43">
        <v>0</v>
      </c>
      <c r="CQ157" s="43">
        <v>0</v>
      </c>
      <c r="CR157" s="43">
        <v>-5000</v>
      </c>
      <c r="CS157" s="43">
        <v>5000</v>
      </c>
      <c r="CT157" s="43">
        <v>-5300</v>
      </c>
      <c r="CU157" s="43">
        <v>5300</v>
      </c>
      <c r="CV157" s="43">
        <v>-4000</v>
      </c>
      <c r="CW157" s="43">
        <v>4000</v>
      </c>
      <c r="CX157" s="43">
        <v>-4800</v>
      </c>
      <c r="CY157" s="43">
        <v>4800</v>
      </c>
      <c r="CZ157" s="43">
        <v>20889.164371880001</v>
      </c>
      <c r="DA157" s="43">
        <v>0</v>
      </c>
      <c r="DB157" s="114">
        <v>19800</v>
      </c>
      <c r="DC157" s="43"/>
      <c r="DD157" s="117">
        <v>35040.794000000002</v>
      </c>
      <c r="DE157" s="55">
        <v>1764.1790000000001</v>
      </c>
      <c r="DF157" s="59">
        <v>2000.9532392553001</v>
      </c>
      <c r="DG157" s="59">
        <v>38805.926239255299</v>
      </c>
      <c r="DH157" s="117">
        <v>7957.683</v>
      </c>
      <c r="DI157" s="117">
        <v>51744.411</v>
      </c>
      <c r="DJ157" s="55">
        <v>9675</v>
      </c>
      <c r="DK157" s="114">
        <v>61419.411</v>
      </c>
      <c r="DL157" s="43"/>
      <c r="DM157" s="117">
        <v>990.99400000000003</v>
      </c>
      <c r="DN157" s="55">
        <v>10553.7831128091</v>
      </c>
      <c r="DO157" s="55">
        <v>11544.777112809101</v>
      </c>
      <c r="DP157" s="59">
        <v>1639.11874024391</v>
      </c>
      <c r="DQ157" s="59">
        <v>2931.2847992178222</v>
      </c>
      <c r="DR157" s="59">
        <v>429.85082277999999</v>
      </c>
      <c r="DS157" s="55">
        <v>3361.135621997822</v>
      </c>
      <c r="DT157" s="55">
        <v>162.84915551210119</v>
      </c>
      <c r="DU157" s="55">
        <v>162.84915551210119</v>
      </c>
      <c r="DW157" s="121">
        <v>0</v>
      </c>
      <c r="DX157" s="122">
        <v>6779.6610170000004</v>
      </c>
      <c r="DY157" s="128">
        <v>1447.7400829999999</v>
      </c>
      <c r="DZ157" s="128">
        <v>0</v>
      </c>
      <c r="EA157" s="121">
        <v>0</v>
      </c>
      <c r="EB157" s="122">
        <v>242.98584449000001</v>
      </c>
      <c r="EC157" s="121">
        <v>0</v>
      </c>
      <c r="ED157" s="122">
        <v>1271.1864410000001</v>
      </c>
      <c r="EE157" s="121">
        <v>0</v>
      </c>
      <c r="EF157" s="122">
        <v>847.5</v>
      </c>
      <c r="EG157" s="121">
        <v>0</v>
      </c>
      <c r="EH157" s="122">
        <v>7397.5988710000001</v>
      </c>
      <c r="EI157" s="121">
        <v>0</v>
      </c>
      <c r="EJ157" s="122">
        <v>6779.6610170000004</v>
      </c>
      <c r="EK157" s="129">
        <v>242.98584449000001</v>
      </c>
      <c r="EL157" s="130">
        <v>847.5</v>
      </c>
      <c r="EM157" s="131">
        <v>735.83500000000004</v>
      </c>
      <c r="EN157" s="129">
        <v>429.85082277999999</v>
      </c>
      <c r="EO157" s="129">
        <v>10964.025395000001</v>
      </c>
      <c r="EP157" s="129">
        <v>0</v>
      </c>
      <c r="ER157" s="157">
        <v>0</v>
      </c>
      <c r="ES157" s="37">
        <v>0</v>
      </c>
      <c r="ET157" s="55">
        <f t="shared" si="19"/>
        <v>0</v>
      </c>
      <c r="EU157" s="157">
        <v>0</v>
      </c>
      <c r="EV157" s="37">
        <v>0</v>
      </c>
      <c r="EW157" s="55">
        <f t="shared" si="18"/>
        <v>0</v>
      </c>
      <c r="EY157" s="166">
        <v>4283.9895957500003</v>
      </c>
      <c r="EZ157" s="37">
        <v>0</v>
      </c>
      <c r="FA157" s="164">
        <f t="shared" si="20"/>
        <v>0.31490707835133547</v>
      </c>
      <c r="FB157" s="5">
        <v>0</v>
      </c>
      <c r="FC157" s="164">
        <f t="shared" si="21"/>
        <v>0</v>
      </c>
      <c r="FE157" s="5"/>
      <c r="FF157" s="166">
        <v>2897.4</v>
      </c>
      <c r="FG157" s="37">
        <v>10423.35</v>
      </c>
      <c r="FH157" s="164">
        <f t="shared" si="22"/>
        <v>1</v>
      </c>
      <c r="FI157" s="5">
        <v>3837</v>
      </c>
      <c r="FJ157" s="164">
        <f t="shared" si="23"/>
        <v>1</v>
      </c>
      <c r="FL157" s="169">
        <v>7873</v>
      </c>
      <c r="FM157" s="170">
        <f t="shared" si="24"/>
        <v>0.68245451314546257</v>
      </c>
      <c r="FN157" s="169">
        <v>2591</v>
      </c>
      <c r="FO157" s="170">
        <f t="shared" si="25"/>
        <v>0.82634348588741824</v>
      </c>
    </row>
    <row r="158" spans="16:171" x14ac:dyDescent="0.35">
      <c r="P158" s="64">
        <v>156</v>
      </c>
      <c r="Q158" s="109">
        <v>11288</v>
      </c>
      <c r="R158" s="110">
        <v>0.13600000000000001</v>
      </c>
      <c r="S158" s="111">
        <v>134.54</v>
      </c>
      <c r="T158" s="110">
        <v>2.7999999999999997E-2</v>
      </c>
      <c r="U158" s="111">
        <v>5370</v>
      </c>
      <c r="V158" s="110">
        <v>0.17899999999999999</v>
      </c>
      <c r="W158" s="111">
        <v>1294.038</v>
      </c>
      <c r="X158" s="110">
        <v>0.09</v>
      </c>
      <c r="Y158" s="111">
        <v>1043.2692</v>
      </c>
      <c r="Z158" s="110">
        <v>0.108</v>
      </c>
      <c r="AA158" s="111">
        <v>8124.36</v>
      </c>
      <c r="AB158" s="110">
        <v>0.158</v>
      </c>
      <c r="AC158" s="111">
        <v>6253.308</v>
      </c>
      <c r="AD158" s="110">
        <v>0.13499999999999998</v>
      </c>
      <c r="AF158" s="64">
        <v>156</v>
      </c>
      <c r="AG158" s="109">
        <v>55001.876400000001</v>
      </c>
      <c r="AH158" s="111">
        <v>2093</v>
      </c>
      <c r="AI158" s="109">
        <v>455</v>
      </c>
      <c r="AJ158" s="59">
        <v>0.61799999999999999</v>
      </c>
      <c r="AK158" s="59">
        <v>0.91</v>
      </c>
      <c r="AL158" s="59">
        <v>0.91</v>
      </c>
      <c r="AM158" s="110">
        <v>239.666</v>
      </c>
      <c r="AN158" s="111">
        <v>6695.07</v>
      </c>
      <c r="AO158" s="59">
        <v>0.371</v>
      </c>
      <c r="AP158" s="55">
        <v>0.57499999999999996</v>
      </c>
      <c r="AQ158" s="109">
        <v>36170.6</v>
      </c>
      <c r="AR158" s="111">
        <v>20634.525000000001</v>
      </c>
      <c r="AS158" s="59">
        <v>0.81099999999999994</v>
      </c>
      <c r="AT158" s="55">
        <v>0.87900000000000011</v>
      </c>
      <c r="AU158" s="43"/>
      <c r="AV158" s="109">
        <v>911.18399999999997</v>
      </c>
      <c r="AW158" s="110">
        <v>0.36999991878700267</v>
      </c>
      <c r="AX158" s="109">
        <v>1024.3230000000001</v>
      </c>
      <c r="AY158" s="110">
        <v>0.63741319228375859</v>
      </c>
      <c r="AZ158" s="109">
        <v>1121.4780000000001</v>
      </c>
      <c r="BA158" s="110">
        <v>0.5784392407674851</v>
      </c>
      <c r="BB158" s="43"/>
      <c r="BC158" s="112">
        <v>53641.616999999998</v>
      </c>
      <c r="BD158" s="110">
        <v>0.77049180327868849</v>
      </c>
      <c r="BE158" s="43"/>
      <c r="BF158" s="157">
        <v>29483.574000000001</v>
      </c>
      <c r="BG158" s="43">
        <v>0</v>
      </c>
      <c r="BH158" s="113">
        <v>0</v>
      </c>
      <c r="BI158" s="114">
        <v>0.9044041104294479</v>
      </c>
      <c r="BJ158" s="115">
        <v>0</v>
      </c>
      <c r="BK158" s="113">
        <v>0</v>
      </c>
      <c r="BL158" s="113">
        <v>0</v>
      </c>
      <c r="BM158" s="113">
        <v>0</v>
      </c>
      <c r="BN158" s="113">
        <v>4582.625</v>
      </c>
      <c r="BO158" s="114">
        <v>0.34000779047336399</v>
      </c>
      <c r="BP158" s="115">
        <v>0</v>
      </c>
      <c r="BQ158" s="43">
        <v>7668</v>
      </c>
      <c r="BR158" s="43">
        <v>0</v>
      </c>
      <c r="BS158" s="43"/>
      <c r="BT158" s="116">
        <v>-700</v>
      </c>
      <c r="BU158" s="43">
        <v>0</v>
      </c>
      <c r="BV158" s="43">
        <v>4485</v>
      </c>
      <c r="BW158" s="43">
        <v>4485</v>
      </c>
      <c r="BX158" s="43">
        <v>0</v>
      </c>
      <c r="BY158" s="43">
        <v>0</v>
      </c>
      <c r="BZ158" s="43">
        <v>-5000</v>
      </c>
      <c r="CA158" s="43">
        <v>0</v>
      </c>
      <c r="CB158" s="43">
        <v>-5300</v>
      </c>
      <c r="CC158" s="43">
        <v>0</v>
      </c>
      <c r="CD158" s="43">
        <v>-4000</v>
      </c>
      <c r="CE158" s="43">
        <v>0</v>
      </c>
      <c r="CF158" s="43">
        <v>-4800</v>
      </c>
      <c r="CG158" s="43">
        <v>0</v>
      </c>
      <c r="CH158" s="43">
        <v>20592.227723399999</v>
      </c>
      <c r="CI158" s="43">
        <v>20592.227723399999</v>
      </c>
      <c r="CJ158" s="114">
        <v>25077.227723399999</v>
      </c>
      <c r="CK158" s="43"/>
      <c r="CL158" s="116">
        <v>-700</v>
      </c>
      <c r="CM158" s="43">
        <v>700</v>
      </c>
      <c r="CN158" s="43">
        <v>4485</v>
      </c>
      <c r="CO158" s="43">
        <v>0</v>
      </c>
      <c r="CP158" s="43">
        <v>0</v>
      </c>
      <c r="CQ158" s="43">
        <v>0</v>
      </c>
      <c r="CR158" s="43">
        <v>-5000</v>
      </c>
      <c r="CS158" s="43">
        <v>5000</v>
      </c>
      <c r="CT158" s="43">
        <v>-5300</v>
      </c>
      <c r="CU158" s="43">
        <v>5300</v>
      </c>
      <c r="CV158" s="43">
        <v>-4000</v>
      </c>
      <c r="CW158" s="43">
        <v>4000</v>
      </c>
      <c r="CX158" s="43">
        <v>-4800</v>
      </c>
      <c r="CY158" s="43">
        <v>4800</v>
      </c>
      <c r="CZ158" s="43">
        <v>20592.227723399999</v>
      </c>
      <c r="DA158" s="43">
        <v>0</v>
      </c>
      <c r="DB158" s="114">
        <v>19800</v>
      </c>
      <c r="DC158" s="43"/>
      <c r="DD158" s="117">
        <v>35902.012000000002</v>
      </c>
      <c r="DE158" s="55">
        <v>1736.2159999999999</v>
      </c>
      <c r="DF158" s="59">
        <v>2578.0380017264001</v>
      </c>
      <c r="DG158" s="59">
        <v>40216.266001726406</v>
      </c>
      <c r="DH158" s="117">
        <v>8638.7980000000007</v>
      </c>
      <c r="DI158" s="117">
        <v>54506.411</v>
      </c>
      <c r="DJ158" s="55">
        <v>9365</v>
      </c>
      <c r="DK158" s="114">
        <v>63871.411</v>
      </c>
      <c r="DL158" s="43"/>
      <c r="DM158" s="117">
        <v>941.68299999999999</v>
      </c>
      <c r="DN158" s="55">
        <v>10569.62924658717</v>
      </c>
      <c r="DO158" s="55">
        <v>11511.312246587171</v>
      </c>
      <c r="DP158" s="59">
        <v>1639.11874024391</v>
      </c>
      <c r="DQ158" s="59">
        <v>2939.6344044654588</v>
      </c>
      <c r="DR158" s="59">
        <v>421.50121753000002</v>
      </c>
      <c r="DS158" s="55">
        <v>3361.1356219954587</v>
      </c>
      <c r="DT158" s="55">
        <v>163.31302247030331</v>
      </c>
      <c r="DU158" s="55">
        <v>163.31302247030331</v>
      </c>
      <c r="DW158" s="121">
        <v>0</v>
      </c>
      <c r="DX158" s="122">
        <v>6779.6610170000004</v>
      </c>
      <c r="DY158" s="128">
        <v>1447.7400829999999</v>
      </c>
      <c r="DZ158" s="128">
        <v>0</v>
      </c>
      <c r="EA158" s="121">
        <v>0</v>
      </c>
      <c r="EB158" s="122">
        <v>242.52197752999999</v>
      </c>
      <c r="EC158" s="121">
        <v>0</v>
      </c>
      <c r="ED158" s="122">
        <v>1271.1864410000001</v>
      </c>
      <c r="EE158" s="121">
        <v>0</v>
      </c>
      <c r="EF158" s="122">
        <v>847.5</v>
      </c>
      <c r="EG158" s="121">
        <v>0</v>
      </c>
      <c r="EH158" s="122">
        <v>7397.5988710000001</v>
      </c>
      <c r="EI158" s="121">
        <v>0</v>
      </c>
      <c r="EJ158" s="122">
        <v>6779.6610170000004</v>
      </c>
      <c r="EK158" s="129">
        <v>242.52197752999999</v>
      </c>
      <c r="EL158" s="130">
        <v>847.5</v>
      </c>
      <c r="EM158" s="131">
        <v>735.83500000000004</v>
      </c>
      <c r="EN158" s="129">
        <v>421.50121753000002</v>
      </c>
      <c r="EO158" s="129">
        <v>10964.025395000001</v>
      </c>
      <c r="EP158" s="129">
        <v>0</v>
      </c>
      <c r="ER158" s="157">
        <v>0</v>
      </c>
      <c r="ES158" s="37">
        <v>0</v>
      </c>
      <c r="ET158" s="55">
        <f t="shared" si="19"/>
        <v>0</v>
      </c>
      <c r="EU158" s="157">
        <v>0</v>
      </c>
      <c r="EV158" s="37">
        <v>0</v>
      </c>
      <c r="EW158" s="55">
        <f t="shared" si="18"/>
        <v>0</v>
      </c>
      <c r="EY158" s="166">
        <v>2998.62965033</v>
      </c>
      <c r="EZ158" s="37">
        <v>0</v>
      </c>
      <c r="FA158" s="164">
        <f t="shared" si="20"/>
        <v>0.22042296815564269</v>
      </c>
      <c r="FB158" s="5">
        <v>0</v>
      </c>
      <c r="FC158" s="164">
        <f t="shared" si="21"/>
        <v>0</v>
      </c>
      <c r="FE158" s="5"/>
      <c r="FF158" s="166">
        <v>2897.4</v>
      </c>
      <c r="FG158" s="37">
        <v>10423.35</v>
      </c>
      <c r="FH158" s="164">
        <f t="shared" si="22"/>
        <v>1</v>
      </c>
      <c r="FI158" s="5">
        <v>3837</v>
      </c>
      <c r="FJ158" s="164">
        <f t="shared" si="23"/>
        <v>1</v>
      </c>
      <c r="FL158" s="169">
        <v>7873</v>
      </c>
      <c r="FM158" s="170">
        <f t="shared" si="24"/>
        <v>0.68245451314546257</v>
      </c>
      <c r="FN158" s="169">
        <v>2591</v>
      </c>
      <c r="FO158" s="170">
        <f t="shared" si="25"/>
        <v>0.82634348588741824</v>
      </c>
    </row>
    <row r="159" spans="16:171" x14ac:dyDescent="0.35">
      <c r="P159" s="64">
        <v>157</v>
      </c>
      <c r="Q159" s="109">
        <v>15272</v>
      </c>
      <c r="R159" s="110">
        <v>0.184</v>
      </c>
      <c r="S159" s="111">
        <v>172.98</v>
      </c>
      <c r="T159" s="110">
        <v>3.5999999999999997E-2</v>
      </c>
      <c r="U159" s="111">
        <v>7200</v>
      </c>
      <c r="V159" s="110">
        <v>0.24</v>
      </c>
      <c r="W159" s="111">
        <v>2185.4863999999998</v>
      </c>
      <c r="X159" s="110">
        <v>0.15199999999999997</v>
      </c>
      <c r="Y159" s="111">
        <v>1584.2236</v>
      </c>
      <c r="Z159" s="110">
        <v>0.16400000000000001</v>
      </c>
      <c r="AA159" s="111">
        <v>11466.66</v>
      </c>
      <c r="AB159" s="110">
        <v>0.223</v>
      </c>
      <c r="AC159" s="111">
        <v>8847.2728000000006</v>
      </c>
      <c r="AD159" s="110">
        <v>0.191</v>
      </c>
      <c r="AF159" s="64">
        <v>157</v>
      </c>
      <c r="AG159" s="109">
        <v>58561.868399999999</v>
      </c>
      <c r="AH159" s="111">
        <v>2099.9</v>
      </c>
      <c r="AI159" s="109">
        <v>456.5</v>
      </c>
      <c r="AJ159" s="59">
        <v>0.65799999999999992</v>
      </c>
      <c r="AK159" s="59">
        <v>0.91300000000000003</v>
      </c>
      <c r="AL159" s="59">
        <v>0.91300000000000003</v>
      </c>
      <c r="AM159" s="110">
        <v>213.82599999999999</v>
      </c>
      <c r="AN159" s="111">
        <v>6799.8624</v>
      </c>
      <c r="AO159" s="59">
        <v>0.33100000000000002</v>
      </c>
      <c r="AP159" s="55">
        <v>0.58399999999999996</v>
      </c>
      <c r="AQ159" s="109">
        <v>35501.599999999999</v>
      </c>
      <c r="AR159" s="111">
        <v>21550.05</v>
      </c>
      <c r="AS159" s="59">
        <v>0.79599999999999993</v>
      </c>
      <c r="AT159" s="55">
        <v>0.91799999999999993</v>
      </c>
      <c r="AU159" s="43"/>
      <c r="AV159" s="109">
        <v>908.72199999999998</v>
      </c>
      <c r="AW159" s="110">
        <v>0.36900018678989388</v>
      </c>
      <c r="AX159" s="109">
        <v>1017.357</v>
      </c>
      <c r="AY159" s="110">
        <v>0.63307840696950834</v>
      </c>
      <c r="AZ159" s="109">
        <v>1121.4780000000001</v>
      </c>
      <c r="BA159" s="110">
        <v>0.5784392407674851</v>
      </c>
      <c r="BB159" s="43"/>
      <c r="BC159" s="112">
        <v>53641.616999999998</v>
      </c>
      <c r="BD159" s="110">
        <v>0.77049180327868849</v>
      </c>
      <c r="BE159" s="43"/>
      <c r="BF159" s="157">
        <v>32600</v>
      </c>
      <c r="BG159" s="43">
        <v>117.562</v>
      </c>
      <c r="BH159" s="113">
        <v>364.91800000000001</v>
      </c>
      <c r="BI159" s="114">
        <v>1</v>
      </c>
      <c r="BJ159" s="115">
        <v>1.2696949026939174E-2</v>
      </c>
      <c r="BK159" s="113">
        <v>0</v>
      </c>
      <c r="BL159" s="113">
        <v>0</v>
      </c>
      <c r="BM159" s="113">
        <v>0</v>
      </c>
      <c r="BN159" s="113">
        <v>4978.9620000000004</v>
      </c>
      <c r="BO159" s="114">
        <v>0.36941400801305835</v>
      </c>
      <c r="BP159" s="115">
        <v>0</v>
      </c>
      <c r="BQ159" s="43">
        <v>7668</v>
      </c>
      <c r="BR159" s="43">
        <v>0</v>
      </c>
      <c r="BS159" s="43"/>
      <c r="BT159" s="116">
        <v>-700</v>
      </c>
      <c r="BU159" s="43">
        <v>0</v>
      </c>
      <c r="BV159" s="43">
        <v>4485</v>
      </c>
      <c r="BW159" s="43">
        <v>4485</v>
      </c>
      <c r="BX159" s="43">
        <v>0</v>
      </c>
      <c r="BY159" s="43">
        <v>0</v>
      </c>
      <c r="BZ159" s="43">
        <v>-5000</v>
      </c>
      <c r="CA159" s="43">
        <v>0</v>
      </c>
      <c r="CB159" s="43">
        <v>-5300</v>
      </c>
      <c r="CC159" s="43">
        <v>0</v>
      </c>
      <c r="CD159" s="43">
        <v>-4000</v>
      </c>
      <c r="CE159" s="43">
        <v>0</v>
      </c>
      <c r="CF159" s="43">
        <v>-4800</v>
      </c>
      <c r="CG159" s="43">
        <v>0</v>
      </c>
      <c r="CH159" s="43">
        <v>23293.240979189999</v>
      </c>
      <c r="CI159" s="43">
        <v>23293.240979189999</v>
      </c>
      <c r="CJ159" s="114">
        <v>27778.240979189999</v>
      </c>
      <c r="CK159" s="43"/>
      <c r="CL159" s="116">
        <v>-700</v>
      </c>
      <c r="CM159" s="43">
        <v>700</v>
      </c>
      <c r="CN159" s="43">
        <v>4485</v>
      </c>
      <c r="CO159" s="43">
        <v>0</v>
      </c>
      <c r="CP159" s="43">
        <v>0</v>
      </c>
      <c r="CQ159" s="43">
        <v>0</v>
      </c>
      <c r="CR159" s="43">
        <v>-5000</v>
      </c>
      <c r="CS159" s="43">
        <v>5000</v>
      </c>
      <c r="CT159" s="43">
        <v>-5300</v>
      </c>
      <c r="CU159" s="43">
        <v>5300</v>
      </c>
      <c r="CV159" s="43">
        <v>-4000</v>
      </c>
      <c r="CW159" s="43">
        <v>4000</v>
      </c>
      <c r="CX159" s="43">
        <v>-4800</v>
      </c>
      <c r="CY159" s="43">
        <v>4800</v>
      </c>
      <c r="CZ159" s="43">
        <v>23293.240979189999</v>
      </c>
      <c r="DA159" s="43">
        <v>0</v>
      </c>
      <c r="DB159" s="114">
        <v>19800</v>
      </c>
      <c r="DC159" s="43"/>
      <c r="DD159" s="117">
        <v>36858.574999999997</v>
      </c>
      <c r="DE159" s="55">
        <v>1676.62</v>
      </c>
      <c r="DF159" s="59">
        <v>2861.3687009046998</v>
      </c>
      <c r="DG159" s="59">
        <v>41396.563700904699</v>
      </c>
      <c r="DH159" s="117">
        <v>9593.99</v>
      </c>
      <c r="DI159" s="117">
        <v>56557.411</v>
      </c>
      <c r="DJ159" s="55">
        <v>8858</v>
      </c>
      <c r="DK159" s="114">
        <v>65415.411</v>
      </c>
      <c r="DL159" s="43"/>
      <c r="DM159" s="117">
        <v>916.39</v>
      </c>
      <c r="DN159" s="55">
        <v>10553.7831128091</v>
      </c>
      <c r="DO159" s="55">
        <v>11470.1731128091</v>
      </c>
      <c r="DP159" s="59">
        <v>1639.11874024391</v>
      </c>
      <c r="DQ159" s="59">
        <v>2931.2847992178222</v>
      </c>
      <c r="DR159" s="59">
        <v>429.85082277999999</v>
      </c>
      <c r="DS159" s="55">
        <v>3361.135621997822</v>
      </c>
      <c r="DT159" s="55">
        <v>162.84915551210119</v>
      </c>
      <c r="DU159" s="55">
        <v>162.84915551210119</v>
      </c>
      <c r="DW159" s="121">
        <v>0</v>
      </c>
      <c r="DX159" s="122">
        <v>6779.6610170000004</v>
      </c>
      <c r="DY159" s="128">
        <v>1447.7400829999999</v>
      </c>
      <c r="DZ159" s="128">
        <v>0</v>
      </c>
      <c r="EA159" s="121">
        <v>0</v>
      </c>
      <c r="EB159" s="122">
        <v>242.98584449000001</v>
      </c>
      <c r="EC159" s="121">
        <v>0</v>
      </c>
      <c r="ED159" s="122">
        <v>1271.1864410000001</v>
      </c>
      <c r="EE159" s="121">
        <v>0</v>
      </c>
      <c r="EF159" s="122">
        <v>847.5</v>
      </c>
      <c r="EG159" s="121">
        <v>0</v>
      </c>
      <c r="EH159" s="122">
        <v>7397.5988710000001</v>
      </c>
      <c r="EI159" s="121">
        <v>0</v>
      </c>
      <c r="EJ159" s="122">
        <v>6779.6610170000004</v>
      </c>
      <c r="EK159" s="129">
        <v>242.98584449000001</v>
      </c>
      <c r="EL159" s="130">
        <v>847.5</v>
      </c>
      <c r="EM159" s="131">
        <v>735.83500000000004</v>
      </c>
      <c r="EN159" s="129">
        <v>429.85082277999999</v>
      </c>
      <c r="EO159" s="129">
        <v>10964.025395000001</v>
      </c>
      <c r="EP159" s="129">
        <v>0</v>
      </c>
      <c r="ER159" s="157">
        <v>0</v>
      </c>
      <c r="ES159" s="37">
        <v>0</v>
      </c>
      <c r="ET159" s="55">
        <f t="shared" si="19"/>
        <v>0</v>
      </c>
      <c r="EU159" s="157">
        <v>0</v>
      </c>
      <c r="EV159" s="37">
        <v>0</v>
      </c>
      <c r="EW159" s="55">
        <f t="shared" si="18"/>
        <v>0</v>
      </c>
      <c r="EY159" s="166">
        <v>551.08658912999999</v>
      </c>
      <c r="EZ159" s="37">
        <v>0</v>
      </c>
      <c r="FA159" s="164">
        <f t="shared" si="20"/>
        <v>4.0509217826694838E-2</v>
      </c>
      <c r="FB159" s="5">
        <v>0</v>
      </c>
      <c r="FC159" s="164">
        <f t="shared" si="21"/>
        <v>0</v>
      </c>
      <c r="FE159" s="5"/>
      <c r="FF159" s="166">
        <v>2897.4</v>
      </c>
      <c r="FG159" s="37">
        <v>10423.35</v>
      </c>
      <c r="FH159" s="164">
        <f t="shared" si="22"/>
        <v>1</v>
      </c>
      <c r="FI159" s="5">
        <v>659.54797021000002</v>
      </c>
      <c r="FJ159" s="164">
        <f t="shared" si="23"/>
        <v>0.17189157420119885</v>
      </c>
      <c r="FL159" s="169">
        <v>7873</v>
      </c>
      <c r="FM159" s="170">
        <f t="shared" si="24"/>
        <v>0.68245451314546257</v>
      </c>
      <c r="FN159" s="169">
        <v>2591</v>
      </c>
      <c r="FO159" s="170">
        <f t="shared" si="25"/>
        <v>0.82634348588741824</v>
      </c>
    </row>
    <row r="160" spans="16:171" x14ac:dyDescent="0.35">
      <c r="P160" s="64">
        <v>158</v>
      </c>
      <c r="Q160" s="109">
        <v>17347</v>
      </c>
      <c r="R160" s="110">
        <v>0.20899999999999999</v>
      </c>
      <c r="S160" s="111">
        <v>187.39500000000001</v>
      </c>
      <c r="T160" s="110">
        <v>3.9E-2</v>
      </c>
      <c r="U160" s="111">
        <v>8160</v>
      </c>
      <c r="V160" s="110">
        <v>0.27200000000000002</v>
      </c>
      <c r="W160" s="111">
        <v>2976.2874000000002</v>
      </c>
      <c r="X160" s="110">
        <v>0.20699999999999999</v>
      </c>
      <c r="Y160" s="111">
        <v>1970.6196</v>
      </c>
      <c r="Z160" s="110">
        <v>0.20400000000000001</v>
      </c>
      <c r="AA160" s="111">
        <v>13934.82</v>
      </c>
      <c r="AB160" s="110">
        <v>0.27100000000000002</v>
      </c>
      <c r="AC160" s="111">
        <v>10514.821599999999</v>
      </c>
      <c r="AD160" s="110">
        <v>0.22699999999999998</v>
      </c>
      <c r="AF160" s="64">
        <v>158</v>
      </c>
      <c r="AG160" s="109">
        <v>61943.860800000002</v>
      </c>
      <c r="AH160" s="111">
        <v>2111.4</v>
      </c>
      <c r="AI160" s="109">
        <v>459</v>
      </c>
      <c r="AJ160" s="59">
        <v>0.69599999999999995</v>
      </c>
      <c r="AK160" s="59">
        <v>0.91800000000000004</v>
      </c>
      <c r="AL160" s="59">
        <v>0.91800000000000004</v>
      </c>
      <c r="AM160" s="110">
        <v>209.304</v>
      </c>
      <c r="AN160" s="111">
        <v>7207.3883999999998</v>
      </c>
      <c r="AO160" s="59">
        <v>0.32400000000000001</v>
      </c>
      <c r="AP160" s="55">
        <v>0.61899999999999999</v>
      </c>
      <c r="AQ160" s="109">
        <v>35590.800000000003</v>
      </c>
      <c r="AR160" s="111">
        <v>22207.35</v>
      </c>
      <c r="AS160" s="59">
        <v>0.79800000000000004</v>
      </c>
      <c r="AT160" s="55">
        <v>0.94599999999999995</v>
      </c>
      <c r="AU160" s="43"/>
      <c r="AV160" s="109">
        <v>911.18399999999997</v>
      </c>
      <c r="AW160" s="110">
        <v>0.36999991878700267</v>
      </c>
      <c r="AX160" s="109">
        <v>1014.687</v>
      </c>
      <c r="AY160" s="110">
        <v>0.63141692594897325</v>
      </c>
      <c r="AZ160" s="109">
        <v>1121.4780000000001</v>
      </c>
      <c r="BA160" s="110">
        <v>0.5784392407674851</v>
      </c>
      <c r="BB160" s="43"/>
      <c r="BC160" s="112">
        <v>53641.616999999998</v>
      </c>
      <c r="BD160" s="110">
        <v>0.77049180327868849</v>
      </c>
      <c r="BE160" s="43"/>
      <c r="BF160" s="157">
        <v>32600</v>
      </c>
      <c r="BG160" s="43">
        <v>761.29499999999996</v>
      </c>
      <c r="BH160" s="113">
        <v>2202.5450000000001</v>
      </c>
      <c r="BI160" s="114">
        <v>1</v>
      </c>
      <c r="BJ160" s="115">
        <v>7.7996446285863469E-2</v>
      </c>
      <c r="BK160" s="113">
        <v>0</v>
      </c>
      <c r="BL160" s="113">
        <v>0</v>
      </c>
      <c r="BM160" s="113">
        <v>0</v>
      </c>
      <c r="BN160" s="113">
        <v>5510.491</v>
      </c>
      <c r="BO160" s="114">
        <v>0.40885079388633327</v>
      </c>
      <c r="BP160" s="115">
        <v>0</v>
      </c>
      <c r="BQ160" s="43">
        <v>7668</v>
      </c>
      <c r="BR160" s="43">
        <v>0</v>
      </c>
      <c r="BS160" s="43"/>
      <c r="BT160" s="116">
        <v>-700</v>
      </c>
      <c r="BU160" s="43">
        <v>0</v>
      </c>
      <c r="BV160" s="43">
        <v>4485</v>
      </c>
      <c r="BW160" s="43">
        <v>4485</v>
      </c>
      <c r="BX160" s="43">
        <v>0</v>
      </c>
      <c r="BY160" s="43">
        <v>0</v>
      </c>
      <c r="BZ160" s="43">
        <v>-5000</v>
      </c>
      <c r="CA160" s="43">
        <v>0</v>
      </c>
      <c r="CB160" s="43">
        <v>-5300</v>
      </c>
      <c r="CC160" s="43">
        <v>0</v>
      </c>
      <c r="CD160" s="43">
        <v>-4000</v>
      </c>
      <c r="CE160" s="43">
        <v>0</v>
      </c>
      <c r="CF160" s="43">
        <v>-4800</v>
      </c>
      <c r="CG160" s="43">
        <v>0</v>
      </c>
      <c r="CH160" s="43">
        <v>25924.267542329999</v>
      </c>
      <c r="CI160" s="43">
        <v>25924.267542329999</v>
      </c>
      <c r="CJ160" s="114">
        <v>30409.267542329999</v>
      </c>
      <c r="CK160" s="43"/>
      <c r="CL160" s="116">
        <v>-700</v>
      </c>
      <c r="CM160" s="43">
        <v>700</v>
      </c>
      <c r="CN160" s="43">
        <v>4485</v>
      </c>
      <c r="CO160" s="43">
        <v>0</v>
      </c>
      <c r="CP160" s="43">
        <v>0</v>
      </c>
      <c r="CQ160" s="43">
        <v>0</v>
      </c>
      <c r="CR160" s="43">
        <v>-5000</v>
      </c>
      <c r="CS160" s="43">
        <v>5000</v>
      </c>
      <c r="CT160" s="43">
        <v>-5300</v>
      </c>
      <c r="CU160" s="43">
        <v>5300</v>
      </c>
      <c r="CV160" s="43">
        <v>-4000</v>
      </c>
      <c r="CW160" s="43">
        <v>4000</v>
      </c>
      <c r="CX160" s="43">
        <v>-4800</v>
      </c>
      <c r="CY160" s="43">
        <v>4800</v>
      </c>
      <c r="CZ160" s="43">
        <v>25924.267542329999</v>
      </c>
      <c r="DA160" s="43">
        <v>0</v>
      </c>
      <c r="DB160" s="114">
        <v>19800</v>
      </c>
      <c r="DC160" s="43"/>
      <c r="DD160" s="117">
        <v>37272.042000000001</v>
      </c>
      <c r="DE160" s="55">
        <v>1696.915</v>
      </c>
      <c r="DF160" s="59">
        <v>2565.5269242793001</v>
      </c>
      <c r="DG160" s="59">
        <v>41534.483924279302</v>
      </c>
      <c r="DH160" s="117">
        <v>9738.6779999999999</v>
      </c>
      <c r="DI160" s="117">
        <v>54547.411</v>
      </c>
      <c r="DJ160" s="55">
        <v>8496</v>
      </c>
      <c r="DK160" s="114">
        <v>63043.411</v>
      </c>
      <c r="DL160" s="43"/>
      <c r="DM160" s="117">
        <v>899.38</v>
      </c>
      <c r="DN160" s="55">
        <v>10553.7831128091</v>
      </c>
      <c r="DO160" s="55">
        <v>11453.163112809099</v>
      </c>
      <c r="DP160" s="59">
        <v>1639.11874024391</v>
      </c>
      <c r="DQ160" s="59">
        <v>2931.2847992178222</v>
      </c>
      <c r="DR160" s="59">
        <v>429.85082277999999</v>
      </c>
      <c r="DS160" s="55">
        <v>3361.135621997822</v>
      </c>
      <c r="DT160" s="55">
        <v>162.84915551210119</v>
      </c>
      <c r="DU160" s="55">
        <v>162.84915551210119</v>
      </c>
      <c r="DW160" s="121">
        <v>0</v>
      </c>
      <c r="DX160" s="122">
        <v>6779.6610170000004</v>
      </c>
      <c r="DY160" s="128">
        <v>1447.7400829999999</v>
      </c>
      <c r="DZ160" s="128">
        <v>0</v>
      </c>
      <c r="EA160" s="121">
        <v>0</v>
      </c>
      <c r="EB160" s="122">
        <v>242.98584449000001</v>
      </c>
      <c r="EC160" s="121">
        <v>0</v>
      </c>
      <c r="ED160" s="122">
        <v>1271.1864410000001</v>
      </c>
      <c r="EE160" s="121">
        <v>0</v>
      </c>
      <c r="EF160" s="122">
        <v>847.5</v>
      </c>
      <c r="EG160" s="121">
        <v>0</v>
      </c>
      <c r="EH160" s="122">
        <v>7397.5988710000001</v>
      </c>
      <c r="EI160" s="121">
        <v>0</v>
      </c>
      <c r="EJ160" s="122">
        <v>6779.6610170000004</v>
      </c>
      <c r="EK160" s="129">
        <v>242.98584449000001</v>
      </c>
      <c r="EL160" s="130">
        <v>847.5</v>
      </c>
      <c r="EM160" s="131">
        <v>735.83500000000004</v>
      </c>
      <c r="EN160" s="129">
        <v>429.85082277999999</v>
      </c>
      <c r="EO160" s="129">
        <v>10964.025395000001</v>
      </c>
      <c r="EP160" s="129">
        <v>0</v>
      </c>
      <c r="ER160" s="157">
        <v>0</v>
      </c>
      <c r="ES160" s="37">
        <v>0</v>
      </c>
      <c r="ET160" s="55">
        <f t="shared" si="19"/>
        <v>0</v>
      </c>
      <c r="EU160" s="157">
        <v>0</v>
      </c>
      <c r="EV160" s="37">
        <v>0</v>
      </c>
      <c r="EW160" s="55">
        <f t="shared" si="18"/>
        <v>0</v>
      </c>
      <c r="EY160" s="166">
        <v>0</v>
      </c>
      <c r="EZ160" s="37">
        <v>0</v>
      </c>
      <c r="FA160" s="164">
        <f t="shared" si="20"/>
        <v>0</v>
      </c>
      <c r="FB160" s="5">
        <v>0</v>
      </c>
      <c r="FC160" s="164">
        <f t="shared" si="21"/>
        <v>0</v>
      </c>
      <c r="FE160" s="5"/>
      <c r="FF160" s="166">
        <v>2897.4</v>
      </c>
      <c r="FG160" s="37">
        <v>10423.35</v>
      </c>
      <c r="FH160" s="164">
        <f t="shared" si="22"/>
        <v>1</v>
      </c>
      <c r="FI160" s="5">
        <v>3837</v>
      </c>
      <c r="FJ160" s="164">
        <f t="shared" si="23"/>
        <v>1</v>
      </c>
      <c r="FL160" s="169">
        <v>7873</v>
      </c>
      <c r="FM160" s="170">
        <f t="shared" si="24"/>
        <v>0.68245451314546257</v>
      </c>
      <c r="FN160" s="169">
        <v>2591</v>
      </c>
      <c r="FO160" s="170">
        <f t="shared" si="25"/>
        <v>0.82634348588741824</v>
      </c>
    </row>
    <row r="161" spans="15:171" x14ac:dyDescent="0.35">
      <c r="P161" s="64">
        <v>159</v>
      </c>
      <c r="Q161" s="109">
        <v>17347</v>
      </c>
      <c r="R161" s="110">
        <v>0.20899999999999999</v>
      </c>
      <c r="S161" s="111">
        <v>163.37</v>
      </c>
      <c r="T161" s="110">
        <v>3.4000000000000002E-2</v>
      </c>
      <c r="U161" s="111">
        <v>7920</v>
      </c>
      <c r="V161" s="110">
        <v>0.26400000000000001</v>
      </c>
      <c r="W161" s="111">
        <v>3436.3897999999999</v>
      </c>
      <c r="X161" s="110">
        <v>0.23899999999999999</v>
      </c>
      <c r="Y161" s="111">
        <v>2057.5587</v>
      </c>
      <c r="Z161" s="110">
        <v>0.21300000000000002</v>
      </c>
      <c r="AA161" s="111">
        <v>14346.18</v>
      </c>
      <c r="AB161" s="110">
        <v>0.27900000000000003</v>
      </c>
      <c r="AC161" s="111">
        <v>10329.538399999999</v>
      </c>
      <c r="AD161" s="110">
        <v>0.22299999999999998</v>
      </c>
      <c r="AF161" s="64">
        <v>159</v>
      </c>
      <c r="AG161" s="109">
        <v>64168.855799999998</v>
      </c>
      <c r="AH161" s="111">
        <v>2118.3000000000002</v>
      </c>
      <c r="AI161" s="109">
        <v>460.5</v>
      </c>
      <c r="AJ161" s="59">
        <v>0.72099999999999997</v>
      </c>
      <c r="AK161" s="59">
        <v>0.92100000000000004</v>
      </c>
      <c r="AL161" s="59">
        <v>0.92100000000000004</v>
      </c>
      <c r="AM161" s="110">
        <v>214.47200000000001</v>
      </c>
      <c r="AN161" s="111">
        <v>7335.4679999999998</v>
      </c>
      <c r="AO161" s="59">
        <v>0.33200000000000002</v>
      </c>
      <c r="AP161" s="55">
        <v>0.63</v>
      </c>
      <c r="AQ161" s="109">
        <v>36259.800000000003</v>
      </c>
      <c r="AR161" s="111">
        <v>22512.525000000001</v>
      </c>
      <c r="AS161" s="59">
        <v>0.81300000000000006</v>
      </c>
      <c r="AT161" s="55">
        <v>0.95900000000000007</v>
      </c>
      <c r="AU161" s="43"/>
      <c r="AV161" s="109">
        <v>913.64700000000005</v>
      </c>
      <c r="AW161" s="110">
        <v>0.37100005684909815</v>
      </c>
      <c r="AX161" s="109">
        <v>1004.417</v>
      </c>
      <c r="AY161" s="110">
        <v>0.62502613565650278</v>
      </c>
      <c r="AZ161" s="109">
        <v>1121.4780000000001</v>
      </c>
      <c r="BA161" s="110">
        <v>0.5784392407674851</v>
      </c>
      <c r="BB161" s="43"/>
      <c r="BC161" s="112">
        <v>53641.616999999998</v>
      </c>
      <c r="BD161" s="110">
        <v>0.77049180327868849</v>
      </c>
      <c r="BE161" s="43"/>
      <c r="BF161" s="157">
        <v>32600</v>
      </c>
      <c r="BG161" s="43">
        <v>934.54600000000005</v>
      </c>
      <c r="BH161" s="113">
        <v>2844.4479999999999</v>
      </c>
      <c r="BI161" s="114">
        <v>1</v>
      </c>
      <c r="BJ161" s="115">
        <v>9.9448047983561966E-2</v>
      </c>
      <c r="BK161" s="113">
        <v>0</v>
      </c>
      <c r="BL161" s="113">
        <v>0</v>
      </c>
      <c r="BM161" s="113">
        <v>0</v>
      </c>
      <c r="BN161" s="113">
        <v>5844.098</v>
      </c>
      <c r="BO161" s="114">
        <v>0.43360276005342041</v>
      </c>
      <c r="BP161" s="115">
        <v>0</v>
      </c>
      <c r="BQ161" s="43">
        <v>7668</v>
      </c>
      <c r="BR161" s="43">
        <v>0</v>
      </c>
      <c r="BS161" s="43"/>
      <c r="BT161" s="116">
        <v>-700</v>
      </c>
      <c r="BU161" s="43">
        <v>0</v>
      </c>
      <c r="BV161" s="43">
        <v>4485</v>
      </c>
      <c r="BW161" s="43">
        <v>4485</v>
      </c>
      <c r="BX161" s="43">
        <v>0</v>
      </c>
      <c r="BY161" s="43">
        <v>0</v>
      </c>
      <c r="BZ161" s="43">
        <v>-5000</v>
      </c>
      <c r="CA161" s="43">
        <v>0</v>
      </c>
      <c r="CB161" s="43">
        <v>-5300</v>
      </c>
      <c r="CC161" s="43">
        <v>0</v>
      </c>
      <c r="CD161" s="43">
        <v>-4000</v>
      </c>
      <c r="CE161" s="43">
        <v>0</v>
      </c>
      <c r="CF161" s="43">
        <v>-4800</v>
      </c>
      <c r="CG161" s="43">
        <v>0</v>
      </c>
      <c r="CH161" s="43">
        <v>26310.573710199998</v>
      </c>
      <c r="CI161" s="43">
        <v>26310.573710199998</v>
      </c>
      <c r="CJ161" s="114">
        <v>30795.573710199998</v>
      </c>
      <c r="CK161" s="43"/>
      <c r="CL161" s="116">
        <v>-700</v>
      </c>
      <c r="CM161" s="43">
        <v>700</v>
      </c>
      <c r="CN161" s="43">
        <v>4485</v>
      </c>
      <c r="CO161" s="43">
        <v>0</v>
      </c>
      <c r="CP161" s="43">
        <v>0</v>
      </c>
      <c r="CQ161" s="43">
        <v>0</v>
      </c>
      <c r="CR161" s="43">
        <v>-5000</v>
      </c>
      <c r="CS161" s="43">
        <v>5000</v>
      </c>
      <c r="CT161" s="43">
        <v>-5300</v>
      </c>
      <c r="CU161" s="43">
        <v>5300</v>
      </c>
      <c r="CV161" s="43">
        <v>-4000</v>
      </c>
      <c r="CW161" s="43">
        <v>4000</v>
      </c>
      <c r="CX161" s="43">
        <v>-4800</v>
      </c>
      <c r="CY161" s="43">
        <v>4800</v>
      </c>
      <c r="CZ161" s="43">
        <v>26310.573710199998</v>
      </c>
      <c r="DA161" s="43">
        <v>0</v>
      </c>
      <c r="DB161" s="114">
        <v>19800</v>
      </c>
      <c r="DC161" s="43"/>
      <c r="DD161" s="117">
        <v>36194.607000000004</v>
      </c>
      <c r="DE161" s="55">
        <v>1894.8209999999999</v>
      </c>
      <c r="DF161" s="59">
        <v>1930.2141477869</v>
      </c>
      <c r="DG161" s="59">
        <v>40019.642147786901</v>
      </c>
      <c r="DH161" s="117">
        <v>9656.4390000000003</v>
      </c>
      <c r="DI161" s="117">
        <v>53531.411</v>
      </c>
      <c r="DJ161" s="55">
        <v>8304</v>
      </c>
      <c r="DK161" s="114">
        <v>61835.411</v>
      </c>
      <c r="DL161" s="43"/>
      <c r="DM161" s="117">
        <v>895.10900000000004</v>
      </c>
      <c r="DN161" s="55">
        <v>10569.62924658717</v>
      </c>
      <c r="DO161" s="55">
        <v>11464.738246587171</v>
      </c>
      <c r="DP161" s="59">
        <v>1639.11874024391</v>
      </c>
      <c r="DQ161" s="59">
        <v>2939.6344044654588</v>
      </c>
      <c r="DR161" s="59">
        <v>421.50121753000002</v>
      </c>
      <c r="DS161" s="55">
        <v>3361.1356219954587</v>
      </c>
      <c r="DT161" s="55">
        <v>163.31302247030331</v>
      </c>
      <c r="DU161" s="55">
        <v>163.31302247030331</v>
      </c>
      <c r="DW161" s="121">
        <v>0</v>
      </c>
      <c r="DX161" s="122">
        <v>6779.6610170000004</v>
      </c>
      <c r="DY161" s="128">
        <v>1447.7400829999999</v>
      </c>
      <c r="DZ161" s="128">
        <v>0</v>
      </c>
      <c r="EA161" s="121">
        <v>0</v>
      </c>
      <c r="EB161" s="122">
        <v>242.52197752999999</v>
      </c>
      <c r="EC161" s="121">
        <v>0</v>
      </c>
      <c r="ED161" s="122">
        <v>1271.1864410000001</v>
      </c>
      <c r="EE161" s="121">
        <v>0</v>
      </c>
      <c r="EF161" s="122">
        <v>847.5</v>
      </c>
      <c r="EG161" s="121">
        <v>0</v>
      </c>
      <c r="EH161" s="122">
        <v>7397.5988710000001</v>
      </c>
      <c r="EI161" s="121">
        <v>0</v>
      </c>
      <c r="EJ161" s="122">
        <v>6779.6610170000004</v>
      </c>
      <c r="EK161" s="129">
        <v>242.52197752999999</v>
      </c>
      <c r="EL161" s="130">
        <v>847.5</v>
      </c>
      <c r="EM161" s="131">
        <v>735.83500000000004</v>
      </c>
      <c r="EN161" s="129">
        <v>421.50121753000002</v>
      </c>
      <c r="EO161" s="129">
        <v>10964.025395000001</v>
      </c>
      <c r="EP161" s="129">
        <v>0</v>
      </c>
      <c r="ER161" s="157">
        <v>0</v>
      </c>
      <c r="ES161" s="37">
        <v>0</v>
      </c>
      <c r="ET161" s="55">
        <f t="shared" si="19"/>
        <v>0</v>
      </c>
      <c r="EU161" s="157">
        <v>0</v>
      </c>
      <c r="EV161" s="37">
        <v>0</v>
      </c>
      <c r="EW161" s="55">
        <f t="shared" si="18"/>
        <v>0</v>
      </c>
      <c r="EY161" s="166">
        <v>0</v>
      </c>
      <c r="EZ161" s="37">
        <v>0</v>
      </c>
      <c r="FA161" s="164">
        <f t="shared" si="20"/>
        <v>0</v>
      </c>
      <c r="FB161" s="5">
        <v>0</v>
      </c>
      <c r="FC161" s="164">
        <f t="shared" si="21"/>
        <v>0</v>
      </c>
      <c r="FE161" s="5"/>
      <c r="FF161" s="166">
        <v>2897.4</v>
      </c>
      <c r="FG161" s="37">
        <v>10423.35</v>
      </c>
      <c r="FH161" s="164">
        <f t="shared" si="22"/>
        <v>1</v>
      </c>
      <c r="FI161" s="5">
        <v>3837</v>
      </c>
      <c r="FJ161" s="164">
        <f t="shared" si="23"/>
        <v>1</v>
      </c>
      <c r="FL161" s="169">
        <v>7873</v>
      </c>
      <c r="FM161" s="170">
        <f t="shared" si="24"/>
        <v>0.68245451314546257</v>
      </c>
      <c r="FN161" s="169">
        <v>2591</v>
      </c>
      <c r="FO161" s="170">
        <f t="shared" si="25"/>
        <v>0.82634348588741824</v>
      </c>
    </row>
    <row r="162" spans="15:171" x14ac:dyDescent="0.35">
      <c r="P162" s="64">
        <v>160</v>
      </c>
      <c r="Q162" s="109">
        <v>14442</v>
      </c>
      <c r="R162" s="110">
        <v>0.17399999999999999</v>
      </c>
      <c r="S162" s="111">
        <v>105.71</v>
      </c>
      <c r="T162" s="110">
        <v>2.1999999999999999E-2</v>
      </c>
      <c r="U162" s="111">
        <v>6120</v>
      </c>
      <c r="V162" s="110">
        <v>0.20399999999999999</v>
      </c>
      <c r="W162" s="111">
        <v>3048.1783999999998</v>
      </c>
      <c r="X162" s="110">
        <v>0.21199999999999997</v>
      </c>
      <c r="Y162" s="111">
        <v>1680.8226</v>
      </c>
      <c r="Z162" s="110">
        <v>0.17400000000000002</v>
      </c>
      <c r="AA162" s="111">
        <v>9821.2199999999993</v>
      </c>
      <c r="AB162" s="110">
        <v>0.19099999999999998</v>
      </c>
      <c r="AC162" s="111">
        <v>6855.4784</v>
      </c>
      <c r="AD162" s="110">
        <v>0.14799999999999999</v>
      </c>
      <c r="AF162" s="64">
        <v>160</v>
      </c>
      <c r="AG162" s="109">
        <v>65770.852199999994</v>
      </c>
      <c r="AH162" s="111">
        <v>2122.9</v>
      </c>
      <c r="AI162" s="109">
        <v>461.5</v>
      </c>
      <c r="AJ162" s="59">
        <v>0.73899999999999988</v>
      </c>
      <c r="AK162" s="59">
        <v>0.92300000000000004</v>
      </c>
      <c r="AL162" s="59">
        <v>0.92300000000000004</v>
      </c>
      <c r="AM162" s="110">
        <v>220.93199999999999</v>
      </c>
      <c r="AN162" s="111">
        <v>7184.1012000000001</v>
      </c>
      <c r="AO162" s="59">
        <v>0.34199999999999997</v>
      </c>
      <c r="AP162" s="55">
        <v>0.61699999999999999</v>
      </c>
      <c r="AQ162" s="109">
        <v>36928.800000000003</v>
      </c>
      <c r="AR162" s="111">
        <v>22536</v>
      </c>
      <c r="AS162" s="59">
        <v>0.82800000000000007</v>
      </c>
      <c r="AT162" s="55">
        <v>0.96</v>
      </c>
      <c r="AU162" s="43"/>
      <c r="AV162" s="109">
        <v>901.33399999999995</v>
      </c>
      <c r="AW162" s="110">
        <v>0.36600017866859413</v>
      </c>
      <c r="AX162" s="109">
        <v>998.851</v>
      </c>
      <c r="AY162" s="110">
        <v>0.62156253889234603</v>
      </c>
      <c r="AZ162" s="109">
        <v>1121.4780000000001</v>
      </c>
      <c r="BA162" s="110">
        <v>0.5784392407674851</v>
      </c>
      <c r="BB162" s="43"/>
      <c r="BC162" s="112">
        <v>53641.616999999998</v>
      </c>
      <c r="BD162" s="110">
        <v>0.77049180327868849</v>
      </c>
      <c r="BE162" s="43"/>
      <c r="BF162" s="157">
        <v>32600</v>
      </c>
      <c r="BG162" s="43">
        <v>543.82500000000005</v>
      </c>
      <c r="BH162" s="113">
        <v>2128.3090000000002</v>
      </c>
      <c r="BI162" s="114">
        <v>1</v>
      </c>
      <c r="BJ162" s="115">
        <v>7.0319907957119648E-2</v>
      </c>
      <c r="BK162" s="113">
        <v>0</v>
      </c>
      <c r="BL162" s="113">
        <v>0</v>
      </c>
      <c r="BM162" s="113">
        <v>0</v>
      </c>
      <c r="BN162" s="113">
        <v>5522.1390000000001</v>
      </c>
      <c r="BO162" s="114">
        <v>0.40971501706484642</v>
      </c>
      <c r="BP162" s="115">
        <v>0</v>
      </c>
      <c r="BQ162" s="43">
        <v>7668</v>
      </c>
      <c r="BR162" s="43">
        <v>0</v>
      </c>
      <c r="BS162" s="43"/>
      <c r="BT162" s="116">
        <v>-700</v>
      </c>
      <c r="BU162" s="43">
        <v>0</v>
      </c>
      <c r="BV162" s="43">
        <v>4485</v>
      </c>
      <c r="BW162" s="43">
        <v>4485</v>
      </c>
      <c r="BX162" s="43">
        <v>0</v>
      </c>
      <c r="BY162" s="43">
        <v>0</v>
      </c>
      <c r="BZ162" s="43">
        <v>-5000</v>
      </c>
      <c r="CA162" s="43">
        <v>0</v>
      </c>
      <c r="CB162" s="43">
        <v>-5300</v>
      </c>
      <c r="CC162" s="43">
        <v>0</v>
      </c>
      <c r="CD162" s="43">
        <v>-4000</v>
      </c>
      <c r="CE162" s="43">
        <v>0</v>
      </c>
      <c r="CF162" s="43">
        <v>-4800</v>
      </c>
      <c r="CG162" s="43">
        <v>0</v>
      </c>
      <c r="CH162" s="43">
        <v>25664.110382980001</v>
      </c>
      <c r="CI162" s="43">
        <v>25664.110382980001</v>
      </c>
      <c r="CJ162" s="114">
        <v>30149.110382980001</v>
      </c>
      <c r="CK162" s="43"/>
      <c r="CL162" s="116">
        <v>-700</v>
      </c>
      <c r="CM162" s="43">
        <v>700</v>
      </c>
      <c r="CN162" s="43">
        <v>4485</v>
      </c>
      <c r="CO162" s="43">
        <v>0</v>
      </c>
      <c r="CP162" s="43">
        <v>0</v>
      </c>
      <c r="CQ162" s="43">
        <v>0</v>
      </c>
      <c r="CR162" s="43">
        <v>-5000</v>
      </c>
      <c r="CS162" s="43">
        <v>5000</v>
      </c>
      <c r="CT162" s="43">
        <v>-5300</v>
      </c>
      <c r="CU162" s="43">
        <v>5300</v>
      </c>
      <c r="CV162" s="43">
        <v>-4000</v>
      </c>
      <c r="CW162" s="43">
        <v>4000</v>
      </c>
      <c r="CX162" s="43">
        <v>-4800</v>
      </c>
      <c r="CY162" s="43">
        <v>4800</v>
      </c>
      <c r="CZ162" s="43">
        <v>25664.110382980001</v>
      </c>
      <c r="DA162" s="43">
        <v>0</v>
      </c>
      <c r="DB162" s="114">
        <v>19800</v>
      </c>
      <c r="DC162" s="43"/>
      <c r="DD162" s="117">
        <v>35482.705000000002</v>
      </c>
      <c r="DE162" s="55">
        <v>2031.595</v>
      </c>
      <c r="DF162" s="59">
        <v>1637.9073579962001</v>
      </c>
      <c r="DG162" s="59">
        <v>39152.207357996202</v>
      </c>
      <c r="DH162" s="117">
        <v>9420.32</v>
      </c>
      <c r="DI162" s="117">
        <v>53144.411</v>
      </c>
      <c r="DJ162" s="55">
        <v>9066</v>
      </c>
      <c r="DK162" s="114">
        <v>62210.411</v>
      </c>
      <c r="DL162" s="43"/>
      <c r="DM162" s="117">
        <v>901.02599999999995</v>
      </c>
      <c r="DN162" s="55">
        <v>10553.7831128091</v>
      </c>
      <c r="DO162" s="55">
        <v>11454.8091128091</v>
      </c>
      <c r="DP162" s="59">
        <v>1455.3989030504879</v>
      </c>
      <c r="DQ162" s="59">
        <v>2931.2847992178222</v>
      </c>
      <c r="DR162" s="59">
        <v>429.85082277999999</v>
      </c>
      <c r="DS162" s="55">
        <v>3361.135621997822</v>
      </c>
      <c r="DT162" s="55">
        <v>162.84915551210119</v>
      </c>
      <c r="DU162" s="55">
        <v>162.84915551210119</v>
      </c>
      <c r="DW162" s="121">
        <v>0</v>
      </c>
      <c r="DX162" s="122">
        <v>6779.6610170000004</v>
      </c>
      <c r="DY162" s="128">
        <v>1447.7400829999999</v>
      </c>
      <c r="DZ162" s="128">
        <v>0</v>
      </c>
      <c r="EA162" s="121">
        <v>0</v>
      </c>
      <c r="EB162" s="122">
        <v>242.98584449000001</v>
      </c>
      <c r="EC162" s="121">
        <v>0</v>
      </c>
      <c r="ED162" s="122">
        <v>1271.1864410000001</v>
      </c>
      <c r="EE162" s="121">
        <v>0</v>
      </c>
      <c r="EF162" s="122">
        <v>847.5</v>
      </c>
      <c r="EG162" s="121">
        <v>0</v>
      </c>
      <c r="EH162" s="122">
        <v>7397.5988710000001</v>
      </c>
      <c r="EI162" s="121">
        <v>0</v>
      </c>
      <c r="EJ162" s="122">
        <v>6779.6610170000004</v>
      </c>
      <c r="EK162" s="129">
        <v>242.98584449000001</v>
      </c>
      <c r="EL162" s="130">
        <v>847.5</v>
      </c>
      <c r="EM162" s="131">
        <v>735.83500000000004</v>
      </c>
      <c r="EN162" s="129">
        <v>429.85082277999999</v>
      </c>
      <c r="EO162" s="129">
        <v>10964.025395000001</v>
      </c>
      <c r="EP162" s="129">
        <v>0</v>
      </c>
      <c r="ER162" s="157">
        <v>0</v>
      </c>
      <c r="ES162" s="37">
        <v>0</v>
      </c>
      <c r="ET162" s="55">
        <f t="shared" si="19"/>
        <v>0</v>
      </c>
      <c r="EU162" s="157">
        <v>0</v>
      </c>
      <c r="EV162" s="37">
        <v>0</v>
      </c>
      <c r="EW162" s="55">
        <f t="shared" si="18"/>
        <v>0</v>
      </c>
      <c r="EY162" s="166">
        <v>0</v>
      </c>
      <c r="EZ162" s="37">
        <v>0</v>
      </c>
      <c r="FA162" s="164">
        <f t="shared" si="20"/>
        <v>0</v>
      </c>
      <c r="FB162" s="5">
        <v>0</v>
      </c>
      <c r="FC162" s="164">
        <f t="shared" si="21"/>
        <v>0</v>
      </c>
      <c r="FE162" s="5"/>
      <c r="FF162" s="166">
        <v>2897.4</v>
      </c>
      <c r="FG162" s="37">
        <v>10423.35</v>
      </c>
      <c r="FH162" s="164">
        <f t="shared" si="22"/>
        <v>1</v>
      </c>
      <c r="FI162" s="5">
        <v>3837</v>
      </c>
      <c r="FJ162" s="164">
        <f t="shared" si="23"/>
        <v>1</v>
      </c>
      <c r="FL162" s="169">
        <v>7873</v>
      </c>
      <c r="FM162" s="170">
        <f t="shared" si="24"/>
        <v>0.68245451314546257</v>
      </c>
      <c r="FN162" s="169">
        <v>2591</v>
      </c>
      <c r="FO162" s="170">
        <f t="shared" si="25"/>
        <v>0.82634348588741824</v>
      </c>
    </row>
    <row r="163" spans="15:171" x14ac:dyDescent="0.35">
      <c r="P163" s="64">
        <v>161</v>
      </c>
      <c r="Q163" s="109">
        <v>9296</v>
      </c>
      <c r="R163" s="110">
        <v>0.112</v>
      </c>
      <c r="S163" s="111">
        <v>0</v>
      </c>
      <c r="T163" s="110">
        <v>0</v>
      </c>
      <c r="U163" s="111">
        <v>3570</v>
      </c>
      <c r="V163" s="110">
        <v>0.11899999999999999</v>
      </c>
      <c r="W163" s="111">
        <v>2300.5120000000002</v>
      </c>
      <c r="X163" s="110">
        <v>0.16</v>
      </c>
      <c r="Y163" s="111">
        <v>1081.9087999999999</v>
      </c>
      <c r="Z163" s="110">
        <v>0.112</v>
      </c>
      <c r="AA163" s="111">
        <v>4473.54</v>
      </c>
      <c r="AB163" s="110">
        <v>8.6999999999999994E-2</v>
      </c>
      <c r="AC163" s="111">
        <v>2918.2103999999999</v>
      </c>
      <c r="AD163" s="110">
        <v>6.3E-2</v>
      </c>
      <c r="AF163" s="64">
        <v>161</v>
      </c>
      <c r="AG163" s="109">
        <v>69152.844599999997</v>
      </c>
      <c r="AH163" s="111">
        <v>2125.1999999999998</v>
      </c>
      <c r="AI163" s="109">
        <v>462</v>
      </c>
      <c r="AJ163" s="59">
        <v>0.77699999999999991</v>
      </c>
      <c r="AK163" s="59">
        <v>0.92399999999999993</v>
      </c>
      <c r="AL163" s="59">
        <v>0.92400000000000004</v>
      </c>
      <c r="AM163" s="110">
        <v>220.286</v>
      </c>
      <c r="AN163" s="111">
        <v>7125.8832000000002</v>
      </c>
      <c r="AO163" s="59">
        <v>0.34100000000000003</v>
      </c>
      <c r="AP163" s="55">
        <v>0.61199999999999999</v>
      </c>
      <c r="AQ163" s="109">
        <v>37241</v>
      </c>
      <c r="AR163" s="111">
        <v>22465.575000000001</v>
      </c>
      <c r="AS163" s="59">
        <v>0.83499999999999996</v>
      </c>
      <c r="AT163" s="55">
        <v>0.95700000000000007</v>
      </c>
      <c r="AU163" s="43"/>
      <c r="AV163" s="109">
        <v>916.11</v>
      </c>
      <c r="AW163" s="110">
        <v>0.37200019491119363</v>
      </c>
      <c r="AX163" s="109">
        <v>1003.027</v>
      </c>
      <c r="AY163" s="110">
        <v>0.62416116988176729</v>
      </c>
      <c r="AZ163" s="109">
        <v>1121.4780000000001</v>
      </c>
      <c r="BA163" s="110">
        <v>0.5784392407674851</v>
      </c>
      <c r="BB163" s="43"/>
      <c r="BC163" s="112">
        <v>53641.616999999998</v>
      </c>
      <c r="BD163" s="110">
        <v>0.77049180327868849</v>
      </c>
      <c r="BE163" s="43"/>
      <c r="BF163" s="157">
        <v>32600</v>
      </c>
      <c r="BG163" s="43">
        <v>168.40600000000001</v>
      </c>
      <c r="BH163" s="113">
        <v>1135.7719999999999</v>
      </c>
      <c r="BI163" s="114">
        <v>1</v>
      </c>
      <c r="BJ163" s="115">
        <v>3.4320762701159586E-2</v>
      </c>
      <c r="BK163" s="113">
        <v>0</v>
      </c>
      <c r="BL163" s="113">
        <v>0</v>
      </c>
      <c r="BM163" s="113">
        <v>0</v>
      </c>
      <c r="BN163" s="113">
        <v>4794.9759999999997</v>
      </c>
      <c r="BO163" s="114">
        <v>0.35576316960973436</v>
      </c>
      <c r="BP163" s="115">
        <v>0</v>
      </c>
      <c r="BQ163" s="43">
        <v>7668</v>
      </c>
      <c r="BR163" s="43">
        <v>0</v>
      </c>
      <c r="BS163" s="43"/>
      <c r="BT163" s="116">
        <v>-700</v>
      </c>
      <c r="BU163" s="43">
        <v>0</v>
      </c>
      <c r="BV163" s="43">
        <v>4485</v>
      </c>
      <c r="BW163" s="43">
        <v>4485</v>
      </c>
      <c r="BX163" s="43">
        <v>0</v>
      </c>
      <c r="BY163" s="43">
        <v>0</v>
      </c>
      <c r="BZ163" s="43">
        <v>-5000</v>
      </c>
      <c r="CA163" s="43">
        <v>0</v>
      </c>
      <c r="CB163" s="43">
        <v>-5300</v>
      </c>
      <c r="CC163" s="43">
        <v>0</v>
      </c>
      <c r="CD163" s="43">
        <v>-4000</v>
      </c>
      <c r="CE163" s="43">
        <v>0</v>
      </c>
      <c r="CF163" s="43">
        <v>-4800</v>
      </c>
      <c r="CG163" s="43">
        <v>0</v>
      </c>
      <c r="CH163" s="43">
        <v>21176.456659570002</v>
      </c>
      <c r="CI163" s="43">
        <v>21176.456659570002</v>
      </c>
      <c r="CJ163" s="114">
        <v>25661.456659570002</v>
      </c>
      <c r="CK163" s="43"/>
      <c r="CL163" s="116">
        <v>-700</v>
      </c>
      <c r="CM163" s="43">
        <v>700</v>
      </c>
      <c r="CN163" s="43">
        <v>4485</v>
      </c>
      <c r="CO163" s="43">
        <v>0</v>
      </c>
      <c r="CP163" s="43">
        <v>0</v>
      </c>
      <c r="CQ163" s="43">
        <v>0</v>
      </c>
      <c r="CR163" s="43">
        <v>-5000</v>
      </c>
      <c r="CS163" s="43">
        <v>5000</v>
      </c>
      <c r="CT163" s="43">
        <v>-5300</v>
      </c>
      <c r="CU163" s="43">
        <v>5300</v>
      </c>
      <c r="CV163" s="43">
        <v>-4000</v>
      </c>
      <c r="CW163" s="43">
        <v>4000</v>
      </c>
      <c r="CX163" s="43">
        <v>-4800</v>
      </c>
      <c r="CY163" s="43">
        <v>4800</v>
      </c>
      <c r="CZ163" s="43">
        <v>21176.456659570002</v>
      </c>
      <c r="DA163" s="43">
        <v>0</v>
      </c>
      <c r="DB163" s="114">
        <v>19800</v>
      </c>
      <c r="DC163" s="43"/>
      <c r="DD163" s="117">
        <v>35524.81</v>
      </c>
      <c r="DE163" s="55">
        <v>2055.6889999999999</v>
      </c>
      <c r="DF163" s="59">
        <v>1632.8602057942001</v>
      </c>
      <c r="DG163" s="59">
        <v>39213.359205794193</v>
      </c>
      <c r="DH163" s="117">
        <v>9212.3780000000006</v>
      </c>
      <c r="DI163" s="117">
        <v>54704.411</v>
      </c>
      <c r="DJ163" s="55">
        <v>9032</v>
      </c>
      <c r="DK163" s="114">
        <v>63736.411</v>
      </c>
      <c r="DL163" s="43"/>
      <c r="DM163" s="117">
        <v>899.17200000000003</v>
      </c>
      <c r="DN163" s="55">
        <v>10553.7831128091</v>
      </c>
      <c r="DO163" s="55">
        <v>11452.955112809101</v>
      </c>
      <c r="DP163" s="59">
        <v>1455.3989030504879</v>
      </c>
      <c r="DQ163" s="59">
        <v>2931.2847992178222</v>
      </c>
      <c r="DR163" s="59">
        <v>429.85082277999999</v>
      </c>
      <c r="DS163" s="55">
        <v>3361.135621997822</v>
      </c>
      <c r="DT163" s="55">
        <v>162.84915551210119</v>
      </c>
      <c r="DU163" s="55">
        <v>162.84915551210119</v>
      </c>
      <c r="DW163" s="121">
        <v>0</v>
      </c>
      <c r="DX163" s="122">
        <v>6779.6610170000004</v>
      </c>
      <c r="DY163" s="128">
        <v>1447.7400829999999</v>
      </c>
      <c r="DZ163" s="128">
        <v>0</v>
      </c>
      <c r="EA163" s="121">
        <v>0</v>
      </c>
      <c r="EB163" s="122">
        <v>242.98584449000001</v>
      </c>
      <c r="EC163" s="121">
        <v>0</v>
      </c>
      <c r="ED163" s="122">
        <v>1271.1864410000001</v>
      </c>
      <c r="EE163" s="121">
        <v>0</v>
      </c>
      <c r="EF163" s="122">
        <v>847.5</v>
      </c>
      <c r="EG163" s="121">
        <v>0</v>
      </c>
      <c r="EH163" s="122">
        <v>7397.5988710000001</v>
      </c>
      <c r="EI163" s="121">
        <v>0</v>
      </c>
      <c r="EJ163" s="122">
        <v>6779.6610170000004</v>
      </c>
      <c r="EK163" s="129">
        <v>242.98584449000001</v>
      </c>
      <c r="EL163" s="130">
        <v>847.5</v>
      </c>
      <c r="EM163" s="131">
        <v>735.83500000000004</v>
      </c>
      <c r="EN163" s="129">
        <v>429.85082277999999</v>
      </c>
      <c r="EO163" s="129">
        <v>10964.025395000001</v>
      </c>
      <c r="EP163" s="129">
        <v>0</v>
      </c>
      <c r="ER163" s="157">
        <v>0</v>
      </c>
      <c r="ES163" s="37">
        <v>0</v>
      </c>
      <c r="ET163" s="55">
        <f t="shared" si="19"/>
        <v>0</v>
      </c>
      <c r="EU163" s="157">
        <v>0</v>
      </c>
      <c r="EV163" s="37">
        <v>0</v>
      </c>
      <c r="EW163" s="55">
        <f t="shared" ref="EW163:EW170" si="26">(EU163+EV163)/($J$2+$J$3)</f>
        <v>0</v>
      </c>
      <c r="EY163" s="166">
        <v>0</v>
      </c>
      <c r="EZ163" s="37">
        <v>0</v>
      </c>
      <c r="FA163" s="164">
        <f t="shared" si="20"/>
        <v>0</v>
      </c>
      <c r="FB163" s="5">
        <v>0</v>
      </c>
      <c r="FC163" s="164">
        <f t="shared" si="21"/>
        <v>0</v>
      </c>
      <c r="FE163" s="5"/>
      <c r="FF163" s="166">
        <v>2897.4</v>
      </c>
      <c r="FG163" s="37">
        <v>10423.35</v>
      </c>
      <c r="FH163" s="164">
        <f t="shared" si="22"/>
        <v>1</v>
      </c>
      <c r="FI163" s="5">
        <v>3837</v>
      </c>
      <c r="FJ163" s="164">
        <f t="shared" si="23"/>
        <v>1</v>
      </c>
      <c r="FL163" s="169">
        <v>7873</v>
      </c>
      <c r="FM163" s="170">
        <f t="shared" si="24"/>
        <v>0.68245451314546257</v>
      </c>
      <c r="FN163" s="169">
        <v>2591</v>
      </c>
      <c r="FO163" s="170">
        <f t="shared" si="25"/>
        <v>0.82634348588741824</v>
      </c>
    </row>
    <row r="164" spans="15:171" x14ac:dyDescent="0.35">
      <c r="P164" s="64">
        <v>162</v>
      </c>
      <c r="Q164" s="109">
        <v>2324</v>
      </c>
      <c r="R164" s="110">
        <v>2.8000000000000001E-2</v>
      </c>
      <c r="S164" s="111">
        <v>0</v>
      </c>
      <c r="T164" s="110">
        <v>0</v>
      </c>
      <c r="U164" s="111">
        <v>960</v>
      </c>
      <c r="V164" s="110">
        <v>3.2000000000000001E-2</v>
      </c>
      <c r="W164" s="111">
        <v>1308.4161999999999</v>
      </c>
      <c r="X164" s="110">
        <v>9.0999999999999984E-2</v>
      </c>
      <c r="Y164" s="111">
        <v>434.69549999999998</v>
      </c>
      <c r="Z164" s="110">
        <v>4.4999999999999998E-2</v>
      </c>
      <c r="AA164" s="111">
        <v>0</v>
      </c>
      <c r="AB164" s="110">
        <v>0</v>
      </c>
      <c r="AC164" s="111">
        <v>0</v>
      </c>
      <c r="AD164" s="110">
        <v>0</v>
      </c>
      <c r="AF164" s="64">
        <v>162</v>
      </c>
      <c r="AG164" s="109">
        <v>68173.846799999999</v>
      </c>
      <c r="AH164" s="111">
        <v>2122.9</v>
      </c>
      <c r="AI164" s="109">
        <v>461.5</v>
      </c>
      <c r="AJ164" s="59">
        <v>0.76600000000000001</v>
      </c>
      <c r="AK164" s="59">
        <v>0.92300000000000004</v>
      </c>
      <c r="AL164" s="59">
        <v>0.92300000000000004</v>
      </c>
      <c r="AM164" s="110">
        <v>221.578</v>
      </c>
      <c r="AN164" s="111">
        <v>6019.7412000000004</v>
      </c>
      <c r="AO164" s="59">
        <v>0.34300000000000003</v>
      </c>
      <c r="AP164" s="55">
        <v>0.51700000000000002</v>
      </c>
      <c r="AQ164" s="109">
        <v>35546.199999999997</v>
      </c>
      <c r="AR164" s="111">
        <v>22442.1</v>
      </c>
      <c r="AS164" s="59">
        <v>0.79699999999999993</v>
      </c>
      <c r="AT164" s="55">
        <v>0.95599999999999996</v>
      </c>
      <c r="AU164" s="43"/>
      <c r="AV164" s="109">
        <v>923.49699999999996</v>
      </c>
      <c r="AW164" s="110">
        <v>0.37499979696750668</v>
      </c>
      <c r="AX164" s="109">
        <v>1006.4059999999999</v>
      </c>
      <c r="AY164" s="110">
        <v>0.62626384567517113</v>
      </c>
      <c r="AZ164" s="109">
        <v>1121.4780000000001</v>
      </c>
      <c r="BA164" s="110">
        <v>0.5784392407674851</v>
      </c>
      <c r="BB164" s="43"/>
      <c r="BC164" s="112">
        <v>53641.616999999998</v>
      </c>
      <c r="BD164" s="110">
        <v>0.77049180327868849</v>
      </c>
      <c r="BE164" s="43"/>
      <c r="BF164" s="157">
        <v>30243.231</v>
      </c>
      <c r="BG164" s="43">
        <v>0</v>
      </c>
      <c r="BH164" s="113">
        <v>0</v>
      </c>
      <c r="BI164" s="114">
        <v>0.92770647239263804</v>
      </c>
      <c r="BJ164" s="115">
        <v>0</v>
      </c>
      <c r="BK164" s="113">
        <v>0</v>
      </c>
      <c r="BL164" s="113">
        <v>0</v>
      </c>
      <c r="BM164" s="113">
        <v>0</v>
      </c>
      <c r="BN164" s="113">
        <v>3960.0949999999998</v>
      </c>
      <c r="BO164" s="114">
        <v>0.29381918682297076</v>
      </c>
      <c r="BP164" s="115">
        <v>0</v>
      </c>
      <c r="BQ164" s="43">
        <v>7668</v>
      </c>
      <c r="BR164" s="43">
        <v>0</v>
      </c>
      <c r="BS164" s="43"/>
      <c r="BT164" s="116">
        <v>-700</v>
      </c>
      <c r="BU164" s="43">
        <v>0</v>
      </c>
      <c r="BV164" s="43">
        <v>4485</v>
      </c>
      <c r="BW164" s="43">
        <v>4485</v>
      </c>
      <c r="BX164" s="43">
        <v>0</v>
      </c>
      <c r="BY164" s="43">
        <v>0</v>
      </c>
      <c r="BZ164" s="43">
        <v>-5000</v>
      </c>
      <c r="CA164" s="43">
        <v>0</v>
      </c>
      <c r="CB164" s="43">
        <v>-5300</v>
      </c>
      <c r="CC164" s="43">
        <v>0</v>
      </c>
      <c r="CD164" s="43">
        <v>-4000</v>
      </c>
      <c r="CE164" s="43">
        <v>0</v>
      </c>
      <c r="CF164" s="43">
        <v>-4800</v>
      </c>
      <c r="CG164" s="43">
        <v>0</v>
      </c>
      <c r="CH164" s="43">
        <v>19961.347404259999</v>
      </c>
      <c r="CI164" s="43">
        <v>19961.347404259999</v>
      </c>
      <c r="CJ164" s="114">
        <v>24446.347404259999</v>
      </c>
      <c r="CK164" s="43"/>
      <c r="CL164" s="116">
        <v>-700</v>
      </c>
      <c r="CM164" s="43">
        <v>700</v>
      </c>
      <c r="CN164" s="43">
        <v>4485</v>
      </c>
      <c r="CO164" s="43">
        <v>0</v>
      </c>
      <c r="CP164" s="43">
        <v>0</v>
      </c>
      <c r="CQ164" s="43">
        <v>0</v>
      </c>
      <c r="CR164" s="43">
        <v>-5000</v>
      </c>
      <c r="CS164" s="43">
        <v>5000</v>
      </c>
      <c r="CT164" s="43">
        <v>-5300</v>
      </c>
      <c r="CU164" s="43">
        <v>5300</v>
      </c>
      <c r="CV164" s="43">
        <v>-4000</v>
      </c>
      <c r="CW164" s="43">
        <v>4000</v>
      </c>
      <c r="CX164" s="43">
        <v>-4800</v>
      </c>
      <c r="CY164" s="43">
        <v>4800</v>
      </c>
      <c r="CZ164" s="43">
        <v>19961.347404259999</v>
      </c>
      <c r="DA164" s="43">
        <v>0</v>
      </c>
      <c r="DB164" s="114">
        <v>19800</v>
      </c>
      <c r="DC164" s="43"/>
      <c r="DD164" s="117">
        <v>37301.245999999999</v>
      </c>
      <c r="DE164" s="55">
        <v>2217.5830000000001</v>
      </c>
      <c r="DF164" s="59">
        <v>1706.7498811513999</v>
      </c>
      <c r="DG164" s="59">
        <v>41225.578881151399</v>
      </c>
      <c r="DH164" s="117">
        <v>9355.2849999999999</v>
      </c>
      <c r="DI164" s="117">
        <v>57836.411</v>
      </c>
      <c r="DJ164" s="55">
        <v>9500</v>
      </c>
      <c r="DK164" s="114">
        <v>67336.410999999993</v>
      </c>
      <c r="DL164" s="43"/>
      <c r="DM164" s="117">
        <v>881.50199999999995</v>
      </c>
      <c r="DN164" s="55">
        <v>10553.7831128091</v>
      </c>
      <c r="DO164" s="55">
        <v>11435.285112809101</v>
      </c>
      <c r="DP164" s="59">
        <v>1455.3989030504879</v>
      </c>
      <c r="DQ164" s="59">
        <v>2931.2847992178222</v>
      </c>
      <c r="DR164" s="59">
        <v>429.85082277999999</v>
      </c>
      <c r="DS164" s="55">
        <v>3361.135621997822</v>
      </c>
      <c r="DT164" s="55">
        <v>162.84915551210119</v>
      </c>
      <c r="DU164" s="55">
        <v>162.84915551210119</v>
      </c>
      <c r="DW164" s="121">
        <v>0</v>
      </c>
      <c r="DX164" s="122">
        <v>6779.6610170000004</v>
      </c>
      <c r="DY164" s="128">
        <v>1447.7400829999999</v>
      </c>
      <c r="DZ164" s="128">
        <v>0</v>
      </c>
      <c r="EA164" s="121">
        <v>0</v>
      </c>
      <c r="EB164" s="122">
        <v>242.98584449000001</v>
      </c>
      <c r="EC164" s="121">
        <v>0</v>
      </c>
      <c r="ED164" s="122">
        <v>1271.1864410000001</v>
      </c>
      <c r="EE164" s="121">
        <v>0</v>
      </c>
      <c r="EF164" s="122">
        <v>847.5</v>
      </c>
      <c r="EG164" s="121">
        <v>0</v>
      </c>
      <c r="EH164" s="122">
        <v>7397.5988710000001</v>
      </c>
      <c r="EI164" s="121">
        <v>0</v>
      </c>
      <c r="EJ164" s="122">
        <v>6779.6610170000004</v>
      </c>
      <c r="EK164" s="129">
        <v>242.98584449000001</v>
      </c>
      <c r="EL164" s="130">
        <v>847.5</v>
      </c>
      <c r="EM164" s="131">
        <v>735.83500000000004</v>
      </c>
      <c r="EN164" s="129">
        <v>429.85082277999999</v>
      </c>
      <c r="EO164" s="129">
        <v>10964.025395000001</v>
      </c>
      <c r="EP164" s="129">
        <v>0</v>
      </c>
      <c r="ER164" s="157">
        <v>0</v>
      </c>
      <c r="ES164" s="37">
        <v>0</v>
      </c>
      <c r="ET164" s="55">
        <f t="shared" si="19"/>
        <v>0</v>
      </c>
      <c r="EU164" s="157">
        <v>0</v>
      </c>
      <c r="EV164" s="37">
        <v>0</v>
      </c>
      <c r="EW164" s="55">
        <f t="shared" si="26"/>
        <v>0</v>
      </c>
      <c r="EY164" s="166">
        <v>2973.3030961999998</v>
      </c>
      <c r="EZ164" s="37">
        <v>0</v>
      </c>
      <c r="FA164" s="164">
        <f t="shared" si="20"/>
        <v>0.21856126634999462</v>
      </c>
      <c r="FB164" s="5">
        <v>0</v>
      </c>
      <c r="FC164" s="164">
        <f t="shared" si="21"/>
        <v>0</v>
      </c>
      <c r="FE164" s="5"/>
      <c r="FF164" s="166">
        <v>2897.4</v>
      </c>
      <c r="FG164" s="37">
        <v>0</v>
      </c>
      <c r="FH164" s="164">
        <f t="shared" si="22"/>
        <v>0.21751027532233547</v>
      </c>
      <c r="FI164" s="5">
        <v>1530.0317191500001</v>
      </c>
      <c r="FJ164" s="164">
        <f t="shared" si="23"/>
        <v>0.39875728932759968</v>
      </c>
      <c r="FL164" s="169">
        <v>7873</v>
      </c>
      <c r="FM164" s="170">
        <f t="shared" si="24"/>
        <v>0.68245451314546257</v>
      </c>
      <c r="FN164" s="169">
        <v>2591</v>
      </c>
      <c r="FO164" s="170">
        <f t="shared" si="25"/>
        <v>0.82634348588741824</v>
      </c>
    </row>
    <row r="165" spans="15:171" x14ac:dyDescent="0.35">
      <c r="P165" s="64">
        <v>163</v>
      </c>
      <c r="Q165" s="109">
        <v>0</v>
      </c>
      <c r="R165" s="110">
        <v>0</v>
      </c>
      <c r="S165" s="111">
        <v>0</v>
      </c>
      <c r="T165" s="110">
        <v>0</v>
      </c>
      <c r="U165" s="111">
        <v>0</v>
      </c>
      <c r="V165" s="110">
        <v>0</v>
      </c>
      <c r="W165" s="111">
        <v>0</v>
      </c>
      <c r="X165" s="110">
        <v>0</v>
      </c>
      <c r="Y165" s="111">
        <v>0</v>
      </c>
      <c r="Z165" s="110">
        <v>0</v>
      </c>
      <c r="AA165" s="111">
        <v>0</v>
      </c>
      <c r="AB165" s="110">
        <v>0</v>
      </c>
      <c r="AC165" s="111">
        <v>0</v>
      </c>
      <c r="AD165" s="110">
        <v>0</v>
      </c>
      <c r="AF165" s="64">
        <v>163</v>
      </c>
      <c r="AG165" s="109">
        <v>63812.856599999999</v>
      </c>
      <c r="AH165" s="111">
        <v>2118.3000000000002</v>
      </c>
      <c r="AI165" s="109">
        <v>460.5</v>
      </c>
      <c r="AJ165" s="59">
        <v>0.71699999999999997</v>
      </c>
      <c r="AK165" s="59">
        <v>0.92100000000000004</v>
      </c>
      <c r="AL165" s="59">
        <v>0.92100000000000004</v>
      </c>
      <c r="AM165" s="110">
        <v>219.64</v>
      </c>
      <c r="AN165" s="111">
        <v>3772.5264000000002</v>
      </c>
      <c r="AO165" s="59">
        <v>0.33999999999999997</v>
      </c>
      <c r="AP165" s="55">
        <v>0.32400000000000001</v>
      </c>
      <c r="AQ165" s="109">
        <v>34386.6</v>
      </c>
      <c r="AR165" s="111">
        <v>22301.25</v>
      </c>
      <c r="AS165" s="59">
        <v>0.77100000000000002</v>
      </c>
      <c r="AT165" s="55">
        <v>0.95</v>
      </c>
      <c r="AU165" s="43"/>
      <c r="AV165" s="109">
        <v>925.96</v>
      </c>
      <c r="AW165" s="110">
        <v>0.37599993502960216</v>
      </c>
      <c r="AX165" s="109">
        <v>1007.8</v>
      </c>
      <c r="AY165" s="110">
        <v>0.62713130056004973</v>
      </c>
      <c r="AZ165" s="109">
        <v>1121.4780000000001</v>
      </c>
      <c r="BA165" s="110">
        <v>0.5784392407674851</v>
      </c>
      <c r="BB165" s="43"/>
      <c r="BC165" s="112">
        <v>53641.616999999998</v>
      </c>
      <c r="BD165" s="110">
        <v>0.77049180327868849</v>
      </c>
      <c r="BE165" s="43"/>
      <c r="BF165" s="157">
        <v>27240.467000000001</v>
      </c>
      <c r="BG165" s="43">
        <v>0</v>
      </c>
      <c r="BH165" s="113">
        <v>0</v>
      </c>
      <c r="BI165" s="114">
        <v>0.83559714723926382</v>
      </c>
      <c r="BJ165" s="115">
        <v>0</v>
      </c>
      <c r="BK165" s="113">
        <v>0</v>
      </c>
      <c r="BL165" s="113">
        <v>0</v>
      </c>
      <c r="BM165" s="113">
        <v>0</v>
      </c>
      <c r="BN165" s="113">
        <v>3136.3069999999998</v>
      </c>
      <c r="BO165" s="114">
        <v>0.23269824899836769</v>
      </c>
      <c r="BP165" s="115">
        <v>0</v>
      </c>
      <c r="BQ165" s="43">
        <v>7668</v>
      </c>
      <c r="BR165" s="43">
        <v>0</v>
      </c>
      <c r="BS165" s="43"/>
      <c r="BT165" s="116">
        <v>-700</v>
      </c>
      <c r="BU165" s="43">
        <v>0</v>
      </c>
      <c r="BV165" s="43">
        <v>4485</v>
      </c>
      <c r="BW165" s="43">
        <v>4485</v>
      </c>
      <c r="BX165" s="43">
        <v>0</v>
      </c>
      <c r="BY165" s="43">
        <v>0</v>
      </c>
      <c r="BZ165" s="43">
        <v>-5000</v>
      </c>
      <c r="CA165" s="43">
        <v>0</v>
      </c>
      <c r="CB165" s="43">
        <v>-5300</v>
      </c>
      <c r="CC165" s="43">
        <v>0</v>
      </c>
      <c r="CD165" s="43">
        <v>-4000</v>
      </c>
      <c r="CE165" s="43">
        <v>0</v>
      </c>
      <c r="CF165" s="43">
        <v>-4800</v>
      </c>
      <c r="CG165" s="43">
        <v>0</v>
      </c>
      <c r="CH165" s="43">
        <v>16343.858893619999</v>
      </c>
      <c r="CI165" s="43">
        <v>16343.858893619999</v>
      </c>
      <c r="CJ165" s="114">
        <v>20828.858893619999</v>
      </c>
      <c r="CK165" s="43"/>
      <c r="CL165" s="116">
        <v>-700</v>
      </c>
      <c r="CM165" s="43">
        <v>700</v>
      </c>
      <c r="CN165" s="43">
        <v>4485</v>
      </c>
      <c r="CO165" s="43">
        <v>0</v>
      </c>
      <c r="CP165" s="43">
        <v>0</v>
      </c>
      <c r="CQ165" s="43">
        <v>0</v>
      </c>
      <c r="CR165" s="43">
        <v>-5000</v>
      </c>
      <c r="CS165" s="43">
        <v>5000</v>
      </c>
      <c r="CT165" s="43">
        <v>-5300</v>
      </c>
      <c r="CU165" s="43">
        <v>5300</v>
      </c>
      <c r="CV165" s="43">
        <v>-4000</v>
      </c>
      <c r="CW165" s="43">
        <v>4000</v>
      </c>
      <c r="CX165" s="43">
        <v>-4800</v>
      </c>
      <c r="CY165" s="43">
        <v>4800</v>
      </c>
      <c r="CZ165" s="43">
        <v>16343.858893619999</v>
      </c>
      <c r="DA165" s="43">
        <v>0</v>
      </c>
      <c r="DB165" s="114">
        <v>19800</v>
      </c>
      <c r="DC165" s="43"/>
      <c r="DD165" s="117">
        <v>38251.661999999997</v>
      </c>
      <c r="DE165" s="55">
        <v>2316.5680000000002</v>
      </c>
      <c r="DF165" s="59">
        <v>1812.6672722281</v>
      </c>
      <c r="DG165" s="59">
        <v>42380.897272228096</v>
      </c>
      <c r="DH165" s="117">
        <v>9407.5650000000005</v>
      </c>
      <c r="DI165" s="117">
        <v>59335.411</v>
      </c>
      <c r="DJ165" s="55">
        <v>9099</v>
      </c>
      <c r="DK165" s="114">
        <v>68434.410999999993</v>
      </c>
      <c r="DL165" s="43"/>
      <c r="DM165" s="117">
        <v>876.221</v>
      </c>
      <c r="DN165" s="55">
        <v>10569.62924658717</v>
      </c>
      <c r="DO165" s="55">
        <v>11445.85024658717</v>
      </c>
      <c r="DP165" s="59">
        <v>1455.3989030504879</v>
      </c>
      <c r="DQ165" s="59">
        <v>2939.6344044654588</v>
      </c>
      <c r="DR165" s="59">
        <v>421.50121753000002</v>
      </c>
      <c r="DS165" s="55">
        <v>3361.1356219954587</v>
      </c>
      <c r="DT165" s="55">
        <v>163.31302247030331</v>
      </c>
      <c r="DU165" s="55">
        <v>163.31302247030331</v>
      </c>
      <c r="DW165" s="121">
        <v>0</v>
      </c>
      <c r="DX165" s="122">
        <v>6779.6610170000004</v>
      </c>
      <c r="DY165" s="128">
        <v>1447.7400829999999</v>
      </c>
      <c r="DZ165" s="128">
        <v>0</v>
      </c>
      <c r="EA165" s="121">
        <v>0</v>
      </c>
      <c r="EB165" s="122">
        <v>242.52197752999999</v>
      </c>
      <c r="EC165" s="121">
        <v>0</v>
      </c>
      <c r="ED165" s="122">
        <v>1271.1864410000001</v>
      </c>
      <c r="EE165" s="121">
        <v>0</v>
      </c>
      <c r="EF165" s="122">
        <v>847.5</v>
      </c>
      <c r="EG165" s="121">
        <v>0</v>
      </c>
      <c r="EH165" s="122">
        <v>7397.5988710000001</v>
      </c>
      <c r="EI165" s="121">
        <v>0</v>
      </c>
      <c r="EJ165" s="122">
        <v>6779.6610170000004</v>
      </c>
      <c r="EK165" s="129">
        <v>242.52197752999999</v>
      </c>
      <c r="EL165" s="130">
        <v>847.5</v>
      </c>
      <c r="EM165" s="131">
        <v>735.83500000000004</v>
      </c>
      <c r="EN165" s="129">
        <v>421.50121753000002</v>
      </c>
      <c r="EO165" s="129">
        <v>10964.025395000001</v>
      </c>
      <c r="EP165" s="129">
        <v>0</v>
      </c>
      <c r="ER165" s="157">
        <v>0</v>
      </c>
      <c r="ES165" s="37">
        <v>0</v>
      </c>
      <c r="ET165" s="55">
        <f t="shared" si="19"/>
        <v>0</v>
      </c>
      <c r="EU165" s="157">
        <v>0</v>
      </c>
      <c r="EV165" s="37">
        <v>0</v>
      </c>
      <c r="EW165" s="55">
        <f t="shared" si="26"/>
        <v>0</v>
      </c>
      <c r="EY165" s="166">
        <v>0</v>
      </c>
      <c r="EZ165" s="37">
        <v>0</v>
      </c>
      <c r="FA165" s="164">
        <f t="shared" si="20"/>
        <v>0</v>
      </c>
      <c r="FB165" s="5">
        <v>2064.9701558299998</v>
      </c>
      <c r="FC165" s="164">
        <f t="shared" si="21"/>
        <v>0.44764148186212871</v>
      </c>
      <c r="FE165" s="5"/>
      <c r="FF165" s="166">
        <v>2897.4</v>
      </c>
      <c r="FG165" s="37">
        <v>0</v>
      </c>
      <c r="FH165" s="164">
        <f t="shared" si="22"/>
        <v>0.21751027532233547</v>
      </c>
      <c r="FI165" s="5">
        <v>0</v>
      </c>
      <c r="FJ165" s="164">
        <f t="shared" si="23"/>
        <v>0</v>
      </c>
      <c r="FL165" s="169">
        <v>7873</v>
      </c>
      <c r="FM165" s="170">
        <f t="shared" si="24"/>
        <v>0.68245451314546257</v>
      </c>
      <c r="FN165" s="169">
        <v>2591</v>
      </c>
      <c r="FO165" s="170">
        <f t="shared" si="25"/>
        <v>0.82634348588741824</v>
      </c>
    </row>
    <row r="166" spans="15:171" x14ac:dyDescent="0.35">
      <c r="P166" s="64">
        <v>164</v>
      </c>
      <c r="Q166" s="109">
        <v>0</v>
      </c>
      <c r="R166" s="110">
        <v>0</v>
      </c>
      <c r="S166" s="111">
        <v>0</v>
      </c>
      <c r="T166" s="110">
        <v>0</v>
      </c>
      <c r="U166" s="111">
        <v>0</v>
      </c>
      <c r="V166" s="110">
        <v>0</v>
      </c>
      <c r="W166" s="111">
        <v>0</v>
      </c>
      <c r="X166" s="110">
        <v>0</v>
      </c>
      <c r="Y166" s="111">
        <v>0</v>
      </c>
      <c r="Z166" s="110">
        <v>0</v>
      </c>
      <c r="AA166" s="111">
        <v>0</v>
      </c>
      <c r="AB166" s="110">
        <v>0</v>
      </c>
      <c r="AC166" s="111">
        <v>0</v>
      </c>
      <c r="AD166" s="110">
        <v>0</v>
      </c>
      <c r="AF166" s="64">
        <v>164</v>
      </c>
      <c r="AG166" s="109">
        <v>62032.8606</v>
      </c>
      <c r="AH166" s="111">
        <v>2122.9</v>
      </c>
      <c r="AI166" s="109">
        <v>461.5</v>
      </c>
      <c r="AJ166" s="59">
        <v>0.69699999999999995</v>
      </c>
      <c r="AK166" s="59">
        <v>0.92300000000000004</v>
      </c>
      <c r="AL166" s="59">
        <v>0.92300000000000004</v>
      </c>
      <c r="AM166" s="110">
        <v>218.34800000000001</v>
      </c>
      <c r="AN166" s="111">
        <v>2922.5436</v>
      </c>
      <c r="AO166" s="59">
        <v>0.33800000000000002</v>
      </c>
      <c r="AP166" s="55">
        <v>0.251</v>
      </c>
      <c r="AQ166" s="109">
        <v>34431.199999999997</v>
      </c>
      <c r="AR166" s="111">
        <v>22043.025000000001</v>
      </c>
      <c r="AS166" s="59">
        <v>0.77199999999999991</v>
      </c>
      <c r="AT166" s="55">
        <v>0.93900000000000006</v>
      </c>
      <c r="AU166" s="43"/>
      <c r="AV166" s="109">
        <v>925.96</v>
      </c>
      <c r="AW166" s="110">
        <v>0.37599993502960216</v>
      </c>
      <c r="AX166" s="109">
        <v>1012.452</v>
      </c>
      <c r="AY166" s="110">
        <v>0.63002613565650278</v>
      </c>
      <c r="AZ166" s="109">
        <v>1121.4780000000001</v>
      </c>
      <c r="BA166" s="110">
        <v>0.5784392407674851</v>
      </c>
      <c r="BB166" s="43"/>
      <c r="BC166" s="112">
        <v>53641.616999999998</v>
      </c>
      <c r="BD166" s="110">
        <v>0.77049180327868849</v>
      </c>
      <c r="BE166" s="43"/>
      <c r="BF166" s="157">
        <v>26492.048999999999</v>
      </c>
      <c r="BG166" s="43">
        <v>0</v>
      </c>
      <c r="BH166" s="113">
        <v>0</v>
      </c>
      <c r="BI166" s="114">
        <v>0.81263953987730053</v>
      </c>
      <c r="BJ166" s="115">
        <v>0</v>
      </c>
      <c r="BK166" s="113">
        <v>0</v>
      </c>
      <c r="BL166" s="113">
        <v>0</v>
      </c>
      <c r="BM166" s="113">
        <v>0</v>
      </c>
      <c r="BN166" s="113">
        <v>3067.5390000000002</v>
      </c>
      <c r="BO166" s="114">
        <v>0.22759600830983828</v>
      </c>
      <c r="BP166" s="115">
        <v>0</v>
      </c>
      <c r="BQ166" s="43">
        <v>7668</v>
      </c>
      <c r="BR166" s="43">
        <v>0</v>
      </c>
      <c r="BS166" s="43"/>
      <c r="BT166" s="116">
        <v>-700</v>
      </c>
      <c r="BU166" s="43">
        <v>0</v>
      </c>
      <c r="BV166" s="43">
        <v>4485</v>
      </c>
      <c r="BW166" s="43">
        <v>4485</v>
      </c>
      <c r="BX166" s="43">
        <v>0</v>
      </c>
      <c r="BY166" s="43">
        <v>0</v>
      </c>
      <c r="BZ166" s="43">
        <v>-5000</v>
      </c>
      <c r="CA166" s="43">
        <v>0</v>
      </c>
      <c r="CB166" s="43">
        <v>-5300</v>
      </c>
      <c r="CC166" s="43">
        <v>0</v>
      </c>
      <c r="CD166" s="43">
        <v>-4000</v>
      </c>
      <c r="CE166" s="43">
        <v>0</v>
      </c>
      <c r="CF166" s="43">
        <v>-4800</v>
      </c>
      <c r="CG166" s="43">
        <v>0</v>
      </c>
      <c r="CH166" s="43">
        <v>26004.059856439999</v>
      </c>
      <c r="CI166" s="43">
        <v>26004.059856439999</v>
      </c>
      <c r="CJ166" s="114">
        <v>30489.059856439999</v>
      </c>
      <c r="CK166" s="43"/>
      <c r="CL166" s="116">
        <v>-700</v>
      </c>
      <c r="CM166" s="43">
        <v>700</v>
      </c>
      <c r="CN166" s="43">
        <v>4485</v>
      </c>
      <c r="CO166" s="43">
        <v>0</v>
      </c>
      <c r="CP166" s="43">
        <v>0</v>
      </c>
      <c r="CQ166" s="43">
        <v>0</v>
      </c>
      <c r="CR166" s="43">
        <v>-5000</v>
      </c>
      <c r="CS166" s="43">
        <v>5000</v>
      </c>
      <c r="CT166" s="43">
        <v>-5300</v>
      </c>
      <c r="CU166" s="43">
        <v>5300</v>
      </c>
      <c r="CV166" s="43">
        <v>-4000</v>
      </c>
      <c r="CW166" s="43">
        <v>4000</v>
      </c>
      <c r="CX166" s="43">
        <v>-4800</v>
      </c>
      <c r="CY166" s="43">
        <v>4800</v>
      </c>
      <c r="CZ166" s="43">
        <v>26004.059856439999</v>
      </c>
      <c r="DA166" s="43">
        <v>0</v>
      </c>
      <c r="DB166" s="114">
        <v>19800</v>
      </c>
      <c r="DC166" s="43"/>
      <c r="DD166" s="117">
        <v>38545.404000000002</v>
      </c>
      <c r="DE166" s="55">
        <v>2318.4690000000001</v>
      </c>
      <c r="DF166" s="59">
        <v>1932.657983051</v>
      </c>
      <c r="DG166" s="59">
        <v>42796.530983051001</v>
      </c>
      <c r="DH166" s="117">
        <v>9485.7279999999992</v>
      </c>
      <c r="DI166" s="117">
        <v>59483.411</v>
      </c>
      <c r="DJ166" s="55">
        <v>8575</v>
      </c>
      <c r="DK166" s="114">
        <v>68058.410999999993</v>
      </c>
      <c r="DL166" s="43"/>
      <c r="DM166" s="117">
        <v>865.38099999999997</v>
      </c>
      <c r="DN166" s="55">
        <v>10553.7831128091</v>
      </c>
      <c r="DO166" s="55">
        <v>11419.1641128091</v>
      </c>
      <c r="DP166" s="59">
        <v>1455.3989030504879</v>
      </c>
      <c r="DQ166" s="59">
        <v>2931.2847992178222</v>
      </c>
      <c r="DR166" s="59">
        <v>429.85082277999999</v>
      </c>
      <c r="DS166" s="55">
        <v>3361.135621997822</v>
      </c>
      <c r="DT166" s="55">
        <v>162.84915551210119</v>
      </c>
      <c r="DU166" s="55">
        <v>162.84915551210119</v>
      </c>
      <c r="DW166" s="121">
        <v>0</v>
      </c>
      <c r="DX166" s="122">
        <v>6779.6610170000004</v>
      </c>
      <c r="DY166" s="128">
        <v>1447.7400829999999</v>
      </c>
      <c r="DZ166" s="128">
        <v>0</v>
      </c>
      <c r="EA166" s="121">
        <v>0</v>
      </c>
      <c r="EB166" s="122">
        <v>242.98584449000001</v>
      </c>
      <c r="EC166" s="121">
        <v>0</v>
      </c>
      <c r="ED166" s="122">
        <v>1271.1864410000001</v>
      </c>
      <c r="EE166" s="121">
        <v>0</v>
      </c>
      <c r="EF166" s="122">
        <v>847.5</v>
      </c>
      <c r="EG166" s="121">
        <v>0</v>
      </c>
      <c r="EH166" s="122">
        <v>7397.5988710000001</v>
      </c>
      <c r="EI166" s="121">
        <v>0</v>
      </c>
      <c r="EJ166" s="122">
        <v>6779.6610170000004</v>
      </c>
      <c r="EK166" s="129">
        <v>242.98584449000001</v>
      </c>
      <c r="EL166" s="130">
        <v>847.5</v>
      </c>
      <c r="EM166" s="131">
        <v>735.83500000000004</v>
      </c>
      <c r="EN166" s="129">
        <v>429.85082277999999</v>
      </c>
      <c r="EO166" s="129">
        <v>10964.025395000001</v>
      </c>
      <c r="EP166" s="129">
        <v>0</v>
      </c>
      <c r="ER166" s="157">
        <v>0</v>
      </c>
      <c r="ES166" s="37">
        <v>0</v>
      </c>
      <c r="ET166" s="55">
        <f t="shared" si="19"/>
        <v>0</v>
      </c>
      <c r="EU166" s="157">
        <v>0</v>
      </c>
      <c r="EV166" s="37">
        <v>0</v>
      </c>
      <c r="EW166" s="55">
        <f t="shared" si="26"/>
        <v>0</v>
      </c>
      <c r="EY166" s="166">
        <v>0</v>
      </c>
      <c r="EZ166" s="37">
        <v>0</v>
      </c>
      <c r="FA166" s="164">
        <f t="shared" si="20"/>
        <v>0</v>
      </c>
      <c r="FB166" s="5">
        <v>4613</v>
      </c>
      <c r="FC166" s="164">
        <f t="shared" si="21"/>
        <v>1</v>
      </c>
      <c r="FE166" s="5"/>
      <c r="FF166" s="166">
        <v>2897.4</v>
      </c>
      <c r="FG166" s="37">
        <v>10423.35</v>
      </c>
      <c r="FH166" s="164">
        <f t="shared" si="22"/>
        <v>1</v>
      </c>
      <c r="FI166" s="5">
        <v>3837</v>
      </c>
      <c r="FJ166" s="164">
        <f t="shared" si="23"/>
        <v>1</v>
      </c>
      <c r="FL166" s="169">
        <v>7873</v>
      </c>
      <c r="FM166" s="170">
        <f t="shared" si="24"/>
        <v>0.68245451314546257</v>
      </c>
      <c r="FN166" s="169">
        <v>2591</v>
      </c>
      <c r="FO166" s="170">
        <f t="shared" si="25"/>
        <v>0.82634348588741824</v>
      </c>
    </row>
    <row r="167" spans="15:171" x14ac:dyDescent="0.35">
      <c r="P167" s="64">
        <v>165</v>
      </c>
      <c r="Q167" s="109">
        <v>0</v>
      </c>
      <c r="R167" s="110">
        <v>0</v>
      </c>
      <c r="S167" s="111">
        <v>0</v>
      </c>
      <c r="T167" s="110">
        <v>0</v>
      </c>
      <c r="U167" s="111">
        <v>0</v>
      </c>
      <c r="V167" s="110">
        <v>0</v>
      </c>
      <c r="W167" s="111">
        <v>0</v>
      </c>
      <c r="X167" s="110">
        <v>0</v>
      </c>
      <c r="Y167" s="111">
        <v>0</v>
      </c>
      <c r="Z167" s="110">
        <v>0</v>
      </c>
      <c r="AA167" s="111">
        <v>0</v>
      </c>
      <c r="AB167" s="110">
        <v>0</v>
      </c>
      <c r="AC167" s="111">
        <v>0</v>
      </c>
      <c r="AD167" s="110">
        <v>0</v>
      </c>
      <c r="AF167" s="64">
        <v>165</v>
      </c>
      <c r="AG167" s="109">
        <v>62566.859400000001</v>
      </c>
      <c r="AH167" s="111">
        <v>2129.8000000000002</v>
      </c>
      <c r="AI167" s="109">
        <v>463</v>
      </c>
      <c r="AJ167" s="59">
        <v>0.70299999999999996</v>
      </c>
      <c r="AK167" s="59">
        <v>0.92600000000000005</v>
      </c>
      <c r="AL167" s="59">
        <v>0.92600000000000005</v>
      </c>
      <c r="AM167" s="110">
        <v>229.976</v>
      </c>
      <c r="AN167" s="111">
        <v>2561.5920000000001</v>
      </c>
      <c r="AO167" s="59">
        <v>0.35599999999999998</v>
      </c>
      <c r="AP167" s="55">
        <v>0.22</v>
      </c>
      <c r="AQ167" s="109">
        <v>34877.199999999997</v>
      </c>
      <c r="AR167" s="111">
        <v>21831.75</v>
      </c>
      <c r="AS167" s="59">
        <v>0.78199999999999992</v>
      </c>
      <c r="AT167" s="55">
        <v>0.93</v>
      </c>
      <c r="AU167" s="43"/>
      <c r="AV167" s="109">
        <v>925.96</v>
      </c>
      <c r="AW167" s="110">
        <v>0.37599993502960216</v>
      </c>
      <c r="AX167" s="109">
        <v>1021.498</v>
      </c>
      <c r="AY167" s="110">
        <v>0.63565525824517732</v>
      </c>
      <c r="AZ167" s="109">
        <v>1121.4780000000001</v>
      </c>
      <c r="BA167" s="110">
        <v>0.5784392407674851</v>
      </c>
      <c r="BB167" s="43"/>
      <c r="BC167" s="112">
        <v>53641.616999999998</v>
      </c>
      <c r="BD167" s="110">
        <v>0.77049180327868849</v>
      </c>
      <c r="BE167" s="43"/>
      <c r="BF167" s="157">
        <v>26700.264999999999</v>
      </c>
      <c r="BG167" s="43">
        <v>0</v>
      </c>
      <c r="BH167" s="113">
        <v>0</v>
      </c>
      <c r="BI167" s="114">
        <v>0.81902653374233125</v>
      </c>
      <c r="BJ167" s="115">
        <v>0</v>
      </c>
      <c r="BK167" s="113">
        <v>0</v>
      </c>
      <c r="BL167" s="113">
        <v>0</v>
      </c>
      <c r="BM167" s="113">
        <v>0</v>
      </c>
      <c r="BN167" s="113">
        <v>3233.335</v>
      </c>
      <c r="BO167" s="114">
        <v>0.2398972399465796</v>
      </c>
      <c r="BP167" s="115">
        <v>0</v>
      </c>
      <c r="BQ167" s="43">
        <v>7668</v>
      </c>
      <c r="BR167" s="43">
        <v>0</v>
      </c>
      <c r="BS167" s="43"/>
      <c r="BT167" s="116">
        <v>-700</v>
      </c>
      <c r="BU167" s="43">
        <v>0</v>
      </c>
      <c r="BV167" s="43">
        <v>4485</v>
      </c>
      <c r="BW167" s="43">
        <v>4485</v>
      </c>
      <c r="BX167" s="43">
        <v>0</v>
      </c>
      <c r="BY167" s="43">
        <v>0</v>
      </c>
      <c r="BZ167" s="43">
        <v>-5000</v>
      </c>
      <c r="CA167" s="43">
        <v>0</v>
      </c>
      <c r="CB167" s="43">
        <v>-5300</v>
      </c>
      <c r="CC167" s="43">
        <v>0</v>
      </c>
      <c r="CD167" s="43">
        <v>-4000</v>
      </c>
      <c r="CE167" s="43">
        <v>0</v>
      </c>
      <c r="CF167" s="43">
        <v>-4800</v>
      </c>
      <c r="CG167" s="43">
        <v>0</v>
      </c>
      <c r="CH167" s="43">
        <v>18367.89102128</v>
      </c>
      <c r="CI167" s="43">
        <v>18367.89102128</v>
      </c>
      <c r="CJ167" s="114">
        <v>22852.89102128</v>
      </c>
      <c r="CK167" s="43"/>
      <c r="CL167" s="116">
        <v>-700</v>
      </c>
      <c r="CM167" s="43">
        <v>700</v>
      </c>
      <c r="CN167" s="43">
        <v>4485</v>
      </c>
      <c r="CO167" s="43">
        <v>0</v>
      </c>
      <c r="CP167" s="43">
        <v>0</v>
      </c>
      <c r="CQ167" s="43">
        <v>0</v>
      </c>
      <c r="CR167" s="43">
        <v>-5000</v>
      </c>
      <c r="CS167" s="43">
        <v>5000</v>
      </c>
      <c r="CT167" s="43">
        <v>-5300</v>
      </c>
      <c r="CU167" s="43">
        <v>5300</v>
      </c>
      <c r="CV167" s="43">
        <v>-4000</v>
      </c>
      <c r="CW167" s="43">
        <v>4000</v>
      </c>
      <c r="CX167" s="43">
        <v>-4800</v>
      </c>
      <c r="CY167" s="43">
        <v>4800</v>
      </c>
      <c r="CZ167" s="43">
        <v>18367.89102128</v>
      </c>
      <c r="DA167" s="43">
        <v>0</v>
      </c>
      <c r="DB167" s="114">
        <v>19800</v>
      </c>
      <c r="DC167" s="43"/>
      <c r="DD167" s="117">
        <v>38210.756000000001</v>
      </c>
      <c r="DE167" s="55">
        <v>2319.2249999999999</v>
      </c>
      <c r="DF167" s="59">
        <v>1902.0340898625</v>
      </c>
      <c r="DG167" s="59">
        <v>42432.0150898625</v>
      </c>
      <c r="DH167" s="117">
        <v>9216.625</v>
      </c>
      <c r="DI167" s="117">
        <v>57668.411</v>
      </c>
      <c r="DJ167" s="55">
        <v>8661</v>
      </c>
      <c r="DK167" s="114">
        <v>66329.410999999993</v>
      </c>
      <c r="DL167" s="43"/>
      <c r="DM167" s="117">
        <v>816.726</v>
      </c>
      <c r="DN167" s="55">
        <v>10537.936979031019</v>
      </c>
      <c r="DO167" s="55">
        <v>11354.66297903102</v>
      </c>
      <c r="DP167" s="59">
        <v>1455.3989030504879</v>
      </c>
      <c r="DQ167" s="59">
        <v>2922.935193970186</v>
      </c>
      <c r="DR167" s="59">
        <v>438.20042803000001</v>
      </c>
      <c r="DS167" s="55">
        <v>3361.1356220001862</v>
      </c>
      <c r="DT167" s="55">
        <v>162.38528855389919</v>
      </c>
      <c r="DU167" s="55">
        <v>162.38528855389919</v>
      </c>
      <c r="DW167" s="121">
        <v>0</v>
      </c>
      <c r="DX167" s="122">
        <v>6779.6610170000004</v>
      </c>
      <c r="DY167" s="128">
        <v>1447.7400829999999</v>
      </c>
      <c r="DZ167" s="128">
        <v>0</v>
      </c>
      <c r="EA167" s="121">
        <v>0</v>
      </c>
      <c r="EB167" s="122">
        <v>243.44971145</v>
      </c>
      <c r="EC167" s="121">
        <v>0</v>
      </c>
      <c r="ED167" s="122">
        <v>1271.1864410000001</v>
      </c>
      <c r="EE167" s="121">
        <v>0</v>
      </c>
      <c r="EF167" s="122">
        <v>847.5</v>
      </c>
      <c r="EG167" s="121">
        <v>0</v>
      </c>
      <c r="EH167" s="122">
        <v>7397.5988710000001</v>
      </c>
      <c r="EI167" s="121">
        <v>0</v>
      </c>
      <c r="EJ167" s="122">
        <v>6779.6610170000004</v>
      </c>
      <c r="EK167" s="129">
        <v>243.44971145</v>
      </c>
      <c r="EL167" s="130">
        <v>847.5</v>
      </c>
      <c r="EM167" s="131">
        <v>735.83500000000004</v>
      </c>
      <c r="EN167" s="129">
        <v>438.20042803000001</v>
      </c>
      <c r="EO167" s="129">
        <v>10964.025395000001</v>
      </c>
      <c r="EP167" s="129">
        <v>0</v>
      </c>
      <c r="ER167" s="157">
        <v>0</v>
      </c>
      <c r="ES167" s="37">
        <v>0</v>
      </c>
      <c r="ET167" s="55">
        <f t="shared" si="19"/>
        <v>0</v>
      </c>
      <c r="EU167" s="157">
        <v>0</v>
      </c>
      <c r="EV167" s="37">
        <v>0</v>
      </c>
      <c r="EW167" s="55">
        <f t="shared" si="26"/>
        <v>0</v>
      </c>
      <c r="EY167" s="166">
        <v>0</v>
      </c>
      <c r="EZ167" s="37">
        <v>0</v>
      </c>
      <c r="FA167" s="164">
        <f t="shared" si="20"/>
        <v>0</v>
      </c>
      <c r="FB167" s="5">
        <v>3999.9155957399998</v>
      </c>
      <c r="FC167" s="164">
        <f t="shared" si="21"/>
        <v>0.86709637887275093</v>
      </c>
      <c r="FE167" s="5"/>
      <c r="FF167" s="166">
        <v>2897.4</v>
      </c>
      <c r="FG167" s="37">
        <v>10423.35</v>
      </c>
      <c r="FH167" s="164">
        <f t="shared" si="22"/>
        <v>1</v>
      </c>
      <c r="FI167" s="5">
        <v>3837</v>
      </c>
      <c r="FJ167" s="164">
        <f t="shared" si="23"/>
        <v>1</v>
      </c>
      <c r="FL167" s="169">
        <v>7873</v>
      </c>
      <c r="FM167" s="170">
        <f t="shared" si="24"/>
        <v>0.68245451314546257</v>
      </c>
      <c r="FN167" s="169">
        <v>2591</v>
      </c>
      <c r="FO167" s="170">
        <f t="shared" si="25"/>
        <v>0.82634348588741824</v>
      </c>
    </row>
    <row r="168" spans="15:171" x14ac:dyDescent="0.35">
      <c r="P168" s="64">
        <v>166</v>
      </c>
      <c r="Q168" s="109">
        <v>0</v>
      </c>
      <c r="R168" s="110">
        <v>0</v>
      </c>
      <c r="S168" s="111">
        <v>0</v>
      </c>
      <c r="T168" s="110">
        <v>0</v>
      </c>
      <c r="U168" s="111">
        <v>0</v>
      </c>
      <c r="V168" s="110">
        <v>0</v>
      </c>
      <c r="W168" s="111">
        <v>0</v>
      </c>
      <c r="X168" s="110">
        <v>0</v>
      </c>
      <c r="Y168" s="111">
        <v>0</v>
      </c>
      <c r="Z168" s="110">
        <v>0</v>
      </c>
      <c r="AA168" s="111">
        <v>0</v>
      </c>
      <c r="AB168" s="110">
        <v>0</v>
      </c>
      <c r="AC168" s="111">
        <v>0</v>
      </c>
      <c r="AD168" s="110">
        <v>0</v>
      </c>
      <c r="AF168" s="64">
        <v>166</v>
      </c>
      <c r="AG168" s="109">
        <v>63812.856599999999</v>
      </c>
      <c r="AH168" s="111">
        <v>2136.6999999999998</v>
      </c>
      <c r="AI168" s="109">
        <v>464.5</v>
      </c>
      <c r="AJ168" s="59">
        <v>0.71699999999999997</v>
      </c>
      <c r="AK168" s="59">
        <v>0.92899999999999994</v>
      </c>
      <c r="AL168" s="59">
        <v>0.92900000000000005</v>
      </c>
      <c r="AM168" s="110">
        <v>255.17</v>
      </c>
      <c r="AN168" s="111">
        <v>2712.9587999999999</v>
      </c>
      <c r="AO168" s="59">
        <v>0.39499999999999996</v>
      </c>
      <c r="AP168" s="55">
        <v>0.23299999999999998</v>
      </c>
      <c r="AQ168" s="109">
        <v>35189.4</v>
      </c>
      <c r="AR168" s="111">
        <v>21385.724999999999</v>
      </c>
      <c r="AS168" s="59">
        <v>0.78900000000000003</v>
      </c>
      <c r="AT168" s="55">
        <v>0.91099999999999992</v>
      </c>
      <c r="AU168" s="43"/>
      <c r="AV168" s="109">
        <v>928.423</v>
      </c>
      <c r="AW168" s="110">
        <v>0.37700007309169764</v>
      </c>
      <c r="AX168" s="109">
        <v>1023.155</v>
      </c>
      <c r="AY168" s="110">
        <v>0.63668637212196633</v>
      </c>
      <c r="AZ168" s="109">
        <v>1121.4780000000001</v>
      </c>
      <c r="BA168" s="110">
        <v>0.5784392407674851</v>
      </c>
      <c r="BB168" s="43"/>
      <c r="BC168" s="112">
        <v>53641.616999999998</v>
      </c>
      <c r="BD168" s="110">
        <v>0.77049180327868849</v>
      </c>
      <c r="BE168" s="43"/>
      <c r="BF168" s="157">
        <v>27241.19</v>
      </c>
      <c r="BG168" s="43">
        <v>0</v>
      </c>
      <c r="BH168" s="113">
        <v>0</v>
      </c>
      <c r="BI168" s="114">
        <v>0.83561932515337423</v>
      </c>
      <c r="BJ168" s="115">
        <v>0</v>
      </c>
      <c r="BK168" s="113">
        <v>0</v>
      </c>
      <c r="BL168" s="113">
        <v>0</v>
      </c>
      <c r="BM168" s="113">
        <v>0</v>
      </c>
      <c r="BN168" s="113">
        <v>3574.53</v>
      </c>
      <c r="BO168" s="114">
        <v>0.26521219765543852</v>
      </c>
      <c r="BP168" s="115">
        <v>0</v>
      </c>
      <c r="BQ168" s="5">
        <v>7668</v>
      </c>
      <c r="BR168" s="5">
        <v>0</v>
      </c>
      <c r="BS168" s="43"/>
      <c r="BT168" s="116">
        <v>-700</v>
      </c>
      <c r="BU168" s="43">
        <v>0</v>
      </c>
      <c r="BV168" s="43">
        <v>4485</v>
      </c>
      <c r="BW168" s="43">
        <v>4485</v>
      </c>
      <c r="BX168" s="43">
        <v>0</v>
      </c>
      <c r="BY168" s="43">
        <v>0</v>
      </c>
      <c r="BZ168" s="43">
        <v>-5000</v>
      </c>
      <c r="CA168" s="43">
        <v>0</v>
      </c>
      <c r="CB168" s="43">
        <v>-5300</v>
      </c>
      <c r="CC168" s="43">
        <v>0</v>
      </c>
      <c r="CD168" s="43">
        <v>-4000</v>
      </c>
      <c r="CE168" s="43">
        <v>0</v>
      </c>
      <c r="CF168" s="43">
        <v>-4800</v>
      </c>
      <c r="CG168" s="43">
        <v>0</v>
      </c>
      <c r="CH168" s="43">
        <v>37664.787803940002</v>
      </c>
      <c r="CI168" s="43">
        <v>37664.787803940002</v>
      </c>
      <c r="CJ168" s="114">
        <v>42149.787803940002</v>
      </c>
      <c r="CK168" s="43"/>
      <c r="CL168" s="116">
        <v>-700</v>
      </c>
      <c r="CM168" s="43">
        <v>700</v>
      </c>
      <c r="CN168" s="43">
        <v>4485</v>
      </c>
      <c r="CO168" s="43">
        <v>0</v>
      </c>
      <c r="CP168" s="43">
        <v>0</v>
      </c>
      <c r="CQ168" s="43">
        <v>0</v>
      </c>
      <c r="CR168" s="43">
        <v>-5000</v>
      </c>
      <c r="CS168" s="43">
        <v>5000</v>
      </c>
      <c r="CT168" s="43">
        <v>-5300</v>
      </c>
      <c r="CU168" s="43">
        <v>5300</v>
      </c>
      <c r="CV168" s="43">
        <v>-4000</v>
      </c>
      <c r="CW168" s="43">
        <v>4000</v>
      </c>
      <c r="CX168" s="43">
        <v>-4800</v>
      </c>
      <c r="CY168" s="43">
        <v>4800</v>
      </c>
      <c r="CZ168" s="43">
        <v>37664.787803940002</v>
      </c>
      <c r="DA168" s="43">
        <v>0</v>
      </c>
      <c r="DB168" s="114">
        <v>19800</v>
      </c>
      <c r="DC168" s="43"/>
      <c r="DD168" s="117">
        <v>36905.480000000003</v>
      </c>
      <c r="DE168" s="55">
        <v>2320.0259999999998</v>
      </c>
      <c r="DF168" s="59">
        <v>1827.8689189644001</v>
      </c>
      <c r="DG168" s="59">
        <v>41053.3749189644</v>
      </c>
      <c r="DH168" s="117">
        <v>8756.384</v>
      </c>
      <c r="DI168" s="117">
        <v>55998.411</v>
      </c>
      <c r="DJ168" s="55">
        <v>8467</v>
      </c>
      <c r="DK168" s="114">
        <v>64465.411</v>
      </c>
      <c r="DL168" s="43"/>
      <c r="DM168" s="117">
        <v>703.02700000000004</v>
      </c>
      <c r="DN168" s="55">
        <v>10522.090845252949</v>
      </c>
      <c r="DO168" s="55">
        <v>11225.117845252949</v>
      </c>
      <c r="DP168" s="59">
        <v>1455.3989030504879</v>
      </c>
      <c r="DQ168" s="59">
        <v>2914.5855887225489</v>
      </c>
      <c r="DR168" s="59">
        <v>446.55003327999998</v>
      </c>
      <c r="DS168" s="55">
        <v>3361.1356220025491</v>
      </c>
      <c r="DT168" s="55">
        <v>161.92142159569721</v>
      </c>
      <c r="DU168" s="55">
        <v>161.92142159569721</v>
      </c>
      <c r="DW168" s="121">
        <v>0</v>
      </c>
      <c r="DX168" s="122">
        <v>6779.6610170000004</v>
      </c>
      <c r="DY168" s="128">
        <v>1447.7400829999999</v>
      </c>
      <c r="DZ168" s="128">
        <v>0</v>
      </c>
      <c r="EA168" s="121">
        <v>0</v>
      </c>
      <c r="EB168" s="122">
        <v>243.91357840000001</v>
      </c>
      <c r="EC168" s="121">
        <v>0</v>
      </c>
      <c r="ED168" s="122">
        <v>1271.1864410000001</v>
      </c>
      <c r="EE168" s="121">
        <v>0</v>
      </c>
      <c r="EF168" s="122">
        <v>847.5</v>
      </c>
      <c r="EG168" s="121">
        <v>0</v>
      </c>
      <c r="EH168" s="122">
        <v>7397.5988710000001</v>
      </c>
      <c r="EI168" s="121">
        <v>0</v>
      </c>
      <c r="EJ168" s="122">
        <v>6779.6610170000004</v>
      </c>
      <c r="EK168" s="129">
        <v>243.91357840000001</v>
      </c>
      <c r="EL168" s="130">
        <v>847.5</v>
      </c>
      <c r="EM168" s="131">
        <v>735.83500000000004</v>
      </c>
      <c r="EN168" s="129">
        <v>446.55003327999998</v>
      </c>
      <c r="EO168" s="129">
        <v>10964.025395000001</v>
      </c>
      <c r="EP168" s="129">
        <v>0</v>
      </c>
      <c r="ER168" s="157">
        <v>0</v>
      </c>
      <c r="ES168" s="37">
        <v>0</v>
      </c>
      <c r="ET168" s="55">
        <f t="shared" si="19"/>
        <v>0</v>
      </c>
      <c r="EU168" s="157">
        <v>0</v>
      </c>
      <c r="EV168" s="37">
        <v>0</v>
      </c>
      <c r="EW168" s="55">
        <f t="shared" si="26"/>
        <v>0</v>
      </c>
      <c r="EY168" s="166">
        <v>0</v>
      </c>
      <c r="EZ168" s="37">
        <v>0</v>
      </c>
      <c r="FA168" s="164">
        <f t="shared" si="20"/>
        <v>0</v>
      </c>
      <c r="FB168" s="5">
        <v>2460.2040297899998</v>
      </c>
      <c r="FC168" s="164">
        <f t="shared" si="21"/>
        <v>0.53331975499458051</v>
      </c>
      <c r="FE168" s="5"/>
      <c r="FF168" s="166">
        <v>2897.4</v>
      </c>
      <c r="FG168" s="37">
        <v>10423.35</v>
      </c>
      <c r="FH168" s="164">
        <f t="shared" si="22"/>
        <v>1</v>
      </c>
      <c r="FI168" s="5">
        <v>3837</v>
      </c>
      <c r="FJ168" s="164">
        <f t="shared" si="23"/>
        <v>1</v>
      </c>
      <c r="FL168" s="169">
        <v>7873</v>
      </c>
      <c r="FM168" s="170">
        <f t="shared" si="24"/>
        <v>0.68245451314546257</v>
      </c>
      <c r="FN168" s="169">
        <v>2591</v>
      </c>
      <c r="FO168" s="170">
        <f t="shared" si="25"/>
        <v>0.82634348588741824</v>
      </c>
    </row>
    <row r="169" spans="15:171" x14ac:dyDescent="0.35">
      <c r="P169" s="64">
        <v>167</v>
      </c>
      <c r="Q169" s="109">
        <v>0</v>
      </c>
      <c r="R169" s="110">
        <v>0</v>
      </c>
      <c r="S169" s="111">
        <v>0</v>
      </c>
      <c r="T169" s="110">
        <v>0</v>
      </c>
      <c r="U169" s="111">
        <v>0</v>
      </c>
      <c r="V169" s="110">
        <v>0</v>
      </c>
      <c r="W169" s="111">
        <v>0</v>
      </c>
      <c r="X169" s="110">
        <v>0</v>
      </c>
      <c r="Y169" s="111">
        <v>0</v>
      </c>
      <c r="Z169" s="110">
        <v>0</v>
      </c>
      <c r="AA169" s="111">
        <v>0</v>
      </c>
      <c r="AB169" s="110">
        <v>0</v>
      </c>
      <c r="AC169" s="111">
        <v>0</v>
      </c>
      <c r="AD169" s="110">
        <v>0</v>
      </c>
      <c r="AF169" s="64">
        <v>167</v>
      </c>
      <c r="AG169" s="109">
        <v>65325.853199999998</v>
      </c>
      <c r="AH169" s="111">
        <v>2141.3000000000002</v>
      </c>
      <c r="AI169" s="109">
        <v>465.5</v>
      </c>
      <c r="AJ169" s="59">
        <v>0.73399999999999999</v>
      </c>
      <c r="AK169" s="59">
        <v>0.93100000000000005</v>
      </c>
      <c r="AL169" s="59">
        <v>0.93100000000000005</v>
      </c>
      <c r="AM169" s="110">
        <v>289.40800000000002</v>
      </c>
      <c r="AN169" s="111">
        <v>3225.2772</v>
      </c>
      <c r="AO169" s="59">
        <v>0.44800000000000001</v>
      </c>
      <c r="AP169" s="55">
        <v>0.27699999999999997</v>
      </c>
      <c r="AQ169" s="109">
        <v>34788</v>
      </c>
      <c r="AR169" s="111">
        <v>20423.25</v>
      </c>
      <c r="AS169" s="59">
        <v>0.78</v>
      </c>
      <c r="AT169" s="55">
        <v>0.87</v>
      </c>
      <c r="AU169" s="43"/>
      <c r="AV169" s="109">
        <v>918.572</v>
      </c>
      <c r="AW169" s="110">
        <v>0.37299992690830241</v>
      </c>
      <c r="AX169" s="109">
        <v>1026.3009999999999</v>
      </c>
      <c r="AY169" s="110">
        <v>0.63864405724953321</v>
      </c>
      <c r="AZ169" s="109">
        <v>1121.4780000000001</v>
      </c>
      <c r="BA169" s="110">
        <v>0.5784392407674851</v>
      </c>
      <c r="BB169" s="43"/>
      <c r="BC169" s="112">
        <v>53641.616999999998</v>
      </c>
      <c r="BD169" s="110">
        <v>0.77049180327868849</v>
      </c>
      <c r="BE169" s="43"/>
      <c r="BF169" s="157">
        <v>27874.29</v>
      </c>
      <c r="BG169" s="43">
        <v>0</v>
      </c>
      <c r="BH169" s="113">
        <v>0</v>
      </c>
      <c r="BI169" s="114">
        <v>0.8550395705521473</v>
      </c>
      <c r="BJ169" s="115">
        <v>0</v>
      </c>
      <c r="BK169" s="113">
        <v>0</v>
      </c>
      <c r="BL169" s="113">
        <v>0</v>
      </c>
      <c r="BM169" s="113">
        <v>0</v>
      </c>
      <c r="BN169" s="113">
        <v>4051.326</v>
      </c>
      <c r="BO169" s="114">
        <v>0.3005880694465054</v>
      </c>
      <c r="BP169" s="115">
        <v>0</v>
      </c>
      <c r="BQ169" s="5">
        <v>7668</v>
      </c>
      <c r="BR169" s="5">
        <v>0</v>
      </c>
      <c r="BS169" s="43"/>
      <c r="BT169" s="116">
        <v>-700</v>
      </c>
      <c r="BU169" s="43">
        <v>0</v>
      </c>
      <c r="BV169" s="43">
        <v>4485</v>
      </c>
      <c r="BW169" s="43">
        <v>4485</v>
      </c>
      <c r="BX169" s="43">
        <v>0</v>
      </c>
      <c r="BY169" s="43">
        <v>0</v>
      </c>
      <c r="BZ169" s="43">
        <v>-5000</v>
      </c>
      <c r="CA169" s="43">
        <v>0</v>
      </c>
      <c r="CB169" s="43">
        <v>-5300</v>
      </c>
      <c r="CC169" s="43">
        <v>0</v>
      </c>
      <c r="CD169" s="43">
        <v>-4000</v>
      </c>
      <c r="CE169" s="43">
        <v>0</v>
      </c>
      <c r="CF169" s="43">
        <v>-4800</v>
      </c>
      <c r="CG169" s="43">
        <v>0</v>
      </c>
      <c r="CH169" s="43">
        <v>16650.940186889999</v>
      </c>
      <c r="CI169" s="43">
        <v>16650.940186889999</v>
      </c>
      <c r="CJ169" s="114">
        <v>21135.940186889999</v>
      </c>
      <c r="CK169" s="43"/>
      <c r="CL169" s="116">
        <v>-700</v>
      </c>
      <c r="CM169" s="43">
        <v>700</v>
      </c>
      <c r="CN169" s="43">
        <v>4485</v>
      </c>
      <c r="CO169" s="43">
        <v>0</v>
      </c>
      <c r="CP169" s="43">
        <v>0</v>
      </c>
      <c r="CQ169" s="43">
        <v>0</v>
      </c>
      <c r="CR169" s="43">
        <v>-5000</v>
      </c>
      <c r="CS169" s="43">
        <v>5000</v>
      </c>
      <c r="CT169" s="43">
        <v>-5300</v>
      </c>
      <c r="CU169" s="43">
        <v>5300</v>
      </c>
      <c r="CV169" s="43">
        <v>-4000</v>
      </c>
      <c r="CW169" s="43">
        <v>4000</v>
      </c>
      <c r="CX169" s="43">
        <v>-4800</v>
      </c>
      <c r="CY169" s="43">
        <v>4800</v>
      </c>
      <c r="CZ169" s="43">
        <v>16650.940186889999</v>
      </c>
      <c r="DA169" s="43">
        <v>0</v>
      </c>
      <c r="DB169" s="114">
        <v>19800</v>
      </c>
      <c r="DC169" s="43"/>
      <c r="DD169" s="117">
        <v>34947.680999999997</v>
      </c>
      <c r="DE169" s="55">
        <v>2296.6019999999999</v>
      </c>
      <c r="DF169" s="59">
        <v>1840.5668303376999</v>
      </c>
      <c r="DG169" s="59">
        <v>39084.849830337698</v>
      </c>
      <c r="DH169" s="117">
        <v>8761.81</v>
      </c>
      <c r="DI169" s="117">
        <v>62198.411</v>
      </c>
      <c r="DJ169" s="55">
        <v>8875</v>
      </c>
      <c r="DK169" s="114">
        <v>71073.410999999993</v>
      </c>
      <c r="DL169" s="43"/>
      <c r="DM169" s="117">
        <v>628.42600000000004</v>
      </c>
      <c r="DN169" s="55">
        <v>10490.3985776968</v>
      </c>
      <c r="DO169" s="55">
        <v>11118.8245776968</v>
      </c>
      <c r="DP169" s="59">
        <v>1455.3989030504879</v>
      </c>
      <c r="DQ169" s="59">
        <v>2897.8863782272761</v>
      </c>
      <c r="DR169" s="59">
        <v>463.24924377000002</v>
      </c>
      <c r="DS169" s="55">
        <v>3361.1356219972758</v>
      </c>
      <c r="DT169" s="55">
        <v>160.9936876792932</v>
      </c>
      <c r="DU169" s="55">
        <v>160.9936876792932</v>
      </c>
      <c r="DW169" s="121">
        <v>0</v>
      </c>
      <c r="DX169" s="122">
        <v>6779.6610170000004</v>
      </c>
      <c r="DY169" s="128">
        <v>1447.7400829999999</v>
      </c>
      <c r="DZ169" s="128">
        <v>0</v>
      </c>
      <c r="EA169" s="121">
        <v>0</v>
      </c>
      <c r="EB169" s="122">
        <v>244.84131231999999</v>
      </c>
      <c r="EC169" s="121">
        <v>0</v>
      </c>
      <c r="ED169" s="122">
        <v>1271.1864410000001</v>
      </c>
      <c r="EE169" s="121">
        <v>0</v>
      </c>
      <c r="EF169" s="122">
        <v>847.5</v>
      </c>
      <c r="EG169" s="121">
        <v>0</v>
      </c>
      <c r="EH169" s="122">
        <v>7397.5988710000001</v>
      </c>
      <c r="EI169" s="121">
        <v>0</v>
      </c>
      <c r="EJ169" s="122">
        <v>6779.6610170000004</v>
      </c>
      <c r="EK169" s="129">
        <v>244.84131231999999</v>
      </c>
      <c r="EL169" s="130">
        <v>847.5</v>
      </c>
      <c r="EM169" s="131">
        <v>735.83500000000004</v>
      </c>
      <c r="EN169" s="129">
        <v>463.24924377000002</v>
      </c>
      <c r="EO169" s="129">
        <v>10964.025395000001</v>
      </c>
      <c r="EP169" s="129">
        <v>0</v>
      </c>
      <c r="ER169" s="157">
        <v>0</v>
      </c>
      <c r="ES169" s="37">
        <v>0</v>
      </c>
      <c r="ET169" s="55">
        <f t="shared" si="19"/>
        <v>0</v>
      </c>
      <c r="EU169" s="157">
        <v>0</v>
      </c>
      <c r="EV169" s="37">
        <v>0</v>
      </c>
      <c r="EW169" s="55">
        <f t="shared" si="26"/>
        <v>0</v>
      </c>
      <c r="EY169" s="166">
        <v>9483.59832689</v>
      </c>
      <c r="EZ169" s="37">
        <v>0</v>
      </c>
      <c r="FA169" s="164">
        <f t="shared" si="20"/>
        <v>0.69711939644795129</v>
      </c>
      <c r="FB169" s="5">
        <v>4613</v>
      </c>
      <c r="FC169" s="164">
        <f t="shared" si="21"/>
        <v>1</v>
      </c>
      <c r="FE169" s="5"/>
      <c r="FF169" s="166">
        <v>2897.4</v>
      </c>
      <c r="FG169" s="37">
        <v>10423.35</v>
      </c>
      <c r="FH169" s="164">
        <f t="shared" si="22"/>
        <v>1</v>
      </c>
      <c r="FI169" s="5">
        <v>3837</v>
      </c>
      <c r="FJ169" s="164">
        <f t="shared" si="23"/>
        <v>1</v>
      </c>
      <c r="FL169" s="169">
        <v>7873</v>
      </c>
      <c r="FM169" s="170">
        <f t="shared" si="24"/>
        <v>0.68245451314546257</v>
      </c>
      <c r="FN169" s="169">
        <v>2591</v>
      </c>
      <c r="FO169" s="170">
        <f t="shared" si="25"/>
        <v>0.82634348588741824</v>
      </c>
    </row>
    <row r="170" spans="15:171" x14ac:dyDescent="0.35">
      <c r="P170" s="65">
        <v>168</v>
      </c>
      <c r="Q170" s="135">
        <v>0</v>
      </c>
      <c r="R170" s="110">
        <v>0</v>
      </c>
      <c r="S170" s="136">
        <v>0</v>
      </c>
      <c r="T170" s="110">
        <v>0</v>
      </c>
      <c r="U170" s="136">
        <v>0</v>
      </c>
      <c r="V170" s="110">
        <v>0</v>
      </c>
      <c r="W170" s="136">
        <v>0</v>
      </c>
      <c r="X170" s="137">
        <v>0</v>
      </c>
      <c r="Y170" s="136">
        <v>0</v>
      </c>
      <c r="Z170" s="137">
        <v>0</v>
      </c>
      <c r="AA170" s="136">
        <v>0</v>
      </c>
      <c r="AB170" s="137">
        <v>0</v>
      </c>
      <c r="AC170" s="136">
        <v>0</v>
      </c>
      <c r="AD170" s="110">
        <v>0</v>
      </c>
      <c r="AF170" s="65">
        <v>168</v>
      </c>
      <c r="AG170" s="135">
        <v>67016.849400000006</v>
      </c>
      <c r="AH170" s="136">
        <v>2159.6999999999998</v>
      </c>
      <c r="AI170" s="135">
        <v>469.5</v>
      </c>
      <c r="AJ170" s="138">
        <v>0.753</v>
      </c>
      <c r="AK170" s="138">
        <v>0.93899999999999995</v>
      </c>
      <c r="AL170" s="138">
        <v>0.93899999999999995</v>
      </c>
      <c r="AM170" s="137">
        <v>328.81400000000002</v>
      </c>
      <c r="AN170" s="136">
        <v>4063.6163999999999</v>
      </c>
      <c r="AO170" s="138">
        <v>0.50900000000000001</v>
      </c>
      <c r="AP170" s="139">
        <v>0.34899999999999998</v>
      </c>
      <c r="AQ170" s="135">
        <v>33673</v>
      </c>
      <c r="AR170" s="136">
        <v>18803.474999999999</v>
      </c>
      <c r="AS170" s="138">
        <v>0.755</v>
      </c>
      <c r="AT170" s="139">
        <v>0.80099999999999993</v>
      </c>
      <c r="AU170" s="43"/>
      <c r="AV170" s="135">
        <v>908.72199999999998</v>
      </c>
      <c r="AW170" s="137">
        <v>0.36900018678989388</v>
      </c>
      <c r="AX170" s="135">
        <v>1026.0419999999999</v>
      </c>
      <c r="AY170" s="137">
        <v>0.63848288736776593</v>
      </c>
      <c r="AZ170" s="135">
        <v>1121.4780000000001</v>
      </c>
      <c r="BA170" s="137">
        <v>0.5784392407674851</v>
      </c>
      <c r="BB170" s="43"/>
      <c r="BC170" s="140">
        <v>53641.616999999998</v>
      </c>
      <c r="BD170" s="137">
        <v>0.77049180327868849</v>
      </c>
      <c r="BE170" s="43"/>
      <c r="BF170" s="158">
        <v>28610.690999999999</v>
      </c>
      <c r="BG170" s="141">
        <v>0</v>
      </c>
      <c r="BH170" s="142">
        <v>0</v>
      </c>
      <c r="BI170" s="143">
        <v>0.87762855828220854</v>
      </c>
      <c r="BJ170" s="144">
        <v>0</v>
      </c>
      <c r="BK170" s="113">
        <v>0</v>
      </c>
      <c r="BL170" s="113">
        <v>0</v>
      </c>
      <c r="BM170" s="113">
        <v>0</v>
      </c>
      <c r="BN170" s="113">
        <v>4604.9589999999998</v>
      </c>
      <c r="BO170" s="143">
        <v>0.34166486125537915</v>
      </c>
      <c r="BP170" s="144">
        <v>0</v>
      </c>
      <c r="BQ170" s="5">
        <v>7668</v>
      </c>
      <c r="BR170" s="5">
        <v>0</v>
      </c>
      <c r="BS170" s="43"/>
      <c r="BT170" s="145">
        <v>-700</v>
      </c>
      <c r="BU170" s="141">
        <v>0</v>
      </c>
      <c r="BV170" s="141">
        <v>4485</v>
      </c>
      <c r="BW170" s="141">
        <v>4485</v>
      </c>
      <c r="BX170" s="141">
        <v>0</v>
      </c>
      <c r="BY170" s="141">
        <v>0</v>
      </c>
      <c r="BZ170" s="141">
        <v>-5000</v>
      </c>
      <c r="CA170" s="141">
        <v>0</v>
      </c>
      <c r="CB170" s="141">
        <v>-5300</v>
      </c>
      <c r="CC170" s="141">
        <v>0</v>
      </c>
      <c r="CD170" s="141">
        <v>-4000</v>
      </c>
      <c r="CE170" s="141">
        <v>0</v>
      </c>
      <c r="CF170" s="141">
        <v>-4800</v>
      </c>
      <c r="CG170" s="141">
        <v>0</v>
      </c>
      <c r="CH170" s="141">
        <v>14539.764416599999</v>
      </c>
      <c r="CI170" s="141">
        <v>14539.764416599999</v>
      </c>
      <c r="CJ170" s="143">
        <v>19024.764416599999</v>
      </c>
      <c r="CK170" s="43"/>
      <c r="CL170" s="145">
        <v>-700</v>
      </c>
      <c r="CM170" s="43">
        <v>700</v>
      </c>
      <c r="CN170" s="141">
        <v>4485</v>
      </c>
      <c r="CO170" s="43">
        <v>0</v>
      </c>
      <c r="CP170" s="141">
        <v>0</v>
      </c>
      <c r="CQ170" s="43">
        <v>0</v>
      </c>
      <c r="CR170" s="141">
        <v>-5000</v>
      </c>
      <c r="CS170" s="43">
        <v>5000</v>
      </c>
      <c r="CT170" s="141">
        <v>-5300</v>
      </c>
      <c r="CU170" s="43">
        <v>5300</v>
      </c>
      <c r="CV170" s="141">
        <v>-4000</v>
      </c>
      <c r="CW170" s="43">
        <v>4000</v>
      </c>
      <c r="CX170" s="141">
        <v>-4800</v>
      </c>
      <c r="CY170" s="43">
        <v>4800</v>
      </c>
      <c r="CZ170" s="141">
        <v>14539.764416599999</v>
      </c>
      <c r="DA170" s="43">
        <v>0</v>
      </c>
      <c r="DB170" s="143">
        <v>19800</v>
      </c>
      <c r="DC170" s="43"/>
      <c r="DD170" s="146">
        <v>32664.236000000001</v>
      </c>
      <c r="DE170" s="139">
        <v>2193.31</v>
      </c>
      <c r="DF170" s="138">
        <v>1545.0016245171</v>
      </c>
      <c r="DG170" s="138">
        <v>36402.547624517101</v>
      </c>
      <c r="DH170" s="146">
        <v>8468.3739999999998</v>
      </c>
      <c r="DI170" s="146">
        <v>59099.411</v>
      </c>
      <c r="DJ170" s="139">
        <v>9157</v>
      </c>
      <c r="DK170" s="143">
        <v>68256.410999999993</v>
      </c>
      <c r="DL170" s="43"/>
      <c r="DM170" s="146">
        <v>646.39300000000003</v>
      </c>
      <c r="DN170" s="139">
        <v>10490.3985776968</v>
      </c>
      <c r="DO170" s="139">
        <v>11136.7915776968</v>
      </c>
      <c r="DP170" s="138">
        <v>1455.3989030504879</v>
      </c>
      <c r="DQ170" s="138">
        <v>2897.8863782272761</v>
      </c>
      <c r="DR170" s="138">
        <v>463.24924377000002</v>
      </c>
      <c r="DS170" s="139">
        <v>3361.1356219972758</v>
      </c>
      <c r="DT170" s="55">
        <v>160.9936876792932</v>
      </c>
      <c r="DU170" s="139">
        <v>160.9936876792932</v>
      </c>
      <c r="DW170" s="147">
        <v>0</v>
      </c>
      <c r="DX170" s="148">
        <v>6779.6610170000004</v>
      </c>
      <c r="DY170" s="149">
        <v>1447.7400829999999</v>
      </c>
      <c r="DZ170" s="149">
        <v>0</v>
      </c>
      <c r="EA170" s="147">
        <v>0</v>
      </c>
      <c r="EB170" s="148">
        <v>244.84131231999999</v>
      </c>
      <c r="EC170" s="147">
        <v>0</v>
      </c>
      <c r="ED170" s="148">
        <v>1271.1864410000001</v>
      </c>
      <c r="EE170" s="147">
        <v>0</v>
      </c>
      <c r="EF170" s="148">
        <v>847.5</v>
      </c>
      <c r="EG170" s="147">
        <v>0</v>
      </c>
      <c r="EH170" s="148">
        <v>7397.5988710000001</v>
      </c>
      <c r="EI170" s="147">
        <v>0</v>
      </c>
      <c r="EJ170" s="148">
        <v>6779.6610170000004</v>
      </c>
      <c r="EK170" s="150">
        <v>244.84131231999999</v>
      </c>
      <c r="EL170" s="151">
        <v>847.5</v>
      </c>
      <c r="EM170" s="152">
        <v>735.83500000000004</v>
      </c>
      <c r="EN170" s="150">
        <v>463.24924377000002</v>
      </c>
      <c r="EO170" s="150">
        <v>10964.025395000001</v>
      </c>
      <c r="EP170" s="150">
        <v>0</v>
      </c>
      <c r="ER170" s="158">
        <v>0</v>
      </c>
      <c r="ES170" s="37">
        <v>0</v>
      </c>
      <c r="ET170" s="55">
        <f t="shared" si="19"/>
        <v>0</v>
      </c>
      <c r="EU170" s="157">
        <v>0</v>
      </c>
      <c r="EV170" s="37">
        <v>0</v>
      </c>
      <c r="EW170" s="55">
        <f t="shared" si="26"/>
        <v>0</v>
      </c>
      <c r="EY170" s="167">
        <v>0</v>
      </c>
      <c r="EZ170" s="168">
        <v>0</v>
      </c>
      <c r="FA170" s="165">
        <f t="shared" si="20"/>
        <v>0</v>
      </c>
      <c r="FB170" s="5">
        <v>1388.2723531900001</v>
      </c>
      <c r="FC170" s="164">
        <f t="shared" si="21"/>
        <v>0.30094783290483418</v>
      </c>
      <c r="FE170" s="5"/>
      <c r="FF170" s="167">
        <v>2897.4</v>
      </c>
      <c r="FG170" s="168">
        <v>10423.35</v>
      </c>
      <c r="FH170" s="165">
        <f t="shared" si="22"/>
        <v>1</v>
      </c>
      <c r="FI170" s="5">
        <v>0</v>
      </c>
      <c r="FJ170" s="164">
        <f t="shared" si="23"/>
        <v>0</v>
      </c>
      <c r="FL170" s="171">
        <v>7873</v>
      </c>
      <c r="FM170" s="172">
        <f t="shared" si="24"/>
        <v>0.68245451314546257</v>
      </c>
      <c r="FN170" s="171">
        <v>2591</v>
      </c>
      <c r="FO170" s="170">
        <f t="shared" si="25"/>
        <v>0.82634348588741824</v>
      </c>
    </row>
    <row r="171" spans="15:171" x14ac:dyDescent="0.35"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G171" s="63"/>
      <c r="AH171" s="63"/>
      <c r="AI171" s="63"/>
      <c r="AJ171" s="37"/>
      <c r="AK171" s="37"/>
      <c r="AL171" s="37"/>
      <c r="AM171" s="63"/>
      <c r="AN171" s="63"/>
      <c r="AO171" s="37"/>
      <c r="AP171" s="37"/>
      <c r="AQ171" s="63"/>
      <c r="AR171" s="63"/>
      <c r="AS171" s="37"/>
      <c r="AT171" s="37"/>
      <c r="AV171" s="37"/>
      <c r="AW171" s="37"/>
      <c r="AX171" s="37"/>
      <c r="AY171" s="37"/>
      <c r="AZ171" s="37"/>
      <c r="BA171" s="37"/>
      <c r="BB171" s="37"/>
      <c r="BC171" s="37"/>
      <c r="BD171" s="37"/>
      <c r="BE171" s="37"/>
      <c r="BF171" s="156"/>
      <c r="BH171" s="2"/>
      <c r="BK171" s="2"/>
      <c r="BL171" s="2"/>
      <c r="BM171" s="2"/>
      <c r="BN171" s="2"/>
      <c r="DD171" s="37"/>
      <c r="DE171" s="37"/>
      <c r="DF171" s="37"/>
      <c r="DG171" s="37"/>
      <c r="DH171" s="37"/>
      <c r="DI171" s="37"/>
      <c r="DJ171" s="37"/>
      <c r="DM171" s="37"/>
      <c r="DN171" s="37"/>
      <c r="DO171" s="37"/>
      <c r="DP171" s="37"/>
      <c r="DQ171" s="37"/>
      <c r="DR171" s="37"/>
      <c r="DS171" s="48"/>
      <c r="DT171" s="153"/>
      <c r="DU171" s="37"/>
      <c r="EL171" s="37"/>
      <c r="EM171" s="37"/>
      <c r="EN171" s="37"/>
      <c r="ER171" s="156"/>
      <c r="EU171" s="162"/>
      <c r="EV171" s="153"/>
      <c r="EW171" s="163"/>
      <c r="FB171" s="5"/>
      <c r="FI171" s="5"/>
      <c r="FJ171" s="164"/>
      <c r="FL171" s="2"/>
      <c r="FN171" s="2"/>
    </row>
    <row r="172" spans="15:171" x14ac:dyDescent="0.35">
      <c r="O172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/>
      <c r="AG172" s="63"/>
      <c r="AH172" s="63"/>
      <c r="AI172" s="63"/>
      <c r="AJ172" s="37"/>
      <c r="AK172" s="37"/>
      <c r="AL172" s="37"/>
      <c r="AM172" s="63"/>
      <c r="AN172" s="63"/>
      <c r="AO172" s="37"/>
      <c r="AP172" s="37"/>
      <c r="AQ172" s="63"/>
      <c r="AR172" s="63"/>
      <c r="AS172" s="37"/>
      <c r="AT172" s="37"/>
      <c r="AV172" s="37"/>
      <c r="AW172" s="37"/>
      <c r="AX172" s="37"/>
      <c r="AY172" s="37"/>
      <c r="AZ172" s="37"/>
      <c r="BA172" s="37"/>
      <c r="BB172" s="37"/>
      <c r="BC172" s="37"/>
      <c r="BD172" s="37"/>
      <c r="BE172" s="37"/>
      <c r="BF172" s="156"/>
      <c r="BH172" s="2"/>
      <c r="BK172" s="2"/>
      <c r="BL172" s="2"/>
      <c r="BM172" s="2"/>
      <c r="BN172" s="2"/>
      <c r="DD172" s="37"/>
      <c r="DE172" s="37"/>
      <c r="DF172" s="37"/>
      <c r="DG172" s="37"/>
      <c r="DH172" s="37"/>
      <c r="DI172" s="37"/>
      <c r="DJ172" s="37"/>
      <c r="DM172" s="37"/>
      <c r="DN172" s="37"/>
      <c r="DO172" s="48"/>
      <c r="DP172" s="37"/>
      <c r="DQ172" s="37"/>
      <c r="DR172" s="37"/>
      <c r="DS172" s="48"/>
      <c r="DT172" s="37"/>
      <c r="DU172" s="37"/>
      <c r="DV172" s="2"/>
      <c r="EL172" s="37"/>
      <c r="EM172" s="37"/>
      <c r="EN172" s="37"/>
      <c r="ER172" s="156"/>
      <c r="EU172" s="156"/>
      <c r="EW172" s="48"/>
      <c r="FB172" s="5"/>
      <c r="FI172" s="5"/>
      <c r="FJ172" s="164"/>
      <c r="FL172" s="2"/>
      <c r="FN172" s="2"/>
    </row>
    <row r="173" spans="15:171" x14ac:dyDescent="0.35">
      <c r="O17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/>
      <c r="AG173" s="63"/>
      <c r="AH173" s="63"/>
      <c r="AI173" s="63"/>
      <c r="AJ173" s="37"/>
      <c r="AK173" s="37"/>
      <c r="AL173" s="37"/>
      <c r="AM173" s="63"/>
      <c r="AN173" s="63"/>
      <c r="AO173" s="37"/>
      <c r="AP173" s="37"/>
      <c r="AQ173" s="63"/>
      <c r="AR173" s="63"/>
      <c r="AS173" s="37"/>
      <c r="AT173" s="37"/>
      <c r="AV173" s="37"/>
      <c r="AW173" s="37"/>
      <c r="AX173" s="37"/>
      <c r="AY173" s="37"/>
      <c r="AZ173" s="37"/>
      <c r="BA173" s="37"/>
      <c r="BD173" s="37"/>
      <c r="BF173" s="156"/>
      <c r="BH173" s="2"/>
      <c r="BK173" s="2"/>
      <c r="BL173" s="2"/>
      <c r="BM173" s="2"/>
      <c r="BN173" s="2"/>
      <c r="DD173" s="37"/>
      <c r="DE173" s="37"/>
      <c r="DF173" s="37"/>
      <c r="DG173" s="37"/>
      <c r="DH173" s="37"/>
      <c r="DI173" s="37"/>
      <c r="DJ173" s="37"/>
      <c r="DM173" s="37"/>
      <c r="DN173" s="37"/>
      <c r="DO173" s="48"/>
      <c r="DP173" s="37"/>
      <c r="DQ173" s="37"/>
      <c r="DR173" s="37"/>
      <c r="DS173" s="48"/>
      <c r="DT173" s="37"/>
      <c r="DU173" s="37"/>
      <c r="DV173" s="2"/>
      <c r="EL173" s="37"/>
      <c r="EM173" s="37"/>
      <c r="EN173" s="37"/>
      <c r="ER173" s="156"/>
      <c r="EU173" s="156"/>
      <c r="EW173" s="48"/>
      <c r="FB173" s="5"/>
      <c r="FI173" s="5"/>
      <c r="FJ173" s="164"/>
      <c r="FL173" s="2"/>
      <c r="FN173" s="2"/>
    </row>
    <row r="174" spans="15:171" x14ac:dyDescent="0.35">
      <c r="O174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/>
      <c r="AG174" s="63"/>
      <c r="AH174" s="63"/>
      <c r="AI174" s="63"/>
      <c r="AJ174" s="37"/>
      <c r="AK174" s="37"/>
      <c r="AL174" s="37"/>
      <c r="AM174" s="63"/>
      <c r="AN174" s="63"/>
      <c r="AO174" s="37"/>
      <c r="AP174" s="37"/>
      <c r="AQ174" s="63"/>
      <c r="AR174" s="63"/>
      <c r="AS174" s="37"/>
      <c r="AT174" s="37"/>
      <c r="AV174" s="37"/>
      <c r="AW174" s="37"/>
      <c r="AX174" s="37"/>
      <c r="AY174" s="37"/>
      <c r="AZ174" s="37"/>
      <c r="BA174" s="37"/>
      <c r="BD174" s="37"/>
      <c r="BF174" s="156"/>
      <c r="BH174" s="2"/>
      <c r="BK174" s="2"/>
      <c r="BL174" s="2"/>
      <c r="BM174" s="2"/>
      <c r="BN174" s="2"/>
      <c r="DD174" s="37"/>
      <c r="DE174" s="37"/>
      <c r="DF174" s="37"/>
      <c r="DG174" s="37"/>
      <c r="DH174" s="37"/>
      <c r="DI174" s="37"/>
      <c r="DJ174" s="37"/>
      <c r="DM174" s="37"/>
      <c r="DN174" s="37"/>
      <c r="DO174" s="48"/>
      <c r="DP174" s="37"/>
      <c r="DQ174" s="37"/>
      <c r="DR174" s="37"/>
      <c r="DS174" s="48"/>
      <c r="DT174" s="37"/>
      <c r="DU174" s="37"/>
      <c r="DV174" s="2"/>
      <c r="EL174" s="37"/>
      <c r="EM174" s="37"/>
      <c r="EN174" s="37"/>
      <c r="ER174" s="156"/>
      <c r="EU174" s="156"/>
      <c r="EW174" s="48"/>
      <c r="FB174" s="5"/>
      <c r="FI174" s="5"/>
      <c r="FJ174" s="164"/>
      <c r="FL174" s="2"/>
      <c r="FN174" s="2"/>
    </row>
    <row r="175" spans="15:171" x14ac:dyDescent="0.35">
      <c r="EW175" s="48"/>
      <c r="FB175" s="5"/>
      <c r="FI175" s="5"/>
      <c r="FJ175" s="164"/>
      <c r="FL175" s="2"/>
      <c r="FN175" s="2"/>
    </row>
    <row r="176" spans="15:171" x14ac:dyDescent="0.35">
      <c r="EW176" s="48"/>
      <c r="FB176" s="5"/>
      <c r="FI176" s="5"/>
      <c r="FJ176" s="164"/>
      <c r="FL176" s="2"/>
      <c r="FN176" s="2"/>
    </row>
    <row r="177" spans="153:170" x14ac:dyDescent="0.35">
      <c r="EW177" s="48"/>
      <c r="FB177" s="5"/>
      <c r="FI177" s="5"/>
      <c r="FJ177" s="164"/>
      <c r="FL177" s="2"/>
      <c r="FN177" s="2"/>
    </row>
    <row r="178" spans="153:170" x14ac:dyDescent="0.35">
      <c r="EW178" s="48"/>
      <c r="FB178" s="5"/>
      <c r="FI178" s="5"/>
      <c r="FJ178" s="164"/>
      <c r="FL178" s="2"/>
      <c r="FN178" s="2"/>
    </row>
    <row r="179" spans="153:170" x14ac:dyDescent="0.35">
      <c r="EW179" s="48"/>
      <c r="FB179" s="5"/>
      <c r="FI179" s="5"/>
      <c r="FJ179" s="164"/>
      <c r="FL179" s="2"/>
      <c r="FN179" s="2"/>
    </row>
    <row r="180" spans="153:170" x14ac:dyDescent="0.35">
      <c r="EW180" s="48"/>
      <c r="FB180" s="5"/>
      <c r="FI180" s="5"/>
      <c r="FJ180" s="164"/>
      <c r="FL180" s="2"/>
      <c r="FN180" s="2"/>
    </row>
    <row r="181" spans="153:170" x14ac:dyDescent="0.35">
      <c r="EW181" s="48"/>
      <c r="FB181" s="5"/>
      <c r="FI181" s="5"/>
      <c r="FJ181" s="164"/>
      <c r="FL181" s="2"/>
      <c r="FN181" s="2"/>
    </row>
    <row r="182" spans="153:170" x14ac:dyDescent="0.35">
      <c r="EW182" s="48"/>
      <c r="FB182" s="5"/>
      <c r="FI182" s="5"/>
      <c r="FJ182" s="164"/>
      <c r="FL182" s="2"/>
      <c r="FN182" s="2"/>
    </row>
    <row r="183" spans="153:170" x14ac:dyDescent="0.35">
      <c r="EW183" s="48"/>
      <c r="FB183" s="5"/>
      <c r="FI183" s="5"/>
      <c r="FJ183" s="164"/>
      <c r="FL183" s="2"/>
      <c r="FN183" s="2"/>
    </row>
    <row r="184" spans="153:170" x14ac:dyDescent="0.35">
      <c r="EW184" s="48"/>
      <c r="FB184" s="5"/>
      <c r="FI184" s="5"/>
      <c r="FJ184" s="164"/>
      <c r="FL184" s="2"/>
      <c r="FN184" s="2"/>
    </row>
    <row r="185" spans="153:170" x14ac:dyDescent="0.35">
      <c r="EW185" s="48"/>
      <c r="FB185" s="5"/>
      <c r="FI185" s="5"/>
      <c r="FJ185" s="164"/>
      <c r="FL185" s="2"/>
      <c r="FN185" s="2"/>
    </row>
    <row r="186" spans="153:170" x14ac:dyDescent="0.35">
      <c r="EW186" s="48"/>
      <c r="FB186" s="5"/>
      <c r="FI186" s="5"/>
      <c r="FJ186" s="164"/>
      <c r="FL186" s="2"/>
      <c r="FN186" s="2"/>
    </row>
    <row r="187" spans="153:170" x14ac:dyDescent="0.35">
      <c r="EW187" s="48"/>
      <c r="FB187" s="5"/>
      <c r="FI187" s="5"/>
      <c r="FJ187" s="164"/>
      <c r="FL187" s="2"/>
      <c r="FN187" s="2"/>
    </row>
    <row r="188" spans="153:170" x14ac:dyDescent="0.35">
      <c r="EW188" s="48"/>
      <c r="FB188" s="5"/>
      <c r="FI188" s="5"/>
      <c r="FJ188" s="164"/>
      <c r="FL188" s="2"/>
      <c r="FN188" s="2"/>
    </row>
    <row r="189" spans="153:170" x14ac:dyDescent="0.35">
      <c r="EW189" s="48"/>
      <c r="FB189" s="5"/>
      <c r="FI189" s="5"/>
      <c r="FJ189" s="164"/>
      <c r="FL189" s="2"/>
      <c r="FN189" s="2"/>
    </row>
    <row r="190" spans="153:170" x14ac:dyDescent="0.35">
      <c r="EW190" s="48"/>
      <c r="FB190" s="5"/>
      <c r="FI190" s="5"/>
      <c r="FJ190" s="164"/>
      <c r="FL190" s="2"/>
      <c r="FN190" s="2"/>
    </row>
    <row r="191" spans="153:170" x14ac:dyDescent="0.35">
      <c r="EW191" s="48"/>
      <c r="FB191" s="5"/>
      <c r="FI191" s="5"/>
      <c r="FJ191" s="164"/>
      <c r="FL191" s="2"/>
      <c r="FN191" s="2"/>
    </row>
    <row r="192" spans="153:170" x14ac:dyDescent="0.35">
      <c r="EW192" s="48"/>
      <c r="FB192" s="5"/>
      <c r="FI192" s="5"/>
      <c r="FJ192" s="164"/>
      <c r="FL192" s="2"/>
      <c r="FN192" s="2"/>
    </row>
    <row r="193" spans="153:170" x14ac:dyDescent="0.35">
      <c r="EW193" s="48"/>
      <c r="FB193" s="5"/>
      <c r="FI193" s="5"/>
      <c r="FJ193" s="164"/>
      <c r="FL193" s="2"/>
      <c r="FN193" s="2"/>
    </row>
    <row r="194" spans="153:170" x14ac:dyDescent="0.35">
      <c r="EW194" s="48"/>
      <c r="FB194" s="5"/>
      <c r="FI194" s="5"/>
      <c r="FJ194" s="164"/>
      <c r="FL194" s="2"/>
      <c r="FN194" s="2"/>
    </row>
    <row r="195" spans="153:170" x14ac:dyDescent="0.35">
      <c r="EW195" s="48"/>
      <c r="FB195" s="5"/>
      <c r="FI195" s="5"/>
      <c r="FJ195" s="164"/>
      <c r="FL195" s="2"/>
      <c r="FN195" s="2"/>
    </row>
    <row r="196" spans="153:170" x14ac:dyDescent="0.35">
      <c r="EW196" s="48"/>
      <c r="FB196" s="5"/>
      <c r="FI196" s="5"/>
      <c r="FJ196" s="164"/>
      <c r="FL196" s="2"/>
      <c r="FN196" s="2"/>
    </row>
    <row r="197" spans="153:170" x14ac:dyDescent="0.35">
      <c r="EW197" s="48"/>
      <c r="FB197" s="5"/>
      <c r="FI197" s="5"/>
      <c r="FJ197" s="164"/>
      <c r="FL197" s="2"/>
      <c r="FN197" s="2"/>
    </row>
    <row r="198" spans="153:170" x14ac:dyDescent="0.35">
      <c r="EW198" s="48"/>
      <c r="FB198" s="5"/>
      <c r="FI198" s="5"/>
      <c r="FJ198" s="164"/>
      <c r="FL198" s="2"/>
      <c r="FN198" s="2"/>
    </row>
    <row r="199" spans="153:170" x14ac:dyDescent="0.35">
      <c r="EW199" s="48"/>
      <c r="FB199" s="5"/>
      <c r="FI199" s="5"/>
      <c r="FJ199" s="164"/>
      <c r="FL199" s="2"/>
      <c r="FN199" s="2"/>
    </row>
    <row r="200" spans="153:170" x14ac:dyDescent="0.35">
      <c r="EW200" s="48"/>
      <c r="FB200" s="5"/>
      <c r="FI200" s="5"/>
      <c r="FJ200" s="164"/>
      <c r="FL200" s="2"/>
      <c r="FN200" s="2"/>
    </row>
    <row r="201" spans="153:170" x14ac:dyDescent="0.35">
      <c r="EW201" s="48"/>
      <c r="FB201" s="5"/>
      <c r="FI201" s="5"/>
      <c r="FJ201" s="164"/>
      <c r="FL201" s="2"/>
      <c r="FN201" s="2"/>
    </row>
    <row r="202" spans="153:170" x14ac:dyDescent="0.35">
      <c r="EW202" s="48"/>
      <c r="FB202" s="5"/>
      <c r="FI202" s="5"/>
      <c r="FJ202" s="164"/>
      <c r="FL202" s="2"/>
      <c r="FN202" s="2"/>
    </row>
    <row r="203" spans="153:170" x14ac:dyDescent="0.35">
      <c r="EW203" s="48"/>
      <c r="FB203" s="5"/>
      <c r="FI203" s="5"/>
      <c r="FJ203" s="164"/>
      <c r="FL203" s="2"/>
      <c r="FN203" s="2"/>
    </row>
    <row r="204" spans="153:170" x14ac:dyDescent="0.35">
      <c r="EW204" s="48"/>
      <c r="FB204" s="5"/>
      <c r="FI204" s="5"/>
      <c r="FJ204" s="164"/>
      <c r="FL204" s="2"/>
      <c r="FN204" s="2"/>
    </row>
    <row r="205" spans="153:170" x14ac:dyDescent="0.35">
      <c r="EW205" s="48"/>
      <c r="FB205" s="5"/>
      <c r="FI205" s="5"/>
      <c r="FJ205" s="164"/>
      <c r="FL205" s="2"/>
      <c r="FN205" s="2"/>
    </row>
    <row r="206" spans="153:170" x14ac:dyDescent="0.35">
      <c r="EW206" s="48"/>
      <c r="FB206" s="5"/>
      <c r="FI206" s="5"/>
      <c r="FJ206" s="164"/>
      <c r="FL206" s="2"/>
      <c r="FN206" s="2"/>
    </row>
    <row r="207" spans="153:170" x14ac:dyDescent="0.35">
      <c r="EW207" s="48"/>
      <c r="FB207" s="5"/>
      <c r="FI207" s="5"/>
      <c r="FJ207" s="164"/>
      <c r="FL207" s="2"/>
      <c r="FN207" s="2"/>
    </row>
    <row r="208" spans="153:170" x14ac:dyDescent="0.35">
      <c r="EW208" s="48"/>
      <c r="FB208" s="5"/>
      <c r="FI208" s="5"/>
      <c r="FJ208" s="164"/>
      <c r="FL208" s="2"/>
      <c r="FN208" s="2"/>
    </row>
    <row r="209" spans="153:170" x14ac:dyDescent="0.35">
      <c r="EW209" s="48"/>
      <c r="FB209" s="5"/>
      <c r="FI209" s="5"/>
      <c r="FJ209" s="164"/>
      <c r="FL209" s="2"/>
      <c r="FN209" s="2"/>
    </row>
    <row r="210" spans="153:170" x14ac:dyDescent="0.35">
      <c r="EW210" s="48"/>
      <c r="FB210" s="5"/>
      <c r="FI210" s="5"/>
      <c r="FJ210" s="164"/>
      <c r="FL210" s="2"/>
      <c r="FN210" s="2"/>
    </row>
    <row r="211" spans="153:170" x14ac:dyDescent="0.35">
      <c r="EW211" s="48"/>
      <c r="FB211" s="5"/>
      <c r="FI211" s="5"/>
      <c r="FJ211" s="164"/>
      <c r="FL211" s="2"/>
      <c r="FN211" s="2"/>
    </row>
    <row r="212" spans="153:170" x14ac:dyDescent="0.35">
      <c r="EW212" s="48"/>
      <c r="FB212" s="5"/>
      <c r="FI212" s="5"/>
      <c r="FJ212" s="164"/>
      <c r="FL212" s="2"/>
      <c r="FN212" s="2"/>
    </row>
    <row r="213" spans="153:170" x14ac:dyDescent="0.35">
      <c r="EW213" s="48"/>
      <c r="FB213" s="5"/>
      <c r="FI213" s="5"/>
      <c r="FJ213" s="164"/>
      <c r="FL213" s="2"/>
      <c r="FN213" s="2"/>
    </row>
    <row r="214" spans="153:170" x14ac:dyDescent="0.35">
      <c r="EW214" s="48"/>
      <c r="FB214" s="5"/>
      <c r="FI214" s="5"/>
      <c r="FJ214" s="164"/>
      <c r="FL214" s="2"/>
      <c r="FN214" s="2"/>
    </row>
    <row r="215" spans="153:170" x14ac:dyDescent="0.35">
      <c r="EW215" s="48"/>
      <c r="FB215" s="5"/>
      <c r="FI215" s="5"/>
      <c r="FJ215" s="164"/>
      <c r="FL215" s="2"/>
      <c r="FN215" s="2"/>
    </row>
    <row r="216" spans="153:170" x14ac:dyDescent="0.35">
      <c r="EW216" s="48"/>
      <c r="FB216" s="5"/>
      <c r="FI216" s="5"/>
      <c r="FJ216" s="164"/>
      <c r="FL216" s="2"/>
      <c r="FN216" s="2"/>
    </row>
    <row r="217" spans="153:170" x14ac:dyDescent="0.35">
      <c r="EW217" s="48"/>
      <c r="FB217" s="5"/>
      <c r="FI217" s="5"/>
      <c r="FJ217" s="164"/>
      <c r="FL217" s="2"/>
      <c r="FN217" s="2"/>
    </row>
    <row r="218" spans="153:170" x14ac:dyDescent="0.35">
      <c r="EW218" s="48"/>
      <c r="FB218" s="5"/>
      <c r="FI218" s="5"/>
      <c r="FJ218" s="164"/>
      <c r="FL218" s="2"/>
      <c r="FN218" s="2"/>
    </row>
    <row r="219" spans="153:170" x14ac:dyDescent="0.35">
      <c r="EW219" s="48"/>
      <c r="FB219" s="5"/>
      <c r="FI219" s="5"/>
      <c r="FJ219" s="164"/>
      <c r="FL219" s="2"/>
      <c r="FN219" s="2"/>
    </row>
    <row r="220" spans="153:170" x14ac:dyDescent="0.35">
      <c r="EW220" s="48"/>
      <c r="FB220" s="5"/>
      <c r="FI220" s="5"/>
      <c r="FJ220" s="164"/>
      <c r="FL220" s="2"/>
      <c r="FN220" s="2"/>
    </row>
    <row r="221" spans="153:170" x14ac:dyDescent="0.35">
      <c r="EW221" s="48"/>
      <c r="FB221" s="5"/>
      <c r="FI221" s="5"/>
      <c r="FJ221" s="164"/>
      <c r="FL221" s="2"/>
      <c r="FN221" s="2"/>
    </row>
    <row r="222" spans="153:170" x14ac:dyDescent="0.35">
      <c r="EW222" s="48"/>
      <c r="FB222" s="5"/>
      <c r="FI222" s="5"/>
      <c r="FJ222" s="164"/>
      <c r="FL222" s="2"/>
      <c r="FN222" s="2"/>
    </row>
    <row r="223" spans="153:170" x14ac:dyDescent="0.35">
      <c r="EW223" s="48"/>
      <c r="FB223" s="5"/>
      <c r="FI223" s="5"/>
      <c r="FJ223" s="164"/>
      <c r="FL223" s="2"/>
      <c r="FN223" s="2"/>
    </row>
    <row r="224" spans="153:170" x14ac:dyDescent="0.35">
      <c r="EW224" s="48"/>
      <c r="FB224" s="5"/>
      <c r="FI224" s="5"/>
      <c r="FJ224" s="164"/>
      <c r="FL224" s="2"/>
      <c r="FN224" s="2"/>
    </row>
    <row r="225" spans="153:170" x14ac:dyDescent="0.35">
      <c r="EW225" s="48"/>
      <c r="FB225" s="5"/>
      <c r="FI225" s="5"/>
      <c r="FJ225" s="164"/>
      <c r="FL225" s="2"/>
      <c r="FN225" s="2"/>
    </row>
    <row r="226" spans="153:170" x14ac:dyDescent="0.35">
      <c r="EW226" s="48"/>
      <c r="FB226" s="5"/>
      <c r="FI226" s="5"/>
      <c r="FJ226" s="164"/>
      <c r="FL226" s="2"/>
      <c r="FN226" s="2"/>
    </row>
    <row r="227" spans="153:170" x14ac:dyDescent="0.35">
      <c r="EW227" s="48"/>
      <c r="FB227" s="5"/>
      <c r="FI227" s="5"/>
      <c r="FJ227" s="164"/>
      <c r="FL227" s="2"/>
      <c r="FN227" s="2"/>
    </row>
    <row r="228" spans="153:170" x14ac:dyDescent="0.35">
      <c r="EW228" s="48"/>
      <c r="FB228" s="5"/>
      <c r="FI228" s="5"/>
      <c r="FJ228" s="164"/>
      <c r="FL228" s="2"/>
      <c r="FN228" s="2"/>
    </row>
    <row r="229" spans="153:170" x14ac:dyDescent="0.35">
      <c r="EW229" s="48"/>
      <c r="FB229" s="5"/>
      <c r="FI229" s="5"/>
      <c r="FJ229" s="164"/>
      <c r="FL229" s="2"/>
      <c r="FN229" s="2"/>
    </row>
    <row r="230" spans="153:170" x14ac:dyDescent="0.35">
      <c r="EW230" s="48"/>
      <c r="FB230" s="5"/>
      <c r="FI230" s="5"/>
      <c r="FJ230" s="164"/>
      <c r="FL230" s="2"/>
      <c r="FN230" s="2"/>
    </row>
    <row r="231" spans="153:170" x14ac:dyDescent="0.35">
      <c r="EW231" s="48"/>
      <c r="FB231" s="5"/>
      <c r="FI231" s="5"/>
      <c r="FJ231" s="164"/>
      <c r="FL231" s="2"/>
      <c r="FN231" s="2"/>
    </row>
    <row r="232" spans="153:170" x14ac:dyDescent="0.35">
      <c r="EW232" s="48"/>
      <c r="FB232" s="5"/>
      <c r="FI232" s="5"/>
      <c r="FJ232" s="164"/>
      <c r="FL232" s="2"/>
      <c r="FN232" s="2"/>
    </row>
    <row r="233" spans="153:170" x14ac:dyDescent="0.35">
      <c r="EW233" s="48"/>
      <c r="FB233" s="5"/>
      <c r="FI233" s="5"/>
      <c r="FJ233" s="164"/>
      <c r="FL233" s="2"/>
      <c r="FN233" s="2"/>
    </row>
    <row r="234" spans="153:170" x14ac:dyDescent="0.35">
      <c r="EW234" s="48"/>
      <c r="FB234" s="5"/>
      <c r="FI234" s="5"/>
      <c r="FJ234" s="164"/>
      <c r="FL234" s="2"/>
      <c r="FN234" s="2"/>
    </row>
    <row r="235" spans="153:170" x14ac:dyDescent="0.35">
      <c r="EW235" s="48"/>
      <c r="FB235" s="5"/>
      <c r="FI235" s="5"/>
      <c r="FJ235" s="164"/>
      <c r="FL235" s="2"/>
      <c r="FN235" s="2"/>
    </row>
    <row r="236" spans="153:170" x14ac:dyDescent="0.35">
      <c r="EW236" s="48"/>
      <c r="FB236" s="5"/>
      <c r="FI236" s="5"/>
      <c r="FJ236" s="164"/>
      <c r="FL236" s="2"/>
      <c r="FN236" s="2"/>
    </row>
    <row r="237" spans="153:170" x14ac:dyDescent="0.35">
      <c r="EW237" s="48"/>
      <c r="FB237" s="5"/>
      <c r="FI237" s="5"/>
      <c r="FJ237" s="164"/>
      <c r="FL237" s="2"/>
      <c r="FN237" s="2"/>
    </row>
    <row r="238" spans="153:170" x14ac:dyDescent="0.35">
      <c r="EW238" s="48"/>
      <c r="FB238" s="5"/>
      <c r="FI238" s="5"/>
      <c r="FJ238" s="164"/>
      <c r="FL238" s="2"/>
      <c r="FN238" s="2"/>
    </row>
    <row r="239" spans="153:170" x14ac:dyDescent="0.35">
      <c r="EW239" s="48"/>
      <c r="FB239" s="5"/>
      <c r="FI239" s="5"/>
      <c r="FJ239" s="164"/>
      <c r="FL239" s="2"/>
      <c r="FN239" s="2"/>
    </row>
    <row r="240" spans="153:170" x14ac:dyDescent="0.35">
      <c r="EW240" s="48"/>
      <c r="FB240" s="5"/>
      <c r="FI240" s="5"/>
      <c r="FJ240" s="164"/>
      <c r="FL240" s="2"/>
      <c r="FN240" s="2"/>
    </row>
    <row r="241" spans="153:170" x14ac:dyDescent="0.35">
      <c r="EW241" s="48"/>
      <c r="FB241" s="5"/>
      <c r="FI241" s="5"/>
      <c r="FJ241" s="164"/>
      <c r="FL241" s="2"/>
      <c r="FN241" s="2"/>
    </row>
    <row r="242" spans="153:170" x14ac:dyDescent="0.35">
      <c r="EW242" s="48"/>
      <c r="FB242" s="5"/>
      <c r="FI242" s="5"/>
      <c r="FJ242" s="164"/>
      <c r="FL242" s="2"/>
      <c r="FN242" s="2"/>
    </row>
    <row r="243" spans="153:170" x14ac:dyDescent="0.35">
      <c r="EW243" s="48"/>
      <c r="FB243" s="5"/>
      <c r="FI243" s="5"/>
      <c r="FJ243" s="164"/>
      <c r="FL243" s="2"/>
      <c r="FN243" s="2"/>
    </row>
    <row r="244" spans="153:170" x14ac:dyDescent="0.35">
      <c r="EW244" s="48"/>
      <c r="FB244" s="5"/>
      <c r="FI244" s="5"/>
      <c r="FJ244" s="164"/>
      <c r="FL244" s="2"/>
      <c r="FN244" s="2"/>
    </row>
    <row r="245" spans="153:170" x14ac:dyDescent="0.35">
      <c r="EW245" s="48"/>
      <c r="FB245" s="5"/>
      <c r="FI245" s="5"/>
      <c r="FJ245" s="164"/>
      <c r="FL245" s="2"/>
      <c r="FN245" s="2"/>
    </row>
    <row r="246" spans="153:170" x14ac:dyDescent="0.35">
      <c r="EW246" s="48"/>
      <c r="FB246" s="5"/>
      <c r="FI246" s="5"/>
      <c r="FJ246" s="164"/>
      <c r="FL246" s="2"/>
      <c r="FN246" s="2"/>
    </row>
    <row r="247" spans="153:170" x14ac:dyDescent="0.35">
      <c r="EW247" s="48"/>
      <c r="FB247" s="5"/>
      <c r="FI247" s="5"/>
      <c r="FJ247" s="164"/>
      <c r="FL247" s="2"/>
      <c r="FN247" s="2"/>
    </row>
    <row r="248" spans="153:170" x14ac:dyDescent="0.35">
      <c r="EW248" s="48"/>
      <c r="FB248" s="5"/>
      <c r="FI248" s="5"/>
      <c r="FJ248" s="164"/>
      <c r="FL248" s="2"/>
      <c r="FN248" s="2"/>
    </row>
    <row r="249" spans="153:170" x14ac:dyDescent="0.35">
      <c r="EW249" s="48"/>
      <c r="FB249" s="5"/>
      <c r="FI249" s="5"/>
      <c r="FJ249" s="164"/>
      <c r="FL249" s="2"/>
      <c r="FN249" s="2"/>
    </row>
    <row r="250" spans="153:170" x14ac:dyDescent="0.35">
      <c r="EW250" s="48"/>
      <c r="FB250" s="5"/>
      <c r="FI250" s="5"/>
      <c r="FJ250" s="164"/>
      <c r="FL250" s="2"/>
      <c r="FN250" s="2"/>
    </row>
    <row r="251" spans="153:170" x14ac:dyDescent="0.35">
      <c r="EW251" s="48"/>
      <c r="FB251" s="5"/>
      <c r="FI251" s="5"/>
      <c r="FJ251" s="164"/>
      <c r="FL251" s="2"/>
      <c r="FN251" s="2"/>
    </row>
    <row r="252" spans="153:170" x14ac:dyDescent="0.35">
      <c r="EW252" s="48"/>
      <c r="FB252" s="5"/>
      <c r="FI252" s="5"/>
      <c r="FJ252" s="164"/>
      <c r="FL252" s="2"/>
      <c r="FN252" s="2"/>
    </row>
    <row r="253" spans="153:170" x14ac:dyDescent="0.35">
      <c r="EW253" s="48"/>
      <c r="FB253" s="5"/>
      <c r="FI253" s="5"/>
      <c r="FJ253" s="164"/>
      <c r="FL253" s="2"/>
      <c r="FN253" s="2"/>
    </row>
    <row r="254" spans="153:170" x14ac:dyDescent="0.35">
      <c r="EW254" s="48"/>
      <c r="FB254" s="5"/>
      <c r="FI254" s="5"/>
      <c r="FJ254" s="164"/>
      <c r="FL254" s="2"/>
      <c r="FN254" s="2"/>
    </row>
    <row r="255" spans="153:170" x14ac:dyDescent="0.35">
      <c r="EW255" s="48"/>
      <c r="FB255" s="5"/>
      <c r="FI255" s="5"/>
      <c r="FJ255" s="164"/>
      <c r="FL255" s="2"/>
      <c r="FN255" s="2"/>
    </row>
    <row r="256" spans="153:170" x14ac:dyDescent="0.35">
      <c r="EW256" s="48"/>
      <c r="FB256" s="5"/>
      <c r="FI256" s="5"/>
      <c r="FJ256" s="164"/>
      <c r="FL256" s="2"/>
      <c r="FN256" s="2"/>
    </row>
    <row r="257" spans="153:170" x14ac:dyDescent="0.35">
      <c r="EW257" s="48"/>
      <c r="FB257" s="5"/>
      <c r="FI257" s="5"/>
      <c r="FJ257" s="164"/>
      <c r="FL257" s="2"/>
      <c r="FN257" s="2"/>
    </row>
    <row r="258" spans="153:170" x14ac:dyDescent="0.35">
      <c r="EW258" s="48"/>
      <c r="FB258" s="5"/>
      <c r="FI258" s="5"/>
      <c r="FJ258" s="164"/>
      <c r="FL258" s="2"/>
      <c r="FN258" s="2"/>
    </row>
    <row r="259" spans="153:170" x14ac:dyDescent="0.35">
      <c r="EW259" s="48"/>
      <c r="FB259" s="5"/>
      <c r="FI259" s="5"/>
      <c r="FJ259" s="164"/>
      <c r="FL259" s="2"/>
      <c r="FN259" s="2"/>
    </row>
    <row r="260" spans="153:170" x14ac:dyDescent="0.35">
      <c r="EW260" s="48"/>
      <c r="FB260" s="5"/>
      <c r="FI260" s="5"/>
      <c r="FJ260" s="164"/>
      <c r="FL260" s="2"/>
      <c r="FN260" s="2"/>
    </row>
    <row r="261" spans="153:170" x14ac:dyDescent="0.35">
      <c r="EW261" s="48"/>
      <c r="FB261" s="5"/>
      <c r="FI261" s="5"/>
      <c r="FJ261" s="164"/>
      <c r="FL261" s="2"/>
      <c r="FN261" s="2"/>
    </row>
    <row r="262" spans="153:170" x14ac:dyDescent="0.35">
      <c r="EW262" s="48"/>
      <c r="FB262" s="5"/>
      <c r="FI262" s="5"/>
      <c r="FJ262" s="164"/>
      <c r="FL262" s="2"/>
      <c r="FN262" s="2"/>
    </row>
    <row r="263" spans="153:170" x14ac:dyDescent="0.35">
      <c r="EW263" s="48"/>
      <c r="FB263" s="5"/>
      <c r="FI263" s="5"/>
      <c r="FJ263" s="164"/>
      <c r="FL263" s="2"/>
      <c r="FN263" s="2"/>
    </row>
    <row r="264" spans="153:170" x14ac:dyDescent="0.35">
      <c r="EW264" s="48"/>
      <c r="FB264" s="5"/>
      <c r="FI264" s="5"/>
      <c r="FJ264" s="164"/>
      <c r="FL264" s="2"/>
      <c r="FN264" s="2"/>
    </row>
    <row r="265" spans="153:170" x14ac:dyDescent="0.35">
      <c r="EW265" s="48"/>
      <c r="FB265" s="5"/>
      <c r="FI265" s="5"/>
      <c r="FJ265" s="164"/>
      <c r="FL265" s="2"/>
      <c r="FN265" s="2"/>
    </row>
    <row r="266" spans="153:170" x14ac:dyDescent="0.35">
      <c r="EW266" s="48"/>
      <c r="FB266" s="5"/>
      <c r="FI266" s="5"/>
      <c r="FJ266" s="164"/>
      <c r="FL266" s="2"/>
      <c r="FN266" s="2"/>
    </row>
    <row r="267" spans="153:170" x14ac:dyDescent="0.35">
      <c r="EW267" s="48"/>
      <c r="FB267" s="5"/>
      <c r="FI267" s="5"/>
      <c r="FJ267" s="164"/>
      <c r="FL267" s="2"/>
      <c r="FN267" s="2"/>
    </row>
    <row r="268" spans="153:170" x14ac:dyDescent="0.35">
      <c r="EW268" s="48"/>
      <c r="FB268" s="5"/>
      <c r="FI268" s="5"/>
      <c r="FJ268" s="164"/>
      <c r="FL268" s="2"/>
      <c r="FN268" s="2"/>
    </row>
    <row r="269" spans="153:170" x14ac:dyDescent="0.35">
      <c r="EW269" s="48"/>
      <c r="FB269" s="5"/>
      <c r="FI269" s="5"/>
      <c r="FJ269" s="164"/>
      <c r="FL269" s="2"/>
      <c r="FN269" s="2"/>
    </row>
    <row r="270" spans="153:170" x14ac:dyDescent="0.35">
      <c r="EW270" s="48"/>
      <c r="FB270" s="5"/>
      <c r="FI270" s="5"/>
      <c r="FJ270" s="164"/>
      <c r="FL270" s="2"/>
      <c r="FN270" s="2"/>
    </row>
    <row r="271" spans="153:170" x14ac:dyDescent="0.35">
      <c r="EW271" s="48"/>
      <c r="FB271" s="5"/>
      <c r="FI271" s="5"/>
      <c r="FJ271" s="164"/>
      <c r="FL271" s="2"/>
      <c r="FN271" s="2"/>
    </row>
    <row r="272" spans="153:170" x14ac:dyDescent="0.35">
      <c r="EW272" s="48"/>
      <c r="FB272" s="5"/>
      <c r="FI272" s="5"/>
      <c r="FJ272" s="164"/>
      <c r="FL272" s="2"/>
      <c r="FN272" s="2"/>
    </row>
    <row r="273" spans="153:170" x14ac:dyDescent="0.35">
      <c r="EW273" s="48"/>
      <c r="FB273" s="5"/>
      <c r="FI273" s="5"/>
      <c r="FJ273" s="164"/>
      <c r="FL273" s="2"/>
      <c r="FN273" s="2"/>
    </row>
    <row r="274" spans="153:170" x14ac:dyDescent="0.35">
      <c r="EW274" s="48"/>
      <c r="FB274" s="5"/>
      <c r="FI274" s="5"/>
      <c r="FJ274" s="164"/>
      <c r="FL274" s="2"/>
      <c r="FN274" s="2"/>
    </row>
    <row r="275" spans="153:170" x14ac:dyDescent="0.35">
      <c r="EW275" s="48"/>
      <c r="FB275" s="5"/>
      <c r="FI275" s="5"/>
      <c r="FJ275" s="164"/>
      <c r="FL275" s="2"/>
      <c r="FN275" s="2"/>
    </row>
    <row r="276" spans="153:170" x14ac:dyDescent="0.35">
      <c r="EW276" s="48"/>
      <c r="FB276" s="5"/>
      <c r="FI276" s="5"/>
      <c r="FJ276" s="164"/>
      <c r="FL276" s="2"/>
      <c r="FN276" s="2"/>
    </row>
    <row r="277" spans="153:170" x14ac:dyDescent="0.35">
      <c r="EW277" s="48"/>
      <c r="FB277" s="5"/>
      <c r="FI277" s="5"/>
      <c r="FJ277" s="164"/>
      <c r="FL277" s="2"/>
      <c r="FN277" s="2"/>
    </row>
    <row r="278" spans="153:170" x14ac:dyDescent="0.35">
      <c r="EW278" s="48"/>
      <c r="FB278" s="5"/>
      <c r="FI278" s="5"/>
      <c r="FJ278" s="164"/>
      <c r="FL278" s="2"/>
      <c r="FN278" s="2"/>
    </row>
    <row r="279" spans="153:170" x14ac:dyDescent="0.35">
      <c r="EW279" s="48"/>
      <c r="FB279" s="5"/>
      <c r="FI279" s="5"/>
      <c r="FJ279" s="164"/>
      <c r="FL279" s="2"/>
      <c r="FN279" s="2"/>
    </row>
    <row r="280" spans="153:170" x14ac:dyDescent="0.35">
      <c r="EW280" s="48"/>
      <c r="FB280" s="5"/>
      <c r="FI280" s="5"/>
      <c r="FJ280" s="164"/>
      <c r="FL280" s="2"/>
      <c r="FN280" s="2"/>
    </row>
    <row r="281" spans="153:170" x14ac:dyDescent="0.35">
      <c r="EW281" s="48"/>
      <c r="FB281" s="5"/>
      <c r="FI281" s="5"/>
      <c r="FJ281" s="164"/>
      <c r="FL281" s="2"/>
      <c r="FN281" s="2"/>
    </row>
    <row r="282" spans="153:170" x14ac:dyDescent="0.35">
      <c r="EW282" s="48"/>
      <c r="FB282" s="5"/>
      <c r="FI282" s="5"/>
      <c r="FJ282" s="164"/>
      <c r="FL282" s="2"/>
      <c r="FN282" s="2"/>
    </row>
    <row r="283" spans="153:170" x14ac:dyDescent="0.35">
      <c r="EW283" s="48"/>
      <c r="FB283" s="5"/>
      <c r="FI283" s="5"/>
      <c r="FJ283" s="164"/>
      <c r="FL283" s="2"/>
      <c r="FN283" s="2"/>
    </row>
    <row r="284" spans="153:170" x14ac:dyDescent="0.35">
      <c r="EW284" s="48"/>
      <c r="FB284" s="5"/>
      <c r="FI284" s="5"/>
      <c r="FJ284" s="164"/>
      <c r="FL284" s="2"/>
      <c r="FN284" s="2"/>
    </row>
    <row r="285" spans="153:170" x14ac:dyDescent="0.35">
      <c r="EW285" s="48"/>
      <c r="FB285" s="5"/>
      <c r="FI285" s="5"/>
      <c r="FJ285" s="164"/>
      <c r="FL285" s="2"/>
      <c r="FN285" s="2"/>
    </row>
    <row r="286" spans="153:170" x14ac:dyDescent="0.35">
      <c r="EW286" s="48"/>
      <c r="FB286" s="5"/>
      <c r="FI286" s="5"/>
      <c r="FJ286" s="164"/>
      <c r="FL286" s="2"/>
      <c r="FN286" s="2"/>
    </row>
    <row r="287" spans="153:170" x14ac:dyDescent="0.35">
      <c r="EW287" s="48"/>
      <c r="FB287" s="5"/>
      <c r="FI287" s="5"/>
      <c r="FJ287" s="164"/>
      <c r="FL287" s="2"/>
      <c r="FN287" s="2"/>
    </row>
    <row r="288" spans="153:170" x14ac:dyDescent="0.35">
      <c r="EW288" s="48"/>
      <c r="FB288" s="5"/>
      <c r="FI288" s="5"/>
      <c r="FJ288" s="164"/>
      <c r="FL288" s="2"/>
      <c r="FN288" s="2"/>
    </row>
    <row r="289" spans="153:170" x14ac:dyDescent="0.35">
      <c r="EW289" s="48"/>
      <c r="FB289" s="5"/>
      <c r="FI289" s="5"/>
      <c r="FJ289" s="164"/>
      <c r="FL289" s="2"/>
      <c r="FN289" s="2"/>
    </row>
    <row r="290" spans="153:170" x14ac:dyDescent="0.35">
      <c r="EW290" s="48"/>
      <c r="FB290" s="5"/>
      <c r="FI290" s="5"/>
      <c r="FJ290" s="164"/>
      <c r="FL290" s="2"/>
      <c r="FN290" s="2"/>
    </row>
    <row r="291" spans="153:170" x14ac:dyDescent="0.35">
      <c r="EW291" s="48"/>
      <c r="FB291" s="5"/>
      <c r="FI291" s="5"/>
      <c r="FJ291" s="164"/>
      <c r="FL291" s="2"/>
      <c r="FN291" s="2"/>
    </row>
    <row r="292" spans="153:170" x14ac:dyDescent="0.35">
      <c r="EW292" s="48"/>
      <c r="FB292" s="5"/>
      <c r="FI292" s="5"/>
      <c r="FJ292" s="164"/>
      <c r="FL292" s="2"/>
      <c r="FN292" s="2"/>
    </row>
    <row r="293" spans="153:170" x14ac:dyDescent="0.35">
      <c r="EW293" s="48"/>
      <c r="FB293" s="5"/>
      <c r="FI293" s="5"/>
      <c r="FJ293" s="164"/>
      <c r="FL293" s="2"/>
      <c r="FN293" s="2"/>
    </row>
    <row r="294" spans="153:170" x14ac:dyDescent="0.35">
      <c r="EW294" s="48"/>
      <c r="FB294" s="5"/>
      <c r="FI294" s="5"/>
      <c r="FJ294" s="164"/>
      <c r="FL294" s="2"/>
      <c r="FN294" s="2"/>
    </row>
    <row r="295" spans="153:170" x14ac:dyDescent="0.35">
      <c r="EW295" s="48"/>
      <c r="FB295" s="5"/>
      <c r="FI295" s="5"/>
      <c r="FJ295" s="164"/>
      <c r="FL295" s="2"/>
      <c r="FN295" s="2"/>
    </row>
    <row r="296" spans="153:170" x14ac:dyDescent="0.35">
      <c r="EW296" s="48"/>
      <c r="FB296" s="5"/>
      <c r="FI296" s="5"/>
      <c r="FJ296" s="164"/>
      <c r="FL296" s="2"/>
      <c r="FN296" s="2"/>
    </row>
    <row r="297" spans="153:170" x14ac:dyDescent="0.35">
      <c r="EW297" s="48"/>
      <c r="FB297" s="5"/>
      <c r="FI297" s="5"/>
      <c r="FJ297" s="164"/>
      <c r="FL297" s="2"/>
      <c r="FN297" s="2"/>
    </row>
    <row r="298" spans="153:170" x14ac:dyDescent="0.35">
      <c r="EW298" s="48"/>
      <c r="FB298" s="5"/>
      <c r="FI298" s="5"/>
      <c r="FJ298" s="164"/>
      <c r="FL298" s="2"/>
      <c r="FN298" s="2"/>
    </row>
    <row r="299" spans="153:170" x14ac:dyDescent="0.35">
      <c r="EW299" s="48"/>
      <c r="FB299" s="5"/>
      <c r="FI299" s="5"/>
      <c r="FJ299" s="164"/>
      <c r="FL299" s="2"/>
      <c r="FN299" s="2"/>
    </row>
    <row r="300" spans="153:170" x14ac:dyDescent="0.35">
      <c r="EW300" s="48"/>
      <c r="FB300" s="5"/>
      <c r="FI300" s="5"/>
      <c r="FJ300" s="164"/>
      <c r="FL300" s="2"/>
      <c r="FN300" s="2"/>
    </row>
    <row r="301" spans="153:170" x14ac:dyDescent="0.35">
      <c r="EW301" s="48"/>
      <c r="FB301" s="5"/>
      <c r="FI301" s="5"/>
      <c r="FJ301" s="164"/>
      <c r="FL301" s="2"/>
      <c r="FN301" s="2"/>
    </row>
    <row r="302" spans="153:170" x14ac:dyDescent="0.35">
      <c r="EW302" s="48"/>
      <c r="FB302" s="5"/>
      <c r="FI302" s="5"/>
      <c r="FJ302" s="164"/>
      <c r="FL302" s="2"/>
      <c r="FN302" s="2"/>
    </row>
    <row r="303" spans="153:170" x14ac:dyDescent="0.35">
      <c r="EW303" s="48"/>
      <c r="FB303" s="5"/>
      <c r="FI303" s="5"/>
      <c r="FJ303" s="164"/>
      <c r="FL303" s="2"/>
      <c r="FN303" s="2"/>
    </row>
    <row r="304" spans="153:170" x14ac:dyDescent="0.35">
      <c r="EW304" s="48"/>
      <c r="FB304" s="5"/>
      <c r="FI304" s="5"/>
      <c r="FJ304" s="164"/>
      <c r="FL304" s="2"/>
      <c r="FN304" s="2"/>
    </row>
    <row r="305" spans="153:170" x14ac:dyDescent="0.35">
      <c r="EW305" s="48"/>
      <c r="FB305" s="5"/>
      <c r="FI305" s="5"/>
      <c r="FJ305" s="164"/>
      <c r="FL305" s="2"/>
      <c r="FN305" s="2"/>
    </row>
    <row r="306" spans="153:170" x14ac:dyDescent="0.35">
      <c r="EW306" s="48"/>
      <c r="FB306" s="5"/>
      <c r="FI306" s="5"/>
      <c r="FJ306" s="164"/>
      <c r="FL306" s="2"/>
      <c r="FN306" s="2"/>
    </row>
    <row r="307" spans="153:170" x14ac:dyDescent="0.35">
      <c r="EW307" s="48"/>
      <c r="FB307" s="5"/>
      <c r="FI307" s="5"/>
      <c r="FJ307" s="164"/>
      <c r="FL307" s="2"/>
      <c r="FN307" s="2"/>
    </row>
    <row r="308" spans="153:170" x14ac:dyDescent="0.35">
      <c r="EW308" s="48"/>
      <c r="FB308" s="5"/>
      <c r="FI308" s="5"/>
      <c r="FJ308" s="164"/>
      <c r="FL308" s="2"/>
      <c r="FN308" s="2"/>
    </row>
    <row r="309" spans="153:170" x14ac:dyDescent="0.35">
      <c r="EW309" s="48"/>
      <c r="FB309" s="5"/>
      <c r="FI309" s="5"/>
      <c r="FJ309" s="164"/>
      <c r="FL309" s="2"/>
      <c r="FN309" s="2"/>
    </row>
    <row r="310" spans="153:170" x14ac:dyDescent="0.35">
      <c r="EW310" s="48"/>
      <c r="FB310" s="5"/>
      <c r="FI310" s="5"/>
      <c r="FJ310" s="164"/>
      <c r="FL310" s="2"/>
      <c r="FN310" s="2"/>
    </row>
    <row r="311" spans="153:170" x14ac:dyDescent="0.35">
      <c r="EW311" s="48"/>
      <c r="FB311" s="5"/>
      <c r="FI311" s="5"/>
      <c r="FJ311" s="164"/>
      <c r="FL311" s="2"/>
      <c r="FN311" s="2"/>
    </row>
    <row r="312" spans="153:170" x14ac:dyDescent="0.35">
      <c r="EW312" s="48"/>
      <c r="FB312" s="5"/>
      <c r="FI312" s="5"/>
      <c r="FJ312" s="164"/>
      <c r="FL312" s="2"/>
      <c r="FN312" s="2"/>
    </row>
    <row r="313" spans="153:170" x14ac:dyDescent="0.35">
      <c r="EW313" s="48"/>
      <c r="FB313" s="5"/>
      <c r="FI313" s="5"/>
      <c r="FJ313" s="164"/>
      <c r="FL313" s="2"/>
      <c r="FN313" s="2"/>
    </row>
    <row r="314" spans="153:170" x14ac:dyDescent="0.35">
      <c r="EW314" s="48"/>
      <c r="FB314" s="5"/>
      <c r="FI314" s="5"/>
      <c r="FJ314" s="164"/>
      <c r="FL314" s="2"/>
      <c r="FN314" s="2"/>
    </row>
    <row r="315" spans="153:170" x14ac:dyDescent="0.35">
      <c r="EW315" s="48"/>
      <c r="FB315" s="5"/>
      <c r="FI315" s="5"/>
      <c r="FJ315" s="164"/>
      <c r="FL315" s="2"/>
      <c r="FN315" s="2"/>
    </row>
    <row r="316" spans="153:170" x14ac:dyDescent="0.35">
      <c r="EW316" s="48"/>
      <c r="FB316" s="5"/>
      <c r="FI316" s="5"/>
      <c r="FJ316" s="164"/>
      <c r="FL316" s="2"/>
      <c r="FN316" s="2"/>
    </row>
    <row r="317" spans="153:170" x14ac:dyDescent="0.35">
      <c r="EW317" s="48"/>
      <c r="FB317" s="5"/>
      <c r="FI317" s="5"/>
      <c r="FJ317" s="164"/>
      <c r="FL317" s="2"/>
      <c r="FN317" s="2"/>
    </row>
    <row r="318" spans="153:170" x14ac:dyDescent="0.35">
      <c r="EW318" s="48"/>
      <c r="FB318" s="5"/>
      <c r="FI318" s="5"/>
      <c r="FJ318" s="164"/>
      <c r="FL318" s="2"/>
      <c r="FN318" s="2"/>
    </row>
    <row r="319" spans="153:170" x14ac:dyDescent="0.35">
      <c r="EW319" s="48"/>
      <c r="FB319" s="5"/>
      <c r="FI319" s="5"/>
      <c r="FJ319" s="164"/>
      <c r="FL319" s="2"/>
      <c r="FN319" s="2"/>
    </row>
    <row r="320" spans="153:170" x14ac:dyDescent="0.35">
      <c r="EW320" s="48"/>
      <c r="FB320" s="5"/>
      <c r="FI320" s="5"/>
      <c r="FJ320" s="164"/>
      <c r="FL320" s="2"/>
      <c r="FN320" s="2"/>
    </row>
    <row r="321" spans="153:170" x14ac:dyDescent="0.35">
      <c r="EW321" s="48"/>
      <c r="FB321" s="5"/>
      <c r="FI321" s="5"/>
      <c r="FJ321" s="164"/>
      <c r="FL321" s="2"/>
      <c r="FN321" s="2"/>
    </row>
    <row r="322" spans="153:170" x14ac:dyDescent="0.35">
      <c r="EW322" s="48"/>
      <c r="FB322" s="5"/>
      <c r="FI322" s="5"/>
      <c r="FJ322" s="164"/>
      <c r="FL322" s="2"/>
      <c r="FN322" s="2"/>
    </row>
    <row r="323" spans="153:170" x14ac:dyDescent="0.35">
      <c r="EW323" s="48"/>
      <c r="FB323" s="5"/>
      <c r="FI323" s="5"/>
      <c r="FJ323" s="164"/>
      <c r="FL323" s="2"/>
      <c r="FN323" s="2"/>
    </row>
    <row r="324" spans="153:170" x14ac:dyDescent="0.35">
      <c r="EW324" s="48"/>
      <c r="FB324" s="5"/>
      <c r="FI324" s="5"/>
      <c r="FJ324" s="164"/>
      <c r="FL324" s="2"/>
      <c r="FN324" s="2"/>
    </row>
    <row r="325" spans="153:170" x14ac:dyDescent="0.35">
      <c r="EW325" s="48"/>
      <c r="FB325" s="5"/>
      <c r="FI325" s="5"/>
      <c r="FJ325" s="164"/>
      <c r="FL325" s="2"/>
      <c r="FN325" s="2"/>
    </row>
    <row r="326" spans="153:170" x14ac:dyDescent="0.35">
      <c r="EW326" s="48"/>
      <c r="FB326" s="5"/>
      <c r="FI326" s="5"/>
      <c r="FJ326" s="164"/>
      <c r="FL326" s="2"/>
      <c r="FN326" s="2"/>
    </row>
    <row r="327" spans="153:170" x14ac:dyDescent="0.35">
      <c r="EW327" s="48"/>
      <c r="FB327" s="5"/>
      <c r="FI327" s="5"/>
      <c r="FJ327" s="164"/>
      <c r="FL327" s="2"/>
      <c r="FN327" s="2"/>
    </row>
    <row r="328" spans="153:170" x14ac:dyDescent="0.35">
      <c r="EW328" s="48"/>
      <c r="FB328" s="5"/>
      <c r="FI328" s="5"/>
      <c r="FJ328" s="164"/>
      <c r="FL328" s="2"/>
      <c r="FN328" s="2"/>
    </row>
    <row r="329" spans="153:170" x14ac:dyDescent="0.35">
      <c r="EW329" s="48"/>
      <c r="FB329" s="5"/>
      <c r="FI329" s="5"/>
      <c r="FJ329" s="164"/>
      <c r="FL329" s="2"/>
      <c r="FN329" s="2"/>
    </row>
    <row r="330" spans="153:170" x14ac:dyDescent="0.35">
      <c r="EW330" s="48"/>
      <c r="FB330" s="5"/>
      <c r="FI330" s="5"/>
      <c r="FJ330" s="164"/>
      <c r="FL330" s="2"/>
      <c r="FN330" s="2"/>
    </row>
    <row r="331" spans="153:170" x14ac:dyDescent="0.35">
      <c r="EW331" s="48"/>
      <c r="FB331" s="5"/>
      <c r="FI331" s="5"/>
      <c r="FJ331" s="164"/>
      <c r="FL331" s="2"/>
      <c r="FN331" s="2"/>
    </row>
    <row r="332" spans="153:170" x14ac:dyDescent="0.35">
      <c r="EW332" s="48"/>
      <c r="FB332" s="5"/>
      <c r="FI332" s="5"/>
      <c r="FJ332" s="164"/>
      <c r="FL332" s="2"/>
      <c r="FN332" s="2"/>
    </row>
    <row r="333" spans="153:170" x14ac:dyDescent="0.35">
      <c r="EW333" s="48"/>
      <c r="FB333" s="5"/>
      <c r="FI333" s="5"/>
      <c r="FJ333" s="164"/>
      <c r="FL333" s="2"/>
      <c r="FN333" s="2"/>
    </row>
    <row r="334" spans="153:170" x14ac:dyDescent="0.35">
      <c r="EW334" s="48"/>
      <c r="FB334" s="5"/>
      <c r="FI334" s="5"/>
      <c r="FJ334" s="164"/>
      <c r="FL334" s="2"/>
      <c r="FN334" s="2"/>
    </row>
    <row r="335" spans="153:170" x14ac:dyDescent="0.35">
      <c r="EW335" s="48"/>
      <c r="FB335" s="5"/>
      <c r="FI335" s="5"/>
      <c r="FJ335" s="164"/>
      <c r="FL335" s="2"/>
      <c r="FN335" s="2"/>
    </row>
    <row r="336" spans="153:170" x14ac:dyDescent="0.35">
      <c r="EW336" s="48"/>
      <c r="FB336" s="5"/>
      <c r="FI336" s="5"/>
      <c r="FJ336" s="164"/>
      <c r="FL336" s="2"/>
      <c r="FN336" s="2"/>
    </row>
    <row r="337" spans="153:170" x14ac:dyDescent="0.35">
      <c r="EW337" s="48"/>
      <c r="FB337" s="5"/>
      <c r="FI337" s="5"/>
      <c r="FJ337" s="164"/>
      <c r="FL337" s="2"/>
      <c r="FN337" s="2"/>
    </row>
    <row r="338" spans="153:170" x14ac:dyDescent="0.35">
      <c r="EW338" s="48"/>
      <c r="FB338" s="5"/>
      <c r="FI338" s="5"/>
      <c r="FJ338" s="164"/>
      <c r="FL338" s="2"/>
      <c r="FN338" s="2"/>
    </row>
    <row r="339" spans="153:170" x14ac:dyDescent="0.35">
      <c r="EW339" s="48"/>
      <c r="FB339" s="5"/>
      <c r="FI339" s="5"/>
      <c r="FJ339" s="164"/>
      <c r="FL339" s="2"/>
      <c r="FN339" s="2"/>
    </row>
    <row r="340" spans="153:170" x14ac:dyDescent="0.35">
      <c r="EW340" s="48"/>
      <c r="FB340" s="5"/>
      <c r="FI340" s="5"/>
      <c r="FJ340" s="164"/>
      <c r="FL340" s="2"/>
      <c r="FN340" s="2"/>
    </row>
    <row r="341" spans="153:170" x14ac:dyDescent="0.35">
      <c r="EW341" s="48"/>
      <c r="FB341" s="5"/>
      <c r="FI341" s="5"/>
      <c r="FJ341" s="164"/>
      <c r="FL341" s="2"/>
      <c r="FN341" s="2"/>
    </row>
    <row r="342" spans="153:170" x14ac:dyDescent="0.35">
      <c r="EW342" s="48"/>
      <c r="FB342" s="5"/>
      <c r="FI342" s="5"/>
      <c r="FJ342" s="164"/>
      <c r="FL342" s="2"/>
      <c r="FN342" s="2"/>
    </row>
    <row r="343" spans="153:170" x14ac:dyDescent="0.35">
      <c r="EW343" s="48"/>
      <c r="FB343" s="5"/>
      <c r="FI343" s="5"/>
      <c r="FJ343" s="164"/>
      <c r="FL343" s="2"/>
      <c r="FN343" s="2"/>
    </row>
    <row r="344" spans="153:170" x14ac:dyDescent="0.35">
      <c r="EW344" s="48"/>
      <c r="FB344" s="5"/>
      <c r="FI344" s="5"/>
      <c r="FJ344" s="164"/>
      <c r="FL344" s="2"/>
      <c r="FN344" s="2"/>
    </row>
    <row r="345" spans="153:170" x14ac:dyDescent="0.35">
      <c r="EW345" s="48"/>
      <c r="FB345" s="5"/>
      <c r="FI345" s="5"/>
      <c r="FJ345" s="164"/>
      <c r="FL345" s="2"/>
      <c r="FN345" s="2"/>
    </row>
    <row r="346" spans="153:170" x14ac:dyDescent="0.35">
      <c r="EW346" s="48"/>
      <c r="FB346" s="5"/>
      <c r="FI346" s="5"/>
      <c r="FJ346" s="164"/>
      <c r="FL346" s="2"/>
      <c r="FN346" s="2"/>
    </row>
    <row r="347" spans="153:170" x14ac:dyDescent="0.35">
      <c r="EW347" s="48"/>
      <c r="FB347" s="5"/>
      <c r="FI347" s="5"/>
      <c r="FJ347" s="164"/>
      <c r="FL347" s="2"/>
      <c r="FN347" s="2"/>
    </row>
    <row r="348" spans="153:170" x14ac:dyDescent="0.35">
      <c r="EW348" s="48"/>
      <c r="FB348" s="5"/>
      <c r="FI348" s="5"/>
      <c r="FJ348" s="164"/>
      <c r="FL348" s="2"/>
      <c r="FN348" s="2"/>
    </row>
    <row r="349" spans="153:170" x14ac:dyDescent="0.35">
      <c r="EW349" s="48"/>
      <c r="FB349" s="5"/>
      <c r="FI349" s="5"/>
      <c r="FJ349" s="164"/>
      <c r="FL349" s="2"/>
      <c r="FN349" s="2"/>
    </row>
    <row r="350" spans="153:170" x14ac:dyDescent="0.35">
      <c r="EW350" s="48"/>
      <c r="FB350" s="5"/>
      <c r="FI350" s="5"/>
      <c r="FJ350" s="164"/>
      <c r="FL350" s="2"/>
      <c r="FN350" s="2"/>
    </row>
    <row r="351" spans="153:170" x14ac:dyDescent="0.35">
      <c r="EW351" s="48"/>
      <c r="FB351" s="5"/>
      <c r="FI351" s="5"/>
      <c r="FJ351" s="164"/>
      <c r="FL351" s="2"/>
      <c r="FN351" s="2"/>
    </row>
    <row r="352" spans="153:170" x14ac:dyDescent="0.35">
      <c r="EW352" s="48"/>
      <c r="FB352" s="5"/>
      <c r="FI352" s="5"/>
      <c r="FJ352" s="164"/>
      <c r="FL352" s="2"/>
      <c r="FN352" s="2"/>
    </row>
    <row r="353" spans="153:170" x14ac:dyDescent="0.35">
      <c r="EW353" s="48"/>
      <c r="FB353" s="5"/>
      <c r="FI353" s="5"/>
      <c r="FJ353" s="164"/>
      <c r="FL353" s="2"/>
      <c r="FN353" s="2"/>
    </row>
    <row r="354" spans="153:170" x14ac:dyDescent="0.35">
      <c r="EW354" s="48"/>
      <c r="FB354" s="5"/>
      <c r="FI354" s="5"/>
      <c r="FJ354" s="164"/>
      <c r="FL354" s="2"/>
      <c r="FN354" s="2"/>
    </row>
    <row r="355" spans="153:170" x14ac:dyDescent="0.35">
      <c r="EW355" s="48"/>
      <c r="FB355" s="5"/>
      <c r="FI355" s="5"/>
      <c r="FJ355" s="164"/>
      <c r="FL355" s="2"/>
      <c r="FN355" s="2"/>
    </row>
    <row r="356" spans="153:170" x14ac:dyDescent="0.35">
      <c r="EW356" s="48"/>
      <c r="FB356" s="5"/>
      <c r="FI356" s="5"/>
      <c r="FJ356" s="164"/>
      <c r="FL356" s="2"/>
      <c r="FN356" s="2"/>
    </row>
    <row r="357" spans="153:170" x14ac:dyDescent="0.35">
      <c r="EW357" s="48"/>
      <c r="FB357" s="5"/>
      <c r="FI357" s="5"/>
      <c r="FJ357" s="164"/>
      <c r="FL357" s="2"/>
      <c r="FN357" s="2"/>
    </row>
    <row r="358" spans="153:170" x14ac:dyDescent="0.35">
      <c r="EW358" s="48"/>
      <c r="FB358" s="5"/>
      <c r="FI358" s="5"/>
      <c r="FJ358" s="164"/>
      <c r="FL358" s="2"/>
      <c r="FN358" s="2"/>
    </row>
    <row r="359" spans="153:170" x14ac:dyDescent="0.35">
      <c r="EW359" s="48"/>
      <c r="FB359" s="5"/>
      <c r="FI359" s="5"/>
      <c r="FJ359" s="164"/>
      <c r="FL359" s="2"/>
      <c r="FN359" s="2"/>
    </row>
    <row r="360" spans="153:170" x14ac:dyDescent="0.35">
      <c r="EW360" s="48"/>
      <c r="FB360" s="5"/>
      <c r="FI360" s="5"/>
      <c r="FJ360" s="164"/>
      <c r="FL360" s="2"/>
      <c r="FN360" s="2"/>
    </row>
    <row r="361" spans="153:170" x14ac:dyDescent="0.35">
      <c r="EW361" s="48"/>
      <c r="FB361" s="5"/>
      <c r="FI361" s="5"/>
      <c r="FJ361" s="164"/>
      <c r="FL361" s="2"/>
      <c r="FN361" s="2"/>
    </row>
    <row r="362" spans="153:170" x14ac:dyDescent="0.35">
      <c r="EW362" s="48"/>
      <c r="FB362" s="5"/>
      <c r="FI362" s="5"/>
      <c r="FJ362" s="164"/>
      <c r="FL362" s="2"/>
      <c r="FN362" s="2"/>
    </row>
    <row r="363" spans="153:170" x14ac:dyDescent="0.35">
      <c r="EW363" s="48"/>
      <c r="FB363" s="5"/>
      <c r="FI363" s="5"/>
      <c r="FJ363" s="164"/>
      <c r="FL363" s="2"/>
      <c r="FN363" s="2"/>
    </row>
    <row r="364" spans="153:170" x14ac:dyDescent="0.35">
      <c r="EW364" s="48"/>
      <c r="FB364" s="5"/>
      <c r="FI364" s="5"/>
      <c r="FJ364" s="164"/>
      <c r="FL364" s="2"/>
      <c r="FN364" s="2"/>
    </row>
    <row r="365" spans="153:170" x14ac:dyDescent="0.35">
      <c r="EW365" s="48"/>
      <c r="FB365" s="5"/>
      <c r="FI365" s="5"/>
      <c r="FJ365" s="164"/>
      <c r="FL365" s="2"/>
      <c r="FN365" s="2"/>
    </row>
    <row r="366" spans="153:170" x14ac:dyDescent="0.35">
      <c r="EW366" s="48"/>
      <c r="FB366" s="5"/>
      <c r="FI366" s="5"/>
      <c r="FJ366" s="164"/>
      <c r="FL366" s="2"/>
      <c r="FN366" s="2"/>
    </row>
    <row r="367" spans="153:170" x14ac:dyDescent="0.35">
      <c r="EW367" s="48"/>
      <c r="FB367" s="5"/>
      <c r="FI367" s="5"/>
      <c r="FJ367" s="164"/>
      <c r="FL367" s="2"/>
      <c r="FN367" s="2"/>
    </row>
    <row r="368" spans="153:170" x14ac:dyDescent="0.35">
      <c r="EW368" s="48"/>
      <c r="FB368" s="5"/>
      <c r="FI368" s="5"/>
      <c r="FJ368" s="164"/>
      <c r="FL368" s="2"/>
      <c r="FN368" s="2"/>
    </row>
    <row r="369" spans="153:170" x14ac:dyDescent="0.35">
      <c r="EW369" s="48"/>
      <c r="FB369" s="5"/>
      <c r="FI369" s="5"/>
      <c r="FJ369" s="164"/>
      <c r="FL369" s="2"/>
      <c r="FN369" s="2"/>
    </row>
    <row r="370" spans="153:170" x14ac:dyDescent="0.35">
      <c r="EW370" s="48"/>
      <c r="FB370" s="5"/>
      <c r="FI370" s="5"/>
      <c r="FJ370" s="164"/>
      <c r="FL370" s="2"/>
      <c r="FN370" s="2"/>
    </row>
    <row r="371" spans="153:170" x14ac:dyDescent="0.35">
      <c r="EW371" s="48"/>
      <c r="FB371" s="5"/>
      <c r="FI371" s="5"/>
      <c r="FJ371" s="164"/>
      <c r="FL371" s="2"/>
      <c r="FN371" s="2"/>
    </row>
    <row r="372" spans="153:170" x14ac:dyDescent="0.35">
      <c r="EW372" s="48"/>
      <c r="FB372" s="5"/>
      <c r="FI372" s="5"/>
      <c r="FJ372" s="164"/>
      <c r="FL372" s="2"/>
      <c r="FN372" s="2"/>
    </row>
    <row r="373" spans="153:170" x14ac:dyDescent="0.35">
      <c r="EW373" s="48"/>
      <c r="FB373" s="5"/>
      <c r="FI373" s="5"/>
      <c r="FJ373" s="164"/>
      <c r="FL373" s="2"/>
      <c r="FN373" s="2"/>
    </row>
    <row r="374" spans="153:170" x14ac:dyDescent="0.35">
      <c r="EW374" s="48"/>
      <c r="FB374" s="5"/>
      <c r="FI374" s="5"/>
      <c r="FJ374" s="164"/>
      <c r="FL374" s="2"/>
      <c r="FN374" s="2"/>
    </row>
    <row r="375" spans="153:170" x14ac:dyDescent="0.35">
      <c r="EW375" s="48"/>
      <c r="FB375" s="5"/>
      <c r="FI375" s="5"/>
      <c r="FJ375" s="164"/>
      <c r="FL375" s="2"/>
      <c r="FN375" s="2"/>
    </row>
    <row r="376" spans="153:170" x14ac:dyDescent="0.35">
      <c r="EW376" s="48"/>
      <c r="FB376" s="5"/>
      <c r="FI376" s="5"/>
      <c r="FJ376" s="164"/>
      <c r="FL376" s="2"/>
      <c r="FN376" s="2"/>
    </row>
    <row r="377" spans="153:170" x14ac:dyDescent="0.35">
      <c r="EW377" s="48"/>
      <c r="FB377" s="5"/>
      <c r="FI377" s="5"/>
      <c r="FJ377" s="164"/>
      <c r="FL377" s="2"/>
      <c r="FN377" s="2"/>
    </row>
    <row r="378" spans="153:170" x14ac:dyDescent="0.35">
      <c r="EW378" s="48"/>
      <c r="FB378" s="5"/>
      <c r="FI378" s="5"/>
      <c r="FJ378" s="164"/>
      <c r="FL378" s="2"/>
      <c r="FN378" s="2"/>
    </row>
    <row r="379" spans="153:170" x14ac:dyDescent="0.35">
      <c r="EW379" s="48"/>
      <c r="FB379" s="5"/>
      <c r="FI379" s="5"/>
      <c r="FJ379" s="164"/>
      <c r="FL379" s="2"/>
      <c r="FN379" s="2"/>
    </row>
    <row r="380" spans="153:170" x14ac:dyDescent="0.35">
      <c r="EW380" s="48"/>
      <c r="FB380" s="5"/>
      <c r="FI380" s="5"/>
      <c r="FJ380" s="164"/>
      <c r="FL380" s="2"/>
      <c r="FN380" s="2"/>
    </row>
    <row r="381" spans="153:170" x14ac:dyDescent="0.35">
      <c r="EW381" s="48"/>
      <c r="FB381" s="5"/>
      <c r="FI381" s="5"/>
      <c r="FJ381" s="164"/>
      <c r="FL381" s="2"/>
      <c r="FN381" s="2"/>
    </row>
    <row r="382" spans="153:170" x14ac:dyDescent="0.35">
      <c r="EW382" s="48"/>
      <c r="FB382" s="5"/>
      <c r="FI382" s="5"/>
      <c r="FJ382" s="164"/>
      <c r="FL382" s="2"/>
      <c r="FN382" s="2"/>
    </row>
    <row r="383" spans="153:170" x14ac:dyDescent="0.35">
      <c r="EW383" s="48"/>
      <c r="FB383" s="5"/>
      <c r="FI383" s="5"/>
      <c r="FJ383" s="164"/>
      <c r="FL383" s="2"/>
      <c r="FN383" s="2"/>
    </row>
    <row r="384" spans="153:170" x14ac:dyDescent="0.35">
      <c r="EW384" s="48"/>
      <c r="FB384" s="5"/>
      <c r="FI384" s="5"/>
      <c r="FJ384" s="164"/>
      <c r="FL384" s="2"/>
      <c r="FN384" s="2"/>
    </row>
    <row r="385" spans="153:170" x14ac:dyDescent="0.35">
      <c r="EW385" s="48"/>
      <c r="FB385" s="5"/>
      <c r="FI385" s="5"/>
      <c r="FJ385" s="164"/>
      <c r="FL385" s="2"/>
      <c r="FN385" s="2"/>
    </row>
    <row r="386" spans="153:170" x14ac:dyDescent="0.35">
      <c r="EW386" s="48"/>
      <c r="FB386" s="5"/>
      <c r="FI386" s="5"/>
      <c r="FJ386" s="164"/>
      <c r="FL386" s="2"/>
      <c r="FN386" s="2"/>
    </row>
    <row r="387" spans="153:170" x14ac:dyDescent="0.35">
      <c r="EW387" s="48"/>
      <c r="FB387" s="5"/>
      <c r="FI387" s="5"/>
      <c r="FJ387" s="164"/>
      <c r="FL387" s="2"/>
      <c r="FN387" s="2"/>
    </row>
    <row r="388" spans="153:170" x14ac:dyDescent="0.35">
      <c r="EW388" s="48"/>
      <c r="FB388" s="5"/>
      <c r="FI388" s="5"/>
      <c r="FJ388" s="164"/>
      <c r="FL388" s="2"/>
      <c r="FN388" s="2"/>
    </row>
    <row r="389" spans="153:170" x14ac:dyDescent="0.35">
      <c r="EW389" s="48"/>
      <c r="FB389" s="5"/>
      <c r="FI389" s="5"/>
      <c r="FJ389" s="164"/>
      <c r="FL389" s="2"/>
      <c r="FN389" s="2"/>
    </row>
    <row r="390" spans="153:170" x14ac:dyDescent="0.35">
      <c r="EW390" s="48"/>
      <c r="FB390" s="5"/>
      <c r="FI390" s="5"/>
      <c r="FJ390" s="164"/>
      <c r="FL390" s="2"/>
      <c r="FN390" s="2"/>
    </row>
    <row r="391" spans="153:170" x14ac:dyDescent="0.35">
      <c r="EW391" s="48"/>
      <c r="FB391" s="5"/>
      <c r="FI391" s="5"/>
      <c r="FJ391" s="164"/>
      <c r="FL391" s="2"/>
      <c r="FN391" s="2"/>
    </row>
    <row r="392" spans="153:170" x14ac:dyDescent="0.35">
      <c r="EW392" s="48"/>
      <c r="FB392" s="5"/>
      <c r="FI392" s="5"/>
      <c r="FJ392" s="164"/>
      <c r="FL392" s="2"/>
      <c r="FN392" s="2"/>
    </row>
    <row r="393" spans="153:170" x14ac:dyDescent="0.35">
      <c r="EW393" s="48"/>
      <c r="FB393" s="5"/>
      <c r="FI393" s="5"/>
      <c r="FJ393" s="164"/>
      <c r="FL393" s="2"/>
      <c r="FN393" s="2"/>
    </row>
    <row r="394" spans="153:170" x14ac:dyDescent="0.35">
      <c r="EW394" s="48"/>
      <c r="FB394" s="5"/>
      <c r="FI394" s="5"/>
      <c r="FJ394" s="164"/>
      <c r="FL394" s="2"/>
      <c r="FN394" s="2"/>
    </row>
    <row r="395" spans="153:170" x14ac:dyDescent="0.35">
      <c r="EW395" s="48"/>
      <c r="FB395" s="5"/>
      <c r="FI395" s="5"/>
      <c r="FJ395" s="164"/>
      <c r="FL395" s="2"/>
      <c r="FN395" s="2"/>
    </row>
    <row r="396" spans="153:170" x14ac:dyDescent="0.35">
      <c r="EW396" s="48"/>
      <c r="FB396" s="5"/>
      <c r="FI396" s="5"/>
      <c r="FJ396" s="164"/>
      <c r="FL396" s="2"/>
      <c r="FN396" s="2"/>
    </row>
    <row r="397" spans="153:170" x14ac:dyDescent="0.35">
      <c r="EW397" s="48"/>
      <c r="FB397" s="5"/>
      <c r="FI397" s="5"/>
      <c r="FJ397" s="164"/>
      <c r="FL397" s="2"/>
      <c r="FN397" s="2"/>
    </row>
    <row r="398" spans="153:170" x14ac:dyDescent="0.35">
      <c r="EW398" s="48"/>
      <c r="FB398" s="5"/>
      <c r="FI398" s="5"/>
      <c r="FJ398" s="164"/>
      <c r="FL398" s="2"/>
      <c r="FN398" s="2"/>
    </row>
    <row r="399" spans="153:170" x14ac:dyDescent="0.35">
      <c r="EW399" s="48"/>
      <c r="FB399" s="5"/>
      <c r="FI399" s="5"/>
      <c r="FJ399" s="164"/>
      <c r="FL399" s="2"/>
      <c r="FN399" s="2"/>
    </row>
    <row r="400" spans="153:170" x14ac:dyDescent="0.35">
      <c r="EW400" s="48"/>
      <c r="FB400" s="5"/>
      <c r="FI400" s="5"/>
      <c r="FJ400" s="164"/>
      <c r="FL400" s="2"/>
      <c r="FN400" s="2"/>
    </row>
    <row r="401" spans="153:170" x14ac:dyDescent="0.35">
      <c r="EW401" s="48"/>
      <c r="FB401" s="5"/>
      <c r="FI401" s="5"/>
      <c r="FJ401" s="164"/>
      <c r="FL401" s="2"/>
      <c r="FN401" s="2"/>
    </row>
    <row r="402" spans="153:170" x14ac:dyDescent="0.35">
      <c r="EW402" s="48"/>
      <c r="FB402" s="5"/>
      <c r="FI402" s="5"/>
      <c r="FJ402" s="164"/>
      <c r="FL402" s="2"/>
      <c r="FN402" s="2"/>
    </row>
    <row r="403" spans="153:170" x14ac:dyDescent="0.35">
      <c r="EW403" s="48"/>
      <c r="FB403" s="5"/>
      <c r="FI403" s="5"/>
      <c r="FJ403" s="164"/>
      <c r="FL403" s="2"/>
      <c r="FN403" s="2"/>
    </row>
    <row r="404" spans="153:170" x14ac:dyDescent="0.35">
      <c r="EW404" s="48"/>
      <c r="FB404" s="5"/>
      <c r="FI404" s="5"/>
      <c r="FJ404" s="164"/>
      <c r="FL404" s="2"/>
      <c r="FN404" s="2"/>
    </row>
    <row r="405" spans="153:170" x14ac:dyDescent="0.35">
      <c r="EW405" s="48"/>
      <c r="FB405" s="5"/>
      <c r="FI405" s="5"/>
      <c r="FJ405" s="164"/>
      <c r="FL405" s="2"/>
      <c r="FN405" s="2"/>
    </row>
    <row r="406" spans="153:170" x14ac:dyDescent="0.35">
      <c r="EW406" s="48"/>
      <c r="FB406" s="5"/>
      <c r="FI406" s="5"/>
      <c r="FJ406" s="164"/>
      <c r="FL406" s="2"/>
      <c r="FN406" s="2"/>
    </row>
    <row r="407" spans="153:170" x14ac:dyDescent="0.35">
      <c r="EW407" s="48"/>
      <c r="FB407" s="5"/>
      <c r="FI407" s="5"/>
      <c r="FJ407" s="164"/>
      <c r="FL407" s="2"/>
      <c r="FN407" s="2"/>
    </row>
    <row r="408" spans="153:170" x14ac:dyDescent="0.35">
      <c r="EW408" s="48"/>
      <c r="FB408" s="5"/>
      <c r="FI408" s="5"/>
      <c r="FJ408" s="164"/>
      <c r="FL408" s="2"/>
      <c r="FN408" s="2"/>
    </row>
    <row r="409" spans="153:170" x14ac:dyDescent="0.35">
      <c r="EW409" s="48"/>
      <c r="FB409" s="5"/>
      <c r="FI409" s="5"/>
      <c r="FJ409" s="164"/>
      <c r="FL409" s="2"/>
      <c r="FN409" s="2"/>
    </row>
    <row r="410" spans="153:170" x14ac:dyDescent="0.35">
      <c r="EW410" s="48"/>
      <c r="FB410" s="5"/>
      <c r="FI410" s="5"/>
      <c r="FJ410" s="164"/>
      <c r="FL410" s="2"/>
      <c r="FN410" s="2"/>
    </row>
    <row r="411" spans="153:170" x14ac:dyDescent="0.35">
      <c r="EW411" s="48"/>
      <c r="FB411" s="5"/>
      <c r="FI411" s="5"/>
      <c r="FJ411" s="164"/>
      <c r="FL411" s="2"/>
      <c r="FN411" s="2"/>
    </row>
    <row r="412" spans="153:170" x14ac:dyDescent="0.35">
      <c r="EW412" s="48"/>
      <c r="FB412" s="5"/>
      <c r="FI412" s="5"/>
      <c r="FJ412" s="164"/>
      <c r="FL412" s="2"/>
      <c r="FN412" s="2"/>
    </row>
    <row r="413" spans="153:170" x14ac:dyDescent="0.35">
      <c r="EW413" s="48"/>
      <c r="FB413" s="5"/>
      <c r="FI413" s="5"/>
      <c r="FJ413" s="164"/>
      <c r="FL413" s="2"/>
      <c r="FN413" s="2"/>
    </row>
    <row r="414" spans="153:170" x14ac:dyDescent="0.35">
      <c r="EW414" s="48"/>
      <c r="FB414" s="5"/>
      <c r="FI414" s="5"/>
      <c r="FJ414" s="164"/>
      <c r="FL414" s="2"/>
      <c r="FN414" s="2"/>
    </row>
    <row r="415" spans="153:170" x14ac:dyDescent="0.35">
      <c r="EW415" s="48"/>
      <c r="FB415" s="5"/>
      <c r="FI415" s="5"/>
      <c r="FJ415" s="164"/>
      <c r="FL415" s="2"/>
      <c r="FN415" s="2"/>
    </row>
    <row r="416" spans="153:170" x14ac:dyDescent="0.35">
      <c r="EW416" s="48"/>
      <c r="FB416" s="5"/>
      <c r="FI416" s="5"/>
      <c r="FJ416" s="164"/>
      <c r="FL416" s="2"/>
      <c r="FN416" s="2"/>
    </row>
    <row r="417" spans="153:170" x14ac:dyDescent="0.35">
      <c r="EW417" s="48"/>
      <c r="FB417" s="5"/>
      <c r="FI417" s="5"/>
      <c r="FJ417" s="164"/>
      <c r="FL417" s="2"/>
      <c r="FN417" s="2"/>
    </row>
    <row r="418" spans="153:170" x14ac:dyDescent="0.35">
      <c r="EW418" s="48"/>
      <c r="FB418" s="5"/>
      <c r="FI418" s="5"/>
      <c r="FJ418" s="164"/>
      <c r="FL418" s="2"/>
      <c r="FN418" s="2"/>
    </row>
    <row r="419" spans="153:170" x14ac:dyDescent="0.35">
      <c r="EW419" s="48"/>
      <c r="FB419" s="5"/>
      <c r="FI419" s="5"/>
      <c r="FJ419" s="164"/>
      <c r="FL419" s="2"/>
      <c r="FN419" s="2"/>
    </row>
    <row r="420" spans="153:170" x14ac:dyDescent="0.35">
      <c r="EW420" s="48"/>
      <c r="FB420" s="5"/>
      <c r="FI420" s="5"/>
      <c r="FJ420" s="164"/>
      <c r="FL420" s="2"/>
      <c r="FN420" s="2"/>
    </row>
    <row r="421" spans="153:170" x14ac:dyDescent="0.35">
      <c r="EW421" s="48"/>
      <c r="FB421" s="5"/>
      <c r="FI421" s="5"/>
      <c r="FJ421" s="164"/>
      <c r="FL421" s="2"/>
      <c r="FN421" s="2"/>
    </row>
    <row r="422" spans="153:170" x14ac:dyDescent="0.35">
      <c r="EW422" s="48"/>
      <c r="FB422" s="5"/>
      <c r="FI422" s="5"/>
      <c r="FJ422" s="164"/>
      <c r="FL422" s="2"/>
      <c r="FN422" s="2"/>
    </row>
    <row r="423" spans="153:170" x14ac:dyDescent="0.35">
      <c r="EW423" s="48"/>
      <c r="FB423" s="5"/>
      <c r="FI423" s="5"/>
      <c r="FJ423" s="164"/>
      <c r="FL423" s="2"/>
      <c r="FN423" s="2"/>
    </row>
    <row r="424" spans="153:170" x14ac:dyDescent="0.35">
      <c r="EW424" s="48"/>
      <c r="FB424" s="5"/>
      <c r="FI424" s="5"/>
      <c r="FJ424" s="164"/>
      <c r="FL424" s="2"/>
      <c r="FN424" s="2"/>
    </row>
    <row r="425" spans="153:170" x14ac:dyDescent="0.35">
      <c r="EW425" s="48"/>
      <c r="FB425" s="5"/>
      <c r="FI425" s="5"/>
      <c r="FJ425" s="164"/>
      <c r="FL425" s="2"/>
      <c r="FN425" s="2"/>
    </row>
    <row r="426" spans="153:170" x14ac:dyDescent="0.35">
      <c r="EW426" s="48"/>
      <c r="FB426" s="5"/>
      <c r="FI426" s="5"/>
      <c r="FJ426" s="164"/>
      <c r="FL426" s="2"/>
      <c r="FN426" s="2"/>
    </row>
    <row r="427" spans="153:170" x14ac:dyDescent="0.35">
      <c r="EW427" s="48"/>
      <c r="FB427" s="5"/>
      <c r="FI427" s="5"/>
      <c r="FJ427" s="164"/>
      <c r="FL427" s="2"/>
      <c r="FN427" s="2"/>
    </row>
    <row r="428" spans="153:170" x14ac:dyDescent="0.35">
      <c r="EW428" s="48"/>
      <c r="FB428" s="5"/>
      <c r="FI428" s="5"/>
      <c r="FJ428" s="164"/>
      <c r="FL428" s="2"/>
      <c r="FN428" s="2"/>
    </row>
    <row r="429" spans="153:170" x14ac:dyDescent="0.35">
      <c r="EW429" s="48"/>
      <c r="FB429" s="5"/>
      <c r="FI429" s="5"/>
      <c r="FJ429" s="164"/>
      <c r="FL429" s="2"/>
      <c r="FN429" s="2"/>
    </row>
    <row r="430" spans="153:170" x14ac:dyDescent="0.35">
      <c r="EW430" s="48"/>
      <c r="FB430" s="5"/>
      <c r="FI430" s="5"/>
      <c r="FJ430" s="164"/>
      <c r="FL430" s="2"/>
      <c r="FN430" s="2"/>
    </row>
    <row r="431" spans="153:170" x14ac:dyDescent="0.35">
      <c r="EW431" s="48"/>
      <c r="FB431" s="5"/>
      <c r="FI431" s="5"/>
      <c r="FJ431" s="164"/>
      <c r="FL431" s="2"/>
      <c r="FN431" s="2"/>
    </row>
    <row r="432" spans="153:170" x14ac:dyDescent="0.35">
      <c r="EW432" s="48"/>
      <c r="FB432" s="5"/>
      <c r="FI432" s="5"/>
      <c r="FJ432" s="164"/>
      <c r="FL432" s="2"/>
      <c r="FN432" s="2"/>
    </row>
    <row r="433" spans="153:170" x14ac:dyDescent="0.35">
      <c r="EW433" s="48"/>
      <c r="FB433" s="5"/>
      <c r="FI433" s="5"/>
      <c r="FJ433" s="164"/>
      <c r="FL433" s="2"/>
      <c r="FN433" s="2"/>
    </row>
    <row r="434" spans="153:170" x14ac:dyDescent="0.35">
      <c r="EW434" s="48"/>
      <c r="FB434" s="5"/>
      <c r="FI434" s="5"/>
      <c r="FJ434" s="164"/>
      <c r="FL434" s="2"/>
      <c r="FN434" s="2"/>
    </row>
    <row r="435" spans="153:170" x14ac:dyDescent="0.35">
      <c r="EW435" s="48"/>
      <c r="FB435" s="5"/>
      <c r="FI435" s="5"/>
      <c r="FJ435" s="164"/>
      <c r="FL435" s="2"/>
      <c r="FN435" s="2"/>
    </row>
    <row r="436" spans="153:170" x14ac:dyDescent="0.35">
      <c r="EW436" s="48"/>
      <c r="FB436" s="5"/>
      <c r="FI436" s="5"/>
      <c r="FJ436" s="164"/>
      <c r="FL436" s="2"/>
      <c r="FN436" s="2"/>
    </row>
    <row r="437" spans="153:170" x14ac:dyDescent="0.35">
      <c r="EW437" s="48"/>
      <c r="FB437" s="5"/>
      <c r="FI437" s="5"/>
      <c r="FJ437" s="164"/>
      <c r="FL437" s="2"/>
      <c r="FN437" s="2"/>
    </row>
    <row r="438" spans="153:170" x14ac:dyDescent="0.35">
      <c r="EW438" s="48"/>
      <c r="FB438" s="5"/>
      <c r="FI438" s="5"/>
      <c r="FJ438" s="164"/>
      <c r="FL438" s="2"/>
      <c r="FN438" s="2"/>
    </row>
    <row r="439" spans="153:170" x14ac:dyDescent="0.35">
      <c r="EW439" s="48"/>
      <c r="FB439" s="5"/>
      <c r="FI439" s="5"/>
      <c r="FJ439" s="164"/>
      <c r="FL439" s="2"/>
      <c r="FN439" s="2"/>
    </row>
    <row r="440" spans="153:170" x14ac:dyDescent="0.35">
      <c r="EW440" s="48"/>
      <c r="FB440" s="5"/>
      <c r="FI440" s="5"/>
      <c r="FJ440" s="164"/>
      <c r="FL440" s="2"/>
      <c r="FN440" s="2"/>
    </row>
    <row r="441" spans="153:170" x14ac:dyDescent="0.35">
      <c r="EW441" s="48"/>
      <c r="FB441" s="5"/>
      <c r="FI441" s="5"/>
      <c r="FJ441" s="164"/>
      <c r="FL441" s="2"/>
      <c r="FN441" s="2"/>
    </row>
    <row r="442" spans="153:170" x14ac:dyDescent="0.35">
      <c r="EW442" s="48"/>
      <c r="FB442" s="5"/>
      <c r="FI442" s="5"/>
      <c r="FJ442" s="164"/>
      <c r="FL442" s="2"/>
      <c r="FN442" s="2"/>
    </row>
    <row r="443" spans="153:170" x14ac:dyDescent="0.35">
      <c r="EW443" s="48"/>
      <c r="FB443" s="5"/>
      <c r="FI443" s="5"/>
      <c r="FJ443" s="164"/>
      <c r="FL443" s="2"/>
      <c r="FN443" s="2"/>
    </row>
    <row r="444" spans="153:170" x14ac:dyDescent="0.35">
      <c r="EW444" s="48"/>
      <c r="FB444" s="5"/>
      <c r="FI444" s="5"/>
      <c r="FJ444" s="164"/>
      <c r="FL444" s="2"/>
      <c r="FN444" s="2"/>
    </row>
    <row r="445" spans="153:170" x14ac:dyDescent="0.35">
      <c r="EW445" s="48"/>
      <c r="FB445" s="5"/>
      <c r="FI445" s="5"/>
      <c r="FJ445" s="164"/>
      <c r="FL445" s="2"/>
      <c r="FN445" s="2"/>
    </row>
    <row r="446" spans="153:170" x14ac:dyDescent="0.35">
      <c r="EW446" s="48"/>
      <c r="FB446" s="5"/>
      <c r="FI446" s="5"/>
      <c r="FJ446" s="164"/>
      <c r="FL446" s="2"/>
      <c r="FN446" s="2"/>
    </row>
    <row r="447" spans="153:170" x14ac:dyDescent="0.35">
      <c r="EW447" s="48"/>
      <c r="FB447" s="5"/>
      <c r="FI447" s="5"/>
      <c r="FJ447" s="164"/>
      <c r="FL447" s="2"/>
      <c r="FN447" s="2"/>
    </row>
    <row r="448" spans="153:170" x14ac:dyDescent="0.35">
      <c r="EW448" s="48"/>
      <c r="FB448" s="5"/>
      <c r="FI448" s="5"/>
      <c r="FJ448" s="164"/>
      <c r="FL448" s="2"/>
      <c r="FN448" s="2"/>
    </row>
    <row r="449" spans="153:170" x14ac:dyDescent="0.35">
      <c r="EW449" s="48"/>
      <c r="FB449" s="5"/>
      <c r="FI449" s="5"/>
      <c r="FJ449" s="164"/>
      <c r="FL449" s="2"/>
      <c r="FN449" s="2"/>
    </row>
    <row r="450" spans="153:170" x14ac:dyDescent="0.35">
      <c r="EW450" s="48"/>
      <c r="FB450" s="5"/>
      <c r="FI450" s="5"/>
      <c r="FJ450" s="164"/>
      <c r="FL450" s="2"/>
      <c r="FN450" s="2"/>
    </row>
    <row r="451" spans="153:170" x14ac:dyDescent="0.35">
      <c r="EW451" s="48"/>
      <c r="FB451" s="5"/>
      <c r="FI451" s="5"/>
      <c r="FJ451" s="164"/>
      <c r="FL451" s="2"/>
      <c r="FN451" s="2"/>
    </row>
    <row r="452" spans="153:170" x14ac:dyDescent="0.35">
      <c r="EW452" s="48"/>
      <c r="FB452" s="5"/>
      <c r="FI452" s="5"/>
      <c r="FJ452" s="164"/>
      <c r="FL452" s="2"/>
      <c r="FN452" s="2"/>
    </row>
    <row r="453" spans="153:170" x14ac:dyDescent="0.35">
      <c r="EW453" s="48"/>
      <c r="FB453" s="5"/>
      <c r="FI453" s="5"/>
      <c r="FJ453" s="164"/>
      <c r="FL453" s="2"/>
      <c r="FN453" s="2"/>
    </row>
    <row r="454" spans="153:170" x14ac:dyDescent="0.35">
      <c r="EW454" s="48"/>
      <c r="FB454" s="5"/>
      <c r="FI454" s="5"/>
      <c r="FJ454" s="164"/>
      <c r="FL454" s="2"/>
      <c r="FN454" s="2"/>
    </row>
    <row r="455" spans="153:170" x14ac:dyDescent="0.35">
      <c r="EW455" s="48"/>
      <c r="FB455" s="5"/>
      <c r="FI455" s="5"/>
      <c r="FJ455" s="164"/>
      <c r="FL455" s="2"/>
      <c r="FN455" s="2"/>
    </row>
    <row r="456" spans="153:170" x14ac:dyDescent="0.35">
      <c r="EW456" s="48"/>
      <c r="FB456" s="5"/>
      <c r="FI456" s="5"/>
      <c r="FJ456" s="164"/>
      <c r="FL456" s="2"/>
      <c r="FN456" s="2"/>
    </row>
    <row r="457" spans="153:170" x14ac:dyDescent="0.35">
      <c r="EW457" s="48"/>
      <c r="FB457" s="5"/>
      <c r="FI457" s="5"/>
      <c r="FJ457" s="164"/>
      <c r="FL457" s="2"/>
      <c r="FN457" s="2"/>
    </row>
    <row r="458" spans="153:170" x14ac:dyDescent="0.35">
      <c r="EW458" s="48"/>
      <c r="FB458" s="5"/>
      <c r="FI458" s="5"/>
      <c r="FJ458" s="164"/>
      <c r="FL458" s="2"/>
      <c r="FN458" s="2"/>
    </row>
    <row r="459" spans="153:170" x14ac:dyDescent="0.35">
      <c r="EW459" s="48"/>
      <c r="FB459" s="5"/>
      <c r="FI459" s="5"/>
      <c r="FJ459" s="164"/>
      <c r="FL459" s="2"/>
      <c r="FN459" s="2"/>
    </row>
    <row r="460" spans="153:170" x14ac:dyDescent="0.35">
      <c r="EW460" s="48"/>
      <c r="FB460" s="5"/>
      <c r="FI460" s="5"/>
      <c r="FJ460" s="164"/>
      <c r="FL460" s="2"/>
      <c r="FN460" s="2"/>
    </row>
    <row r="461" spans="153:170" x14ac:dyDescent="0.35">
      <c r="EW461" s="48"/>
      <c r="FB461" s="5"/>
      <c r="FI461" s="5"/>
      <c r="FJ461" s="164"/>
      <c r="FL461" s="2"/>
      <c r="FN461" s="2"/>
    </row>
    <row r="462" spans="153:170" x14ac:dyDescent="0.35">
      <c r="EW462" s="48"/>
      <c r="FB462" s="5"/>
      <c r="FI462" s="5"/>
      <c r="FJ462" s="164"/>
      <c r="FL462" s="2"/>
      <c r="FN462" s="2"/>
    </row>
    <row r="463" spans="153:170" x14ac:dyDescent="0.35">
      <c r="EW463" s="48"/>
      <c r="FB463" s="5"/>
      <c r="FI463" s="5"/>
      <c r="FJ463" s="164"/>
      <c r="FL463" s="2"/>
      <c r="FN463" s="2"/>
    </row>
    <row r="464" spans="153:170" x14ac:dyDescent="0.35">
      <c r="EW464" s="48"/>
      <c r="FB464" s="5"/>
      <c r="FI464" s="5"/>
      <c r="FJ464" s="164"/>
      <c r="FL464" s="2"/>
      <c r="FN464" s="2"/>
    </row>
    <row r="465" spans="153:170" x14ac:dyDescent="0.35">
      <c r="EW465" s="48"/>
      <c r="FB465" s="5"/>
      <c r="FI465" s="5"/>
      <c r="FJ465" s="164"/>
      <c r="FL465" s="2"/>
      <c r="FN465" s="2"/>
    </row>
    <row r="466" spans="153:170" x14ac:dyDescent="0.35">
      <c r="EW466" s="48"/>
      <c r="FB466" s="5"/>
      <c r="FI466" s="5"/>
      <c r="FJ466" s="164"/>
      <c r="FL466" s="2"/>
      <c r="FN466" s="2"/>
    </row>
    <row r="467" spans="153:170" x14ac:dyDescent="0.35">
      <c r="EW467" s="48"/>
      <c r="FB467" s="5"/>
      <c r="FI467" s="5"/>
      <c r="FJ467" s="164"/>
      <c r="FL467" s="2"/>
      <c r="FN467" s="2"/>
    </row>
    <row r="468" spans="153:170" x14ac:dyDescent="0.35">
      <c r="EW468" s="48"/>
      <c r="FB468" s="5"/>
      <c r="FI468" s="5"/>
      <c r="FJ468" s="164"/>
      <c r="FL468" s="2"/>
      <c r="FN468" s="2"/>
    </row>
    <row r="469" spans="153:170" x14ac:dyDescent="0.35">
      <c r="EW469" s="48"/>
      <c r="FB469" s="5"/>
      <c r="FI469" s="5"/>
      <c r="FJ469" s="164"/>
      <c r="FL469" s="2"/>
      <c r="FN469" s="2"/>
    </row>
    <row r="470" spans="153:170" x14ac:dyDescent="0.35">
      <c r="EW470" s="48"/>
      <c r="FB470" s="5"/>
      <c r="FI470" s="5"/>
      <c r="FJ470" s="164"/>
      <c r="FL470" s="2"/>
      <c r="FN470" s="2"/>
    </row>
    <row r="471" spans="153:170" x14ac:dyDescent="0.35">
      <c r="EW471" s="48"/>
      <c r="FB471" s="5"/>
      <c r="FI471" s="5"/>
      <c r="FJ471" s="164"/>
      <c r="FL471" s="2"/>
      <c r="FN471" s="2"/>
    </row>
    <row r="472" spans="153:170" x14ac:dyDescent="0.35">
      <c r="EW472" s="48"/>
      <c r="FB472" s="5"/>
      <c r="FI472" s="5"/>
      <c r="FJ472" s="164"/>
      <c r="FL472" s="2"/>
      <c r="FN472" s="2"/>
    </row>
    <row r="473" spans="153:170" x14ac:dyDescent="0.35">
      <c r="EW473" s="48"/>
      <c r="FB473" s="5"/>
      <c r="FI473" s="5"/>
      <c r="FJ473" s="164"/>
      <c r="FL473" s="2"/>
      <c r="FN473" s="2"/>
    </row>
    <row r="474" spans="153:170" x14ac:dyDescent="0.35">
      <c r="EW474" s="48"/>
      <c r="FB474" s="5"/>
      <c r="FI474" s="5"/>
      <c r="FJ474" s="164"/>
      <c r="FL474" s="2"/>
      <c r="FN474" s="2"/>
    </row>
    <row r="475" spans="153:170" x14ac:dyDescent="0.35">
      <c r="EW475" s="48"/>
      <c r="FB475" s="5"/>
      <c r="FI475" s="5"/>
      <c r="FJ475" s="164"/>
      <c r="FL475" s="2"/>
      <c r="FN475" s="2"/>
    </row>
    <row r="476" spans="153:170" x14ac:dyDescent="0.35">
      <c r="EW476" s="48"/>
      <c r="FB476" s="5"/>
      <c r="FI476" s="5"/>
      <c r="FJ476" s="164"/>
      <c r="FL476" s="2"/>
      <c r="FN476" s="2"/>
    </row>
    <row r="477" spans="153:170" x14ac:dyDescent="0.35">
      <c r="EW477" s="48"/>
      <c r="FB477" s="5"/>
      <c r="FI477" s="5"/>
      <c r="FJ477" s="164"/>
      <c r="FL477" s="2"/>
      <c r="FN477" s="2"/>
    </row>
    <row r="478" spans="153:170" x14ac:dyDescent="0.35">
      <c r="EW478" s="48"/>
      <c r="FB478" s="5"/>
      <c r="FI478" s="5"/>
      <c r="FJ478" s="164"/>
      <c r="FL478" s="2"/>
      <c r="FN478" s="2"/>
    </row>
    <row r="479" spans="153:170" x14ac:dyDescent="0.35">
      <c r="EW479" s="48"/>
      <c r="FB479" s="5"/>
      <c r="FI479" s="5"/>
      <c r="FJ479" s="164"/>
      <c r="FL479" s="2"/>
      <c r="FN479" s="2"/>
    </row>
    <row r="480" spans="153:170" x14ac:dyDescent="0.35">
      <c r="EW480" s="48"/>
      <c r="FB480" s="5"/>
      <c r="FI480" s="5"/>
      <c r="FJ480" s="164"/>
      <c r="FL480" s="2"/>
      <c r="FN480" s="2"/>
    </row>
    <row r="481" spans="153:170" x14ac:dyDescent="0.35">
      <c r="EW481" s="48"/>
      <c r="FB481" s="5"/>
      <c r="FI481" s="5"/>
      <c r="FJ481" s="164"/>
      <c r="FL481" s="2"/>
      <c r="FN481" s="2"/>
    </row>
    <row r="482" spans="153:170" x14ac:dyDescent="0.35">
      <c r="EW482" s="48"/>
      <c r="FB482" s="5"/>
      <c r="FI482" s="5"/>
      <c r="FJ482" s="164"/>
      <c r="FL482" s="2"/>
      <c r="FN482" s="2"/>
    </row>
    <row r="483" spans="153:170" x14ac:dyDescent="0.35">
      <c r="EW483" s="48"/>
      <c r="FB483" s="5"/>
      <c r="FI483" s="5"/>
      <c r="FJ483" s="164"/>
      <c r="FL483" s="2"/>
      <c r="FN483" s="2"/>
    </row>
    <row r="484" spans="153:170" x14ac:dyDescent="0.35">
      <c r="EW484" s="48"/>
      <c r="FB484" s="5"/>
      <c r="FI484" s="5"/>
      <c r="FJ484" s="164"/>
      <c r="FL484" s="2"/>
      <c r="FN484" s="2"/>
    </row>
    <row r="485" spans="153:170" x14ac:dyDescent="0.35">
      <c r="EW485" s="48"/>
      <c r="FB485" s="5"/>
      <c r="FI485" s="5"/>
      <c r="FJ485" s="164"/>
      <c r="FL485" s="2"/>
      <c r="FN485" s="2"/>
    </row>
    <row r="486" spans="153:170" x14ac:dyDescent="0.35">
      <c r="EW486" s="48"/>
      <c r="FB486" s="5"/>
      <c r="FI486" s="5"/>
      <c r="FJ486" s="164"/>
      <c r="FL486" s="2"/>
      <c r="FN486" s="2"/>
    </row>
    <row r="487" spans="153:170" x14ac:dyDescent="0.35">
      <c r="EW487" s="48"/>
      <c r="FB487" s="5"/>
      <c r="FI487" s="5"/>
      <c r="FJ487" s="164"/>
      <c r="FL487" s="2"/>
      <c r="FN487" s="2"/>
    </row>
    <row r="488" spans="153:170" x14ac:dyDescent="0.35">
      <c r="EW488" s="48"/>
      <c r="FB488" s="5"/>
      <c r="FI488" s="5"/>
      <c r="FJ488" s="164"/>
      <c r="FL488" s="2"/>
      <c r="FN488" s="2"/>
    </row>
    <row r="489" spans="153:170" x14ac:dyDescent="0.35">
      <c r="EW489" s="48"/>
      <c r="FB489" s="5"/>
      <c r="FI489" s="5"/>
      <c r="FJ489" s="164"/>
      <c r="FL489" s="2"/>
      <c r="FN489" s="2"/>
    </row>
    <row r="490" spans="153:170" x14ac:dyDescent="0.35">
      <c r="EW490" s="48"/>
      <c r="FB490" s="5"/>
      <c r="FI490" s="5"/>
      <c r="FJ490" s="164"/>
      <c r="FL490" s="2"/>
      <c r="FN490" s="2"/>
    </row>
    <row r="491" spans="153:170" x14ac:dyDescent="0.35">
      <c r="EW491" s="48"/>
      <c r="FB491" s="5"/>
      <c r="FI491" s="5"/>
      <c r="FJ491" s="164"/>
      <c r="FL491" s="2"/>
      <c r="FN491" s="2"/>
    </row>
    <row r="492" spans="153:170" x14ac:dyDescent="0.35">
      <c r="EW492" s="48"/>
      <c r="FB492" s="5"/>
      <c r="FI492" s="5"/>
      <c r="FJ492" s="164"/>
      <c r="FL492" s="2"/>
      <c r="FN492" s="2"/>
    </row>
    <row r="493" spans="153:170" x14ac:dyDescent="0.35">
      <c r="EW493" s="48"/>
      <c r="FB493" s="5"/>
      <c r="FI493" s="5"/>
      <c r="FJ493" s="164"/>
      <c r="FL493" s="2"/>
      <c r="FN493" s="2"/>
    </row>
    <row r="494" spans="153:170" x14ac:dyDescent="0.35">
      <c r="EW494" s="48"/>
      <c r="FB494" s="5"/>
      <c r="FI494" s="5"/>
      <c r="FJ494" s="164"/>
      <c r="FL494" s="2"/>
      <c r="FN494" s="2"/>
    </row>
    <row r="495" spans="153:170" x14ac:dyDescent="0.35">
      <c r="EW495" s="48"/>
      <c r="FB495" s="5"/>
      <c r="FI495" s="5"/>
      <c r="FJ495" s="164"/>
      <c r="FL495" s="2"/>
      <c r="FN495" s="2"/>
    </row>
    <row r="496" spans="153:170" x14ac:dyDescent="0.35">
      <c r="EW496" s="48"/>
      <c r="FB496" s="5"/>
      <c r="FI496" s="5"/>
      <c r="FJ496" s="164"/>
      <c r="FL496" s="2"/>
      <c r="FN496" s="2"/>
    </row>
    <row r="497" spans="153:170" x14ac:dyDescent="0.35">
      <c r="EW497" s="48"/>
      <c r="FB497" s="5"/>
      <c r="FI497" s="5"/>
      <c r="FJ497" s="164"/>
      <c r="FL497" s="2"/>
      <c r="FN497" s="2"/>
    </row>
    <row r="498" spans="153:170" x14ac:dyDescent="0.35">
      <c r="EW498" s="48"/>
      <c r="FB498" s="5"/>
      <c r="FI498" s="5"/>
      <c r="FJ498" s="164"/>
      <c r="FL498" s="2"/>
      <c r="FN498" s="2"/>
    </row>
    <row r="499" spans="153:170" x14ac:dyDescent="0.35">
      <c r="EW499" s="48"/>
      <c r="FB499" s="5"/>
      <c r="FI499" s="5"/>
      <c r="FJ499" s="164"/>
      <c r="FL499" s="2"/>
      <c r="FN499" s="2"/>
    </row>
    <row r="500" spans="153:170" x14ac:dyDescent="0.35">
      <c r="EW500" s="48"/>
      <c r="FB500" s="5"/>
      <c r="FI500" s="5"/>
      <c r="FJ500" s="164"/>
      <c r="FL500" s="2"/>
      <c r="FN500" s="2"/>
    </row>
    <row r="501" spans="153:170" x14ac:dyDescent="0.35">
      <c r="EW501" s="48"/>
      <c r="FB501" s="5"/>
      <c r="FI501" s="5"/>
      <c r="FJ501" s="164"/>
      <c r="FL501" s="2"/>
      <c r="FN501" s="2"/>
    </row>
    <row r="502" spans="153:170" x14ac:dyDescent="0.35">
      <c r="EW502" s="48"/>
      <c r="FB502" s="5"/>
      <c r="FI502" s="5"/>
      <c r="FJ502" s="164"/>
      <c r="FL502" s="2"/>
      <c r="FN502" s="2"/>
    </row>
    <row r="503" spans="153:170" x14ac:dyDescent="0.35">
      <c r="EW503" s="48"/>
      <c r="FB503" s="5"/>
      <c r="FI503" s="5"/>
      <c r="FJ503" s="164"/>
      <c r="FL503" s="2"/>
      <c r="FN503" s="2"/>
    </row>
    <row r="504" spans="153:170" x14ac:dyDescent="0.35">
      <c r="EW504" s="48"/>
      <c r="FB504" s="5"/>
      <c r="FI504" s="5"/>
      <c r="FJ504" s="164"/>
      <c r="FL504" s="2"/>
      <c r="FN504" s="2"/>
    </row>
    <row r="505" spans="153:170" x14ac:dyDescent="0.35">
      <c r="EW505" s="48"/>
      <c r="FB505" s="5"/>
      <c r="FI505" s="5"/>
      <c r="FJ505" s="164"/>
      <c r="FL505" s="2"/>
      <c r="FN505" s="2"/>
    </row>
    <row r="506" spans="153:170" x14ac:dyDescent="0.35">
      <c r="EW506" s="48"/>
      <c r="FB506" s="5"/>
      <c r="FI506" s="5"/>
      <c r="FJ506" s="164"/>
      <c r="FL506" s="2"/>
      <c r="FN506" s="2"/>
    </row>
    <row r="507" spans="153:170" x14ac:dyDescent="0.35">
      <c r="EW507" s="48"/>
      <c r="FB507" s="5"/>
      <c r="FI507" s="5"/>
      <c r="FJ507" s="164"/>
      <c r="FL507" s="2"/>
      <c r="FN507" s="2"/>
    </row>
    <row r="508" spans="153:170" x14ac:dyDescent="0.35">
      <c r="EW508" s="48"/>
      <c r="FB508" s="5"/>
      <c r="FI508" s="5"/>
      <c r="FJ508" s="164"/>
      <c r="FL508" s="2"/>
      <c r="FN508" s="2"/>
    </row>
    <row r="509" spans="153:170" x14ac:dyDescent="0.35">
      <c r="EW509" s="48"/>
      <c r="FB509" s="5"/>
      <c r="FI509" s="5"/>
      <c r="FJ509" s="164"/>
      <c r="FL509" s="2"/>
      <c r="FN509" s="2"/>
    </row>
    <row r="510" spans="153:170" x14ac:dyDescent="0.35">
      <c r="EW510" s="48"/>
      <c r="FB510" s="5"/>
      <c r="FI510" s="5"/>
      <c r="FJ510" s="164"/>
      <c r="FL510" s="2"/>
      <c r="FN510" s="2"/>
    </row>
    <row r="511" spans="153:170" x14ac:dyDescent="0.35">
      <c r="EW511" s="48"/>
      <c r="FB511" s="5"/>
      <c r="FI511" s="5"/>
      <c r="FJ511" s="164"/>
      <c r="FL511" s="2"/>
      <c r="FN511" s="2"/>
    </row>
    <row r="512" spans="153:170" x14ac:dyDescent="0.35">
      <c r="EW512" s="48"/>
      <c r="FB512" s="5"/>
      <c r="FI512" s="5"/>
      <c r="FJ512" s="164"/>
      <c r="FL512" s="2"/>
      <c r="FN512" s="2"/>
    </row>
    <row r="513" spans="153:170" x14ac:dyDescent="0.35">
      <c r="EW513" s="48"/>
      <c r="FB513" s="5"/>
      <c r="FI513" s="5"/>
      <c r="FJ513" s="164"/>
      <c r="FL513" s="2"/>
      <c r="FN513" s="2"/>
    </row>
    <row r="514" spans="153:170" x14ac:dyDescent="0.35">
      <c r="EW514" s="48"/>
      <c r="FB514" s="5"/>
      <c r="FI514" s="5"/>
      <c r="FJ514" s="164"/>
      <c r="FL514" s="2"/>
      <c r="FN514" s="2"/>
    </row>
    <row r="515" spans="153:170" x14ac:dyDescent="0.35">
      <c r="EW515" s="48"/>
      <c r="FB515" s="5"/>
      <c r="FI515" s="5"/>
      <c r="FJ515" s="164"/>
      <c r="FL515" s="2"/>
      <c r="FN515" s="2"/>
    </row>
    <row r="516" spans="153:170" x14ac:dyDescent="0.35">
      <c r="EW516" s="48"/>
      <c r="FB516" s="5"/>
      <c r="FI516" s="5"/>
      <c r="FJ516" s="164"/>
      <c r="FL516" s="2"/>
      <c r="FN516" s="2"/>
    </row>
    <row r="517" spans="153:170" x14ac:dyDescent="0.35">
      <c r="EW517" s="48"/>
      <c r="FB517" s="5"/>
      <c r="FI517" s="5"/>
      <c r="FJ517" s="164"/>
      <c r="FL517" s="2"/>
      <c r="FN517" s="2"/>
    </row>
    <row r="518" spans="153:170" x14ac:dyDescent="0.35">
      <c r="EW518" s="48"/>
      <c r="FB518" s="5"/>
      <c r="FI518" s="5"/>
      <c r="FJ518" s="164"/>
      <c r="FL518" s="2"/>
      <c r="FN518" s="2"/>
    </row>
    <row r="519" spans="153:170" x14ac:dyDescent="0.35">
      <c r="EW519" s="48"/>
      <c r="FB519" s="5"/>
      <c r="FI519" s="5"/>
      <c r="FJ519" s="164"/>
      <c r="FL519" s="2"/>
      <c r="FN519" s="2"/>
    </row>
    <row r="520" spans="153:170" x14ac:dyDescent="0.35">
      <c r="EW520" s="48"/>
      <c r="FB520" s="5"/>
      <c r="FI520" s="5"/>
      <c r="FJ520" s="164"/>
      <c r="FL520" s="2"/>
      <c r="FN520" s="2"/>
    </row>
    <row r="521" spans="153:170" x14ac:dyDescent="0.35">
      <c r="EW521" s="48"/>
      <c r="FB521" s="5"/>
      <c r="FI521" s="5"/>
      <c r="FJ521" s="164"/>
      <c r="FL521" s="2"/>
      <c r="FN521" s="2"/>
    </row>
    <row r="522" spans="153:170" x14ac:dyDescent="0.35">
      <c r="EW522" s="48"/>
      <c r="FB522" s="5"/>
      <c r="FI522" s="5"/>
      <c r="FJ522" s="164"/>
      <c r="FL522" s="2"/>
      <c r="FN522" s="2"/>
    </row>
    <row r="523" spans="153:170" x14ac:dyDescent="0.35">
      <c r="EW523" s="48"/>
      <c r="FB523" s="5"/>
      <c r="FI523" s="5"/>
      <c r="FJ523" s="164"/>
      <c r="FL523" s="2"/>
      <c r="FN523" s="2"/>
    </row>
    <row r="524" spans="153:170" x14ac:dyDescent="0.35">
      <c r="EW524" s="48"/>
      <c r="FB524" s="5"/>
      <c r="FI524" s="5"/>
      <c r="FJ524" s="164"/>
      <c r="FL524" s="2"/>
      <c r="FN524" s="2"/>
    </row>
    <row r="525" spans="153:170" x14ac:dyDescent="0.35">
      <c r="EW525" s="48"/>
      <c r="FB525" s="5"/>
      <c r="FI525" s="5"/>
      <c r="FJ525" s="164"/>
      <c r="FL525" s="2"/>
      <c r="FN525" s="2"/>
    </row>
    <row r="526" spans="153:170" x14ac:dyDescent="0.35">
      <c r="EW526" s="48"/>
      <c r="FB526" s="5"/>
      <c r="FI526" s="5"/>
      <c r="FJ526" s="164"/>
      <c r="FL526" s="2"/>
      <c r="FN526" s="2"/>
    </row>
    <row r="527" spans="153:170" x14ac:dyDescent="0.35">
      <c r="EW527" s="48"/>
      <c r="FB527" s="5"/>
      <c r="FI527" s="5"/>
      <c r="FJ527" s="164"/>
      <c r="FL527" s="2"/>
      <c r="FN527" s="2"/>
    </row>
    <row r="528" spans="153:170" x14ac:dyDescent="0.35">
      <c r="EW528" s="48"/>
      <c r="FB528" s="5"/>
      <c r="FI528" s="5"/>
      <c r="FJ528" s="164"/>
      <c r="FL528" s="2"/>
      <c r="FN528" s="2"/>
    </row>
    <row r="529" spans="153:170" x14ac:dyDescent="0.35">
      <c r="EW529" s="48"/>
      <c r="FB529" s="5"/>
      <c r="FI529" s="5"/>
      <c r="FJ529" s="164"/>
      <c r="FL529" s="2"/>
      <c r="FN529" s="2"/>
    </row>
    <row r="530" spans="153:170" x14ac:dyDescent="0.35">
      <c r="EW530" s="48"/>
      <c r="FB530" s="5"/>
      <c r="FI530" s="5"/>
      <c r="FJ530" s="164"/>
      <c r="FL530" s="2"/>
      <c r="FN530" s="2"/>
    </row>
    <row r="531" spans="153:170" x14ac:dyDescent="0.35">
      <c r="EW531" s="48"/>
      <c r="FB531" s="5"/>
      <c r="FI531" s="5"/>
      <c r="FJ531" s="164"/>
      <c r="FL531" s="2"/>
      <c r="FN531" s="2"/>
    </row>
    <row r="532" spans="153:170" x14ac:dyDescent="0.35">
      <c r="EW532" s="48"/>
      <c r="FB532" s="5"/>
      <c r="FI532" s="5"/>
      <c r="FJ532" s="164"/>
      <c r="FL532" s="2"/>
      <c r="FN532" s="2"/>
    </row>
    <row r="533" spans="153:170" x14ac:dyDescent="0.35">
      <c r="EW533" s="48"/>
      <c r="FB533" s="5"/>
      <c r="FI533" s="5"/>
      <c r="FJ533" s="164"/>
      <c r="FL533" s="2"/>
      <c r="FN533" s="2"/>
    </row>
    <row r="534" spans="153:170" x14ac:dyDescent="0.35">
      <c r="EW534" s="48"/>
      <c r="FB534" s="5"/>
      <c r="FI534" s="5"/>
      <c r="FJ534" s="164"/>
      <c r="FL534" s="2"/>
      <c r="FN534" s="2"/>
    </row>
    <row r="535" spans="153:170" x14ac:dyDescent="0.35">
      <c r="EW535" s="48"/>
      <c r="FB535" s="5"/>
      <c r="FI535" s="5"/>
      <c r="FJ535" s="164"/>
      <c r="FL535" s="2"/>
      <c r="FN535" s="2"/>
    </row>
    <row r="536" spans="153:170" x14ac:dyDescent="0.35">
      <c r="EW536" s="48"/>
      <c r="FB536" s="5"/>
      <c r="FI536" s="5"/>
      <c r="FJ536" s="164"/>
      <c r="FL536" s="2"/>
      <c r="FN536" s="2"/>
    </row>
    <row r="537" spans="153:170" x14ac:dyDescent="0.35">
      <c r="EW537" s="48"/>
      <c r="FB537" s="5"/>
      <c r="FI537" s="5"/>
      <c r="FJ537" s="164"/>
      <c r="FL537" s="2"/>
      <c r="FN537" s="2"/>
    </row>
    <row r="538" spans="153:170" x14ac:dyDescent="0.35">
      <c r="EW538" s="48"/>
      <c r="FB538" s="5"/>
      <c r="FI538" s="5"/>
      <c r="FJ538" s="164"/>
      <c r="FL538" s="2"/>
      <c r="FN538" s="2"/>
    </row>
    <row r="539" spans="153:170" x14ac:dyDescent="0.35">
      <c r="EW539" s="48"/>
      <c r="FB539" s="5"/>
      <c r="FI539" s="5"/>
      <c r="FJ539" s="164"/>
      <c r="FL539" s="2"/>
      <c r="FN539" s="2"/>
    </row>
    <row r="540" spans="153:170" x14ac:dyDescent="0.35">
      <c r="EW540" s="48"/>
      <c r="FB540" s="5"/>
      <c r="FI540" s="5"/>
      <c r="FJ540" s="164"/>
      <c r="FL540" s="2"/>
      <c r="FN540" s="2"/>
    </row>
    <row r="541" spans="153:170" x14ac:dyDescent="0.35">
      <c r="EW541" s="48"/>
      <c r="FB541" s="5"/>
      <c r="FI541" s="5"/>
      <c r="FJ541" s="164"/>
      <c r="FL541" s="2"/>
      <c r="FN541" s="2"/>
    </row>
    <row r="542" spans="153:170" x14ac:dyDescent="0.35">
      <c r="EW542" s="48"/>
      <c r="FB542" s="5"/>
      <c r="FI542" s="5"/>
      <c r="FJ542" s="164"/>
      <c r="FL542" s="2"/>
      <c r="FN542" s="2"/>
    </row>
    <row r="543" spans="153:170" x14ac:dyDescent="0.35">
      <c r="EW543" s="48"/>
      <c r="FB543" s="5"/>
      <c r="FI543" s="5"/>
      <c r="FJ543" s="164"/>
      <c r="FL543" s="2"/>
      <c r="FN543" s="2"/>
    </row>
    <row r="544" spans="153:170" x14ac:dyDescent="0.35">
      <c r="EW544" s="48"/>
      <c r="FB544" s="5"/>
      <c r="FI544" s="5"/>
      <c r="FJ544" s="164"/>
      <c r="FL544" s="2"/>
      <c r="FN544" s="2"/>
    </row>
    <row r="545" spans="153:170" x14ac:dyDescent="0.35">
      <c r="EW545" s="48"/>
      <c r="FB545" s="5"/>
      <c r="FI545" s="5"/>
      <c r="FJ545" s="164"/>
      <c r="FL545" s="2"/>
      <c r="FN545" s="2"/>
    </row>
    <row r="546" spans="153:170" x14ac:dyDescent="0.35">
      <c r="EW546" s="48"/>
      <c r="FB546" s="5"/>
      <c r="FI546" s="5"/>
      <c r="FJ546" s="164"/>
      <c r="FL546" s="2"/>
      <c r="FN546" s="2"/>
    </row>
    <row r="547" spans="153:170" x14ac:dyDescent="0.35">
      <c r="EW547" s="48"/>
      <c r="FB547" s="5"/>
      <c r="FI547" s="5"/>
      <c r="FJ547" s="164"/>
      <c r="FL547" s="2"/>
      <c r="FN547" s="2"/>
    </row>
    <row r="548" spans="153:170" x14ac:dyDescent="0.35">
      <c r="EW548" s="48"/>
      <c r="FB548" s="5"/>
      <c r="FI548" s="5"/>
      <c r="FJ548" s="164"/>
      <c r="FL548" s="2"/>
      <c r="FN548" s="2"/>
    </row>
    <row r="549" spans="153:170" x14ac:dyDescent="0.35">
      <c r="EW549" s="48"/>
      <c r="FB549" s="5"/>
      <c r="FI549" s="5"/>
      <c r="FJ549" s="164"/>
      <c r="FL549" s="2"/>
      <c r="FN549" s="2"/>
    </row>
    <row r="550" spans="153:170" x14ac:dyDescent="0.35">
      <c r="EW550" s="48"/>
      <c r="FB550" s="5"/>
      <c r="FI550" s="5"/>
      <c r="FJ550" s="164"/>
      <c r="FL550" s="2"/>
      <c r="FN550" s="2"/>
    </row>
    <row r="551" spans="153:170" x14ac:dyDescent="0.35">
      <c r="EW551" s="48"/>
      <c r="FB551" s="5"/>
      <c r="FI551" s="5"/>
      <c r="FJ551" s="164"/>
      <c r="FL551" s="2"/>
      <c r="FN551" s="2"/>
    </row>
    <row r="552" spans="153:170" x14ac:dyDescent="0.35">
      <c r="EW552" s="48"/>
      <c r="FB552" s="5"/>
      <c r="FI552" s="5"/>
      <c r="FJ552" s="164"/>
      <c r="FL552" s="2"/>
      <c r="FN552" s="2"/>
    </row>
    <row r="553" spans="153:170" x14ac:dyDescent="0.35">
      <c r="EW553" s="48"/>
      <c r="FB553" s="5"/>
      <c r="FI553" s="5"/>
      <c r="FJ553" s="164"/>
      <c r="FL553" s="2"/>
      <c r="FN553" s="2"/>
    </row>
    <row r="554" spans="153:170" x14ac:dyDescent="0.35">
      <c r="EW554" s="48"/>
      <c r="FB554" s="5"/>
      <c r="FI554" s="5"/>
      <c r="FJ554" s="164"/>
      <c r="FL554" s="2"/>
      <c r="FN554" s="2"/>
    </row>
    <row r="555" spans="153:170" x14ac:dyDescent="0.35">
      <c r="EW555" s="48"/>
      <c r="FB555" s="5"/>
      <c r="FI555" s="5"/>
      <c r="FJ555" s="164"/>
      <c r="FL555" s="2"/>
      <c r="FN555" s="2"/>
    </row>
    <row r="556" spans="153:170" x14ac:dyDescent="0.35">
      <c r="EW556" s="48"/>
      <c r="FB556" s="5"/>
      <c r="FI556" s="5"/>
      <c r="FJ556" s="164"/>
      <c r="FL556" s="2"/>
      <c r="FN556" s="2"/>
    </row>
    <row r="557" spans="153:170" x14ac:dyDescent="0.35">
      <c r="EW557" s="48"/>
      <c r="FB557" s="5"/>
      <c r="FI557" s="5"/>
      <c r="FJ557" s="164"/>
      <c r="FL557" s="2"/>
      <c r="FN557" s="2"/>
    </row>
    <row r="558" spans="153:170" x14ac:dyDescent="0.35">
      <c r="EW558" s="48"/>
      <c r="FB558" s="5"/>
      <c r="FI558" s="5"/>
      <c r="FJ558" s="164"/>
      <c r="FL558" s="2"/>
      <c r="FN558" s="2"/>
    </row>
    <row r="559" spans="153:170" x14ac:dyDescent="0.35">
      <c r="EW559" s="48"/>
      <c r="FB559" s="5"/>
      <c r="FI559" s="5"/>
      <c r="FJ559" s="164"/>
      <c r="FL559" s="2"/>
      <c r="FN559" s="2"/>
    </row>
    <row r="560" spans="153:170" x14ac:dyDescent="0.35">
      <c r="EW560" s="48"/>
      <c r="FB560" s="5"/>
      <c r="FI560" s="5"/>
      <c r="FJ560" s="164"/>
      <c r="FL560" s="2"/>
      <c r="FN560" s="2"/>
    </row>
    <row r="561" spans="153:170" x14ac:dyDescent="0.35">
      <c r="EW561" s="48"/>
      <c r="FB561" s="5"/>
      <c r="FI561" s="5"/>
      <c r="FJ561" s="164"/>
      <c r="FL561" s="2"/>
      <c r="FN561" s="2"/>
    </row>
    <row r="562" spans="153:170" x14ac:dyDescent="0.35">
      <c r="EW562" s="48"/>
      <c r="FB562" s="5"/>
      <c r="FI562" s="5"/>
      <c r="FJ562" s="164"/>
      <c r="FL562" s="2"/>
      <c r="FN562" s="2"/>
    </row>
    <row r="563" spans="153:170" x14ac:dyDescent="0.35">
      <c r="EW563" s="48"/>
      <c r="FB563" s="5"/>
      <c r="FI563" s="5"/>
      <c r="FJ563" s="164"/>
      <c r="FL563" s="2"/>
      <c r="FN563" s="2"/>
    </row>
    <row r="564" spans="153:170" x14ac:dyDescent="0.35">
      <c r="EW564" s="48"/>
      <c r="FB564" s="5"/>
      <c r="FI564" s="5"/>
      <c r="FJ564" s="164"/>
      <c r="FL564" s="2"/>
      <c r="FN564" s="2"/>
    </row>
    <row r="565" spans="153:170" x14ac:dyDescent="0.35">
      <c r="EW565" s="48"/>
      <c r="FB565" s="5"/>
      <c r="FI565" s="5"/>
      <c r="FJ565" s="164"/>
      <c r="FL565" s="2"/>
      <c r="FN565" s="2"/>
    </row>
    <row r="566" spans="153:170" x14ac:dyDescent="0.35">
      <c r="EW566" s="48"/>
      <c r="FB566" s="5"/>
      <c r="FI566" s="5"/>
      <c r="FJ566" s="164"/>
      <c r="FL566" s="2"/>
      <c r="FN566" s="2"/>
    </row>
    <row r="567" spans="153:170" x14ac:dyDescent="0.35">
      <c r="EW567" s="48"/>
      <c r="FB567" s="5"/>
      <c r="FI567" s="5"/>
      <c r="FJ567" s="164"/>
      <c r="FL567" s="2"/>
      <c r="FN567" s="2"/>
    </row>
    <row r="568" spans="153:170" x14ac:dyDescent="0.35">
      <c r="EW568" s="48"/>
      <c r="FB568" s="5"/>
      <c r="FI568" s="5"/>
      <c r="FJ568" s="164"/>
      <c r="FL568" s="2"/>
      <c r="FN568" s="2"/>
    </row>
    <row r="569" spans="153:170" x14ac:dyDescent="0.35">
      <c r="EW569" s="48"/>
      <c r="FB569" s="5"/>
      <c r="FI569" s="5"/>
      <c r="FJ569" s="164"/>
      <c r="FL569" s="2"/>
      <c r="FN569" s="2"/>
    </row>
    <row r="570" spans="153:170" x14ac:dyDescent="0.35">
      <c r="EW570" s="48"/>
      <c r="FB570" s="5"/>
      <c r="FI570" s="5"/>
      <c r="FJ570" s="164"/>
      <c r="FL570" s="2"/>
      <c r="FN570" s="2"/>
    </row>
    <row r="571" spans="153:170" x14ac:dyDescent="0.35">
      <c r="EW571" s="48"/>
      <c r="FB571" s="5"/>
      <c r="FI571" s="5"/>
      <c r="FJ571" s="164"/>
      <c r="FL571" s="2"/>
      <c r="FN571" s="2"/>
    </row>
    <row r="572" spans="153:170" x14ac:dyDescent="0.35">
      <c r="EW572" s="48"/>
      <c r="FB572" s="5"/>
      <c r="FI572" s="5"/>
      <c r="FJ572" s="164"/>
      <c r="FL572" s="2"/>
      <c r="FN572" s="2"/>
    </row>
    <row r="573" spans="153:170" x14ac:dyDescent="0.35">
      <c r="EW573" s="48"/>
      <c r="FB573" s="5"/>
      <c r="FI573" s="5"/>
      <c r="FJ573" s="164"/>
      <c r="FL573" s="2"/>
      <c r="FN573" s="2"/>
    </row>
    <row r="574" spans="153:170" x14ac:dyDescent="0.35">
      <c r="EW574" s="48"/>
      <c r="FB574" s="5"/>
      <c r="FI574" s="5"/>
      <c r="FJ574" s="164"/>
      <c r="FL574" s="2"/>
      <c r="FN574" s="2"/>
    </row>
    <row r="575" spans="153:170" x14ac:dyDescent="0.35">
      <c r="EW575" s="48"/>
      <c r="FB575" s="5"/>
      <c r="FI575" s="5"/>
      <c r="FJ575" s="164"/>
      <c r="FL575" s="2"/>
      <c r="FN575" s="2"/>
    </row>
    <row r="576" spans="153:170" x14ac:dyDescent="0.35">
      <c r="EW576" s="48"/>
      <c r="FB576" s="5"/>
      <c r="FI576" s="5"/>
      <c r="FJ576" s="164"/>
      <c r="FL576" s="2"/>
      <c r="FN576" s="2"/>
    </row>
    <row r="577" spans="153:170" x14ac:dyDescent="0.35">
      <c r="EW577" s="48"/>
      <c r="FB577" s="5"/>
      <c r="FI577" s="5"/>
      <c r="FJ577" s="164"/>
      <c r="FL577" s="2"/>
      <c r="FN577" s="2"/>
    </row>
    <row r="578" spans="153:170" x14ac:dyDescent="0.35">
      <c r="EW578" s="48"/>
      <c r="FB578" s="5"/>
      <c r="FI578" s="5"/>
      <c r="FJ578" s="164"/>
      <c r="FL578" s="2"/>
      <c r="FN578" s="2"/>
    </row>
    <row r="579" spans="153:170" x14ac:dyDescent="0.35">
      <c r="EW579" s="48"/>
      <c r="FB579" s="5"/>
      <c r="FI579" s="5"/>
      <c r="FJ579" s="164"/>
      <c r="FL579" s="2"/>
      <c r="FN579" s="2"/>
    </row>
    <row r="580" spans="153:170" x14ac:dyDescent="0.35">
      <c r="EW580" s="48"/>
      <c r="FB580" s="5"/>
      <c r="FI580" s="5"/>
      <c r="FJ580" s="164"/>
      <c r="FL580" s="2"/>
      <c r="FN580" s="2"/>
    </row>
    <row r="581" spans="153:170" x14ac:dyDescent="0.35">
      <c r="EW581" s="48"/>
      <c r="FB581" s="5"/>
      <c r="FI581" s="5"/>
      <c r="FJ581" s="164"/>
      <c r="FL581" s="2"/>
      <c r="FN581" s="2"/>
    </row>
    <row r="582" spans="153:170" x14ac:dyDescent="0.35">
      <c r="EW582" s="48"/>
      <c r="FB582" s="5"/>
      <c r="FI582" s="5"/>
      <c r="FJ582" s="164"/>
      <c r="FL582" s="2"/>
      <c r="FN582" s="2"/>
    </row>
    <row r="583" spans="153:170" x14ac:dyDescent="0.35">
      <c r="EW583" s="48"/>
      <c r="FB583" s="5"/>
      <c r="FI583" s="5"/>
      <c r="FJ583" s="164"/>
      <c r="FL583" s="2"/>
      <c r="FN583" s="2"/>
    </row>
    <row r="584" spans="153:170" x14ac:dyDescent="0.35">
      <c r="EW584" s="48"/>
      <c r="FB584" s="5"/>
      <c r="FI584" s="5"/>
      <c r="FJ584" s="164"/>
      <c r="FL584" s="2"/>
      <c r="FN584" s="2"/>
    </row>
    <row r="585" spans="153:170" x14ac:dyDescent="0.35">
      <c r="EW585" s="48"/>
      <c r="FB585" s="5"/>
      <c r="FI585" s="5"/>
      <c r="FJ585" s="164"/>
      <c r="FL585" s="2"/>
      <c r="FN585" s="2"/>
    </row>
    <row r="586" spans="153:170" x14ac:dyDescent="0.35">
      <c r="EW586" s="48"/>
      <c r="FB586" s="5"/>
      <c r="FI586" s="5"/>
      <c r="FJ586" s="164"/>
      <c r="FL586" s="2"/>
      <c r="FN586" s="2"/>
    </row>
    <row r="587" spans="153:170" x14ac:dyDescent="0.35">
      <c r="EW587" s="48"/>
      <c r="FB587" s="5"/>
      <c r="FI587" s="5"/>
      <c r="FJ587" s="164"/>
      <c r="FL587" s="2"/>
      <c r="FN587" s="2"/>
    </row>
    <row r="588" spans="153:170" x14ac:dyDescent="0.35">
      <c r="EW588" s="48"/>
      <c r="FB588" s="5"/>
      <c r="FI588" s="5"/>
      <c r="FJ588" s="164"/>
      <c r="FL588" s="2"/>
      <c r="FN588" s="2"/>
    </row>
    <row r="589" spans="153:170" x14ac:dyDescent="0.35">
      <c r="EW589" s="48"/>
      <c r="FB589" s="5"/>
      <c r="FI589" s="5"/>
      <c r="FJ589" s="164"/>
      <c r="FL589" s="2"/>
      <c r="FN589" s="2"/>
    </row>
    <row r="590" spans="153:170" x14ac:dyDescent="0.35">
      <c r="EW590" s="48"/>
      <c r="FB590" s="5"/>
      <c r="FI590" s="5"/>
      <c r="FJ590" s="164"/>
      <c r="FL590" s="2"/>
      <c r="FN590" s="2"/>
    </row>
    <row r="591" spans="153:170" x14ac:dyDescent="0.35">
      <c r="EW591" s="48"/>
      <c r="FB591" s="5"/>
      <c r="FI591" s="5"/>
      <c r="FJ591" s="164"/>
      <c r="FL591" s="2"/>
      <c r="FN591" s="2"/>
    </row>
    <row r="592" spans="153:170" x14ac:dyDescent="0.35">
      <c r="EW592" s="48"/>
      <c r="FB592" s="5"/>
      <c r="FI592" s="5"/>
      <c r="FJ592" s="164"/>
      <c r="FL592" s="2"/>
      <c r="FN592" s="2"/>
    </row>
    <row r="593" spans="153:170" x14ac:dyDescent="0.35">
      <c r="EW593" s="48"/>
      <c r="FB593" s="5"/>
      <c r="FI593" s="5"/>
      <c r="FJ593" s="164"/>
      <c r="FL593" s="2"/>
      <c r="FN593" s="2"/>
    </row>
    <row r="594" spans="153:170" x14ac:dyDescent="0.35">
      <c r="EW594" s="48"/>
      <c r="FB594" s="5"/>
      <c r="FI594" s="5"/>
      <c r="FJ594" s="164"/>
      <c r="FL594" s="2"/>
      <c r="FN594" s="2"/>
    </row>
    <row r="595" spans="153:170" x14ac:dyDescent="0.35">
      <c r="EW595" s="48"/>
      <c r="FB595" s="5"/>
      <c r="FI595" s="5"/>
      <c r="FJ595" s="164"/>
      <c r="FL595" s="2"/>
      <c r="FN595" s="2"/>
    </row>
    <row r="596" spans="153:170" x14ac:dyDescent="0.35">
      <c r="EW596" s="48"/>
      <c r="FB596" s="5"/>
      <c r="FI596" s="5"/>
      <c r="FJ596" s="164"/>
      <c r="FL596" s="2"/>
      <c r="FN596" s="2"/>
    </row>
    <row r="597" spans="153:170" x14ac:dyDescent="0.35">
      <c r="EW597" s="48"/>
      <c r="FB597" s="5"/>
      <c r="FI597" s="5"/>
      <c r="FJ597" s="164"/>
      <c r="FL597" s="2"/>
      <c r="FN597" s="2"/>
    </row>
    <row r="598" spans="153:170" x14ac:dyDescent="0.35">
      <c r="EW598" s="48"/>
      <c r="FB598" s="5"/>
      <c r="FI598" s="5"/>
      <c r="FJ598" s="164"/>
      <c r="FL598" s="2"/>
      <c r="FN598" s="2"/>
    </row>
    <row r="599" spans="153:170" x14ac:dyDescent="0.35">
      <c r="EW599" s="48"/>
      <c r="FB599" s="5"/>
      <c r="FI599" s="5"/>
      <c r="FJ599" s="164"/>
      <c r="FL599" s="2"/>
      <c r="FN599" s="2"/>
    </row>
    <row r="600" spans="153:170" x14ac:dyDescent="0.35">
      <c r="EW600" s="48"/>
      <c r="FB600" s="5"/>
      <c r="FI600" s="5"/>
      <c r="FJ600" s="164"/>
      <c r="FL600" s="2"/>
      <c r="FN600" s="2"/>
    </row>
    <row r="601" spans="153:170" x14ac:dyDescent="0.35">
      <c r="EW601" s="48"/>
      <c r="FB601" s="5"/>
      <c r="FI601" s="5"/>
      <c r="FJ601" s="164"/>
      <c r="FL601" s="2"/>
      <c r="FN601" s="2"/>
    </row>
    <row r="602" spans="153:170" x14ac:dyDescent="0.35">
      <c r="EW602" s="48"/>
      <c r="FB602" s="5"/>
      <c r="FI602" s="5"/>
      <c r="FJ602" s="164"/>
      <c r="FL602" s="2"/>
      <c r="FN602" s="2"/>
    </row>
    <row r="603" spans="153:170" x14ac:dyDescent="0.35">
      <c r="EW603" s="48"/>
      <c r="FB603" s="5"/>
      <c r="FI603" s="5"/>
      <c r="FJ603" s="164"/>
      <c r="FL603" s="2"/>
      <c r="FN603" s="2"/>
    </row>
    <row r="604" spans="153:170" x14ac:dyDescent="0.35">
      <c r="EW604" s="48"/>
      <c r="FB604" s="5"/>
      <c r="FI604" s="5"/>
      <c r="FJ604" s="164"/>
      <c r="FL604" s="2"/>
      <c r="FN604" s="2"/>
    </row>
    <row r="605" spans="153:170" x14ac:dyDescent="0.35">
      <c r="EW605" s="48"/>
      <c r="FB605" s="5"/>
      <c r="FI605" s="5"/>
      <c r="FJ605" s="164"/>
      <c r="FL605" s="2"/>
      <c r="FN605" s="2"/>
    </row>
    <row r="606" spans="153:170" x14ac:dyDescent="0.35">
      <c r="EW606" s="48"/>
      <c r="FB606" s="5"/>
      <c r="FI606" s="5"/>
      <c r="FJ606" s="164"/>
      <c r="FL606" s="2"/>
      <c r="FN606" s="2"/>
    </row>
    <row r="607" spans="153:170" x14ac:dyDescent="0.35">
      <c r="EW607" s="48"/>
      <c r="FB607" s="5"/>
      <c r="FI607" s="5"/>
      <c r="FJ607" s="164"/>
      <c r="FL607" s="2"/>
      <c r="FN607" s="2"/>
    </row>
    <row r="608" spans="153:170" x14ac:dyDescent="0.35">
      <c r="EW608" s="48"/>
      <c r="FB608" s="5"/>
      <c r="FI608" s="5"/>
      <c r="FJ608" s="164"/>
      <c r="FL608" s="2"/>
      <c r="FN608" s="2"/>
    </row>
    <row r="609" spans="153:170" x14ac:dyDescent="0.35">
      <c r="EW609" s="48"/>
      <c r="FB609" s="5"/>
      <c r="FI609" s="5"/>
      <c r="FJ609" s="164"/>
      <c r="FL609" s="2"/>
      <c r="FN609" s="2"/>
    </row>
    <row r="610" spans="153:170" x14ac:dyDescent="0.35">
      <c r="EW610" s="48"/>
      <c r="FB610" s="5"/>
      <c r="FI610" s="5"/>
      <c r="FJ610" s="164"/>
      <c r="FL610" s="2"/>
      <c r="FN610" s="2"/>
    </row>
    <row r="611" spans="153:170" x14ac:dyDescent="0.35">
      <c r="EW611" s="48"/>
      <c r="FB611" s="5"/>
      <c r="FI611" s="5"/>
      <c r="FJ611" s="164"/>
      <c r="FL611" s="2"/>
      <c r="FN611" s="2"/>
    </row>
    <row r="612" spans="153:170" x14ac:dyDescent="0.35">
      <c r="EW612" s="48"/>
      <c r="FB612" s="5"/>
      <c r="FI612" s="5"/>
      <c r="FJ612" s="164"/>
      <c r="FL612" s="2"/>
      <c r="FN612" s="2"/>
    </row>
    <row r="613" spans="153:170" x14ac:dyDescent="0.35">
      <c r="EW613" s="48"/>
      <c r="FB613" s="5"/>
      <c r="FI613" s="5"/>
      <c r="FJ613" s="164"/>
      <c r="FL613" s="2"/>
      <c r="FN613" s="2"/>
    </row>
    <row r="614" spans="153:170" x14ac:dyDescent="0.35">
      <c r="EW614" s="48"/>
      <c r="FB614" s="5"/>
      <c r="FI614" s="5"/>
      <c r="FJ614" s="164"/>
      <c r="FL614" s="2"/>
      <c r="FN614" s="2"/>
    </row>
    <row r="615" spans="153:170" x14ac:dyDescent="0.35">
      <c r="EW615" s="48"/>
      <c r="FB615" s="5"/>
      <c r="FI615" s="5"/>
      <c r="FJ615" s="164"/>
      <c r="FL615" s="2"/>
      <c r="FN615" s="2"/>
    </row>
    <row r="616" spans="153:170" x14ac:dyDescent="0.35">
      <c r="EW616" s="48"/>
      <c r="FB616" s="5"/>
      <c r="FI616" s="5"/>
      <c r="FJ616" s="164"/>
      <c r="FL616" s="2"/>
      <c r="FN616" s="2"/>
    </row>
    <row r="617" spans="153:170" x14ac:dyDescent="0.35">
      <c r="EW617" s="48"/>
      <c r="FB617" s="5"/>
      <c r="FI617" s="5"/>
      <c r="FJ617" s="164"/>
      <c r="FL617" s="2"/>
      <c r="FN617" s="2"/>
    </row>
    <row r="618" spans="153:170" x14ac:dyDescent="0.35">
      <c r="EW618" s="48"/>
      <c r="FB618" s="5"/>
      <c r="FI618" s="5"/>
      <c r="FJ618" s="164"/>
      <c r="FL618" s="2"/>
      <c r="FN618" s="2"/>
    </row>
    <row r="619" spans="153:170" x14ac:dyDescent="0.35">
      <c r="EW619" s="48"/>
      <c r="FB619" s="5"/>
      <c r="FI619" s="5"/>
      <c r="FJ619" s="164"/>
      <c r="FL619" s="2"/>
      <c r="FN619" s="2"/>
    </row>
    <row r="620" spans="153:170" x14ac:dyDescent="0.35">
      <c r="EW620" s="48"/>
      <c r="FB620" s="5"/>
      <c r="FI620" s="5"/>
      <c r="FJ620" s="164"/>
      <c r="FL620" s="2"/>
      <c r="FN620" s="2"/>
    </row>
    <row r="621" spans="153:170" x14ac:dyDescent="0.35">
      <c r="EW621" s="48"/>
      <c r="FB621" s="5"/>
      <c r="FI621" s="5"/>
      <c r="FJ621" s="164"/>
      <c r="FL621" s="2"/>
      <c r="FN621" s="2"/>
    </row>
    <row r="622" spans="153:170" x14ac:dyDescent="0.35">
      <c r="EW622" s="48"/>
      <c r="FB622" s="5"/>
      <c r="FI622" s="5"/>
      <c r="FJ622" s="164"/>
      <c r="FL622" s="2"/>
      <c r="FN622" s="2"/>
    </row>
    <row r="623" spans="153:170" x14ac:dyDescent="0.35">
      <c r="EW623" s="48"/>
      <c r="FB623" s="5"/>
      <c r="FI623" s="5"/>
      <c r="FJ623" s="164"/>
      <c r="FL623" s="2"/>
      <c r="FN623" s="2"/>
    </row>
    <row r="624" spans="153:170" x14ac:dyDescent="0.35">
      <c r="EW624" s="48"/>
      <c r="FB624" s="5"/>
      <c r="FI624" s="5"/>
      <c r="FJ624" s="164"/>
      <c r="FL624" s="2"/>
      <c r="FN624" s="2"/>
    </row>
    <row r="625" spans="153:170" x14ac:dyDescent="0.35">
      <c r="EW625" s="48"/>
      <c r="FB625" s="5"/>
      <c r="FI625" s="5"/>
      <c r="FJ625" s="164"/>
      <c r="FL625" s="2"/>
      <c r="FN625" s="2"/>
    </row>
    <row r="626" spans="153:170" x14ac:dyDescent="0.35">
      <c r="EW626" s="48"/>
      <c r="FB626" s="5"/>
      <c r="FI626" s="5"/>
      <c r="FJ626" s="164"/>
      <c r="FL626" s="2"/>
      <c r="FN626" s="2"/>
    </row>
    <row r="627" spans="153:170" x14ac:dyDescent="0.35">
      <c r="EW627" s="48"/>
      <c r="FB627" s="5"/>
      <c r="FI627" s="5"/>
      <c r="FJ627" s="164"/>
      <c r="FL627" s="2"/>
      <c r="FN627" s="2"/>
    </row>
    <row r="628" spans="153:170" x14ac:dyDescent="0.35">
      <c r="EW628" s="48"/>
      <c r="FB628" s="5"/>
      <c r="FI628" s="5"/>
      <c r="FJ628" s="164"/>
      <c r="FL628" s="2"/>
      <c r="FN628" s="2"/>
    </row>
    <row r="629" spans="153:170" x14ac:dyDescent="0.35">
      <c r="EW629" s="48"/>
      <c r="FB629" s="5"/>
      <c r="FI629" s="5"/>
      <c r="FJ629" s="164"/>
      <c r="FL629" s="2"/>
      <c r="FN629" s="2"/>
    </row>
    <row r="630" spans="153:170" x14ac:dyDescent="0.35">
      <c r="EW630" s="48"/>
      <c r="FB630" s="5"/>
      <c r="FI630" s="5"/>
      <c r="FJ630" s="164"/>
      <c r="FL630" s="2"/>
      <c r="FN630" s="2"/>
    </row>
    <row r="631" spans="153:170" x14ac:dyDescent="0.35">
      <c r="EW631" s="48"/>
      <c r="FB631" s="5"/>
      <c r="FI631" s="5"/>
      <c r="FJ631" s="164"/>
      <c r="FL631" s="2"/>
      <c r="FN631" s="2"/>
    </row>
    <row r="632" spans="153:170" x14ac:dyDescent="0.35">
      <c r="EW632" s="48"/>
      <c r="FB632" s="5"/>
      <c r="FI632" s="5"/>
      <c r="FJ632" s="164"/>
      <c r="FL632" s="2"/>
      <c r="FN632" s="2"/>
    </row>
    <row r="633" spans="153:170" x14ac:dyDescent="0.35">
      <c r="EW633" s="48"/>
      <c r="FB633" s="5"/>
      <c r="FI633" s="5"/>
      <c r="FJ633" s="164"/>
      <c r="FL633" s="2"/>
      <c r="FN633" s="2"/>
    </row>
    <row r="634" spans="153:170" x14ac:dyDescent="0.35">
      <c r="EW634" s="48"/>
      <c r="FB634" s="5"/>
      <c r="FI634" s="5"/>
      <c r="FJ634" s="164"/>
      <c r="FL634" s="2"/>
      <c r="FN634" s="2"/>
    </row>
    <row r="635" spans="153:170" x14ac:dyDescent="0.35">
      <c r="EW635" s="48"/>
      <c r="FB635" s="5"/>
      <c r="FI635" s="5"/>
      <c r="FJ635" s="164"/>
      <c r="FL635" s="2"/>
      <c r="FN635" s="2"/>
    </row>
    <row r="636" spans="153:170" x14ac:dyDescent="0.35">
      <c r="EW636" s="48"/>
      <c r="FB636" s="5"/>
      <c r="FI636" s="5"/>
      <c r="FJ636" s="164"/>
      <c r="FL636" s="2"/>
      <c r="FN636" s="2"/>
    </row>
    <row r="637" spans="153:170" x14ac:dyDescent="0.35">
      <c r="EW637" s="48"/>
      <c r="FB637" s="5"/>
      <c r="FI637" s="5"/>
      <c r="FJ637" s="164"/>
      <c r="FL637" s="2"/>
      <c r="FN637" s="2"/>
    </row>
    <row r="638" spans="153:170" x14ac:dyDescent="0.35">
      <c r="EW638" s="48"/>
      <c r="FB638" s="5"/>
      <c r="FI638" s="5"/>
      <c r="FJ638" s="164"/>
      <c r="FL638" s="2"/>
      <c r="FN638" s="2"/>
    </row>
    <row r="639" spans="153:170" x14ac:dyDescent="0.35">
      <c r="EW639" s="48"/>
      <c r="FB639" s="5"/>
      <c r="FI639" s="5"/>
      <c r="FJ639" s="164"/>
      <c r="FL639" s="2"/>
      <c r="FN639" s="2"/>
    </row>
    <row r="640" spans="153:170" x14ac:dyDescent="0.35">
      <c r="EW640" s="48"/>
      <c r="FB640" s="5"/>
      <c r="FI640" s="5"/>
      <c r="FJ640" s="164"/>
      <c r="FL640" s="2"/>
      <c r="FN640" s="2"/>
    </row>
    <row r="641" spans="153:170" x14ac:dyDescent="0.35">
      <c r="EW641" s="48"/>
      <c r="FB641" s="5"/>
      <c r="FI641" s="5"/>
      <c r="FJ641" s="164"/>
      <c r="FL641" s="2"/>
      <c r="FN641" s="2"/>
    </row>
    <row r="642" spans="153:170" x14ac:dyDescent="0.35">
      <c r="EW642" s="48"/>
      <c r="FB642" s="5"/>
      <c r="FI642" s="5"/>
      <c r="FJ642" s="164"/>
      <c r="FL642" s="2"/>
      <c r="FN642" s="2"/>
    </row>
    <row r="643" spans="153:170" x14ac:dyDescent="0.35">
      <c r="EW643" s="48"/>
      <c r="FB643" s="5"/>
      <c r="FI643" s="5"/>
      <c r="FJ643" s="164"/>
      <c r="FL643" s="2"/>
      <c r="FN643" s="2"/>
    </row>
    <row r="644" spans="153:170" x14ac:dyDescent="0.35">
      <c r="EW644" s="48"/>
      <c r="FB644" s="5"/>
      <c r="FI644" s="5"/>
      <c r="FJ644" s="164"/>
      <c r="FL644" s="2"/>
      <c r="FN644" s="2"/>
    </row>
    <row r="645" spans="153:170" x14ac:dyDescent="0.35">
      <c r="EW645" s="48"/>
      <c r="FB645" s="5"/>
      <c r="FI645" s="5"/>
      <c r="FJ645" s="164"/>
      <c r="FL645" s="2"/>
      <c r="FN645" s="2"/>
    </row>
    <row r="646" spans="153:170" x14ac:dyDescent="0.35">
      <c r="EW646" s="48"/>
      <c r="FB646" s="5"/>
      <c r="FI646" s="5"/>
      <c r="FJ646" s="164"/>
      <c r="FL646" s="2"/>
      <c r="FN646" s="2"/>
    </row>
    <row r="647" spans="153:170" x14ac:dyDescent="0.35">
      <c r="EW647" s="48"/>
      <c r="FB647" s="5"/>
      <c r="FI647" s="5"/>
      <c r="FJ647" s="164"/>
      <c r="FL647" s="2"/>
      <c r="FN647" s="2"/>
    </row>
    <row r="648" spans="153:170" x14ac:dyDescent="0.35">
      <c r="EW648" s="48"/>
      <c r="FB648" s="5"/>
      <c r="FI648" s="5"/>
      <c r="FJ648" s="164"/>
      <c r="FL648" s="2"/>
      <c r="FN648" s="2"/>
    </row>
    <row r="649" spans="153:170" x14ac:dyDescent="0.35">
      <c r="EW649" s="48"/>
      <c r="FB649" s="5"/>
      <c r="FI649" s="5"/>
      <c r="FJ649" s="164"/>
      <c r="FL649" s="2"/>
      <c r="FN649" s="2"/>
    </row>
    <row r="650" spans="153:170" x14ac:dyDescent="0.35">
      <c r="EW650" s="48"/>
      <c r="FB650" s="5"/>
      <c r="FI650" s="5"/>
      <c r="FJ650" s="164"/>
      <c r="FL650" s="2"/>
      <c r="FN650" s="2"/>
    </row>
    <row r="651" spans="153:170" x14ac:dyDescent="0.35">
      <c r="EW651" s="48"/>
      <c r="FB651" s="5"/>
      <c r="FI651" s="5"/>
      <c r="FJ651" s="164"/>
      <c r="FL651" s="2"/>
      <c r="FN651" s="2"/>
    </row>
    <row r="652" spans="153:170" x14ac:dyDescent="0.35">
      <c r="EW652" s="48"/>
      <c r="FB652" s="5"/>
      <c r="FI652" s="5"/>
      <c r="FJ652" s="164"/>
      <c r="FL652" s="2"/>
      <c r="FN652" s="2"/>
    </row>
    <row r="653" spans="153:170" x14ac:dyDescent="0.35">
      <c r="EW653" s="48"/>
      <c r="FB653" s="5"/>
      <c r="FI653" s="5"/>
      <c r="FJ653" s="164"/>
      <c r="FL653" s="2"/>
      <c r="FN653" s="2"/>
    </row>
    <row r="654" spans="153:170" x14ac:dyDescent="0.35">
      <c r="EW654" s="48"/>
      <c r="FB654" s="5"/>
      <c r="FI654" s="5"/>
      <c r="FJ654" s="164"/>
      <c r="FL654" s="2"/>
      <c r="FN654" s="2"/>
    </row>
    <row r="655" spans="153:170" x14ac:dyDescent="0.35">
      <c r="EW655" s="48"/>
      <c r="FB655" s="5"/>
      <c r="FI655" s="5"/>
      <c r="FJ655" s="164"/>
      <c r="FL655" s="2"/>
      <c r="FN655" s="2"/>
    </row>
    <row r="656" spans="153:170" x14ac:dyDescent="0.35">
      <c r="EW656" s="48"/>
      <c r="FB656" s="5"/>
      <c r="FI656" s="5"/>
      <c r="FJ656" s="164"/>
      <c r="FL656" s="2"/>
      <c r="FN656" s="2"/>
    </row>
    <row r="657" spans="153:170" x14ac:dyDescent="0.35">
      <c r="EW657" s="48"/>
      <c r="FB657" s="5"/>
      <c r="FI657" s="5"/>
      <c r="FJ657" s="164"/>
      <c r="FL657" s="2"/>
      <c r="FN657" s="2"/>
    </row>
    <row r="658" spans="153:170" x14ac:dyDescent="0.35">
      <c r="EW658" s="48"/>
      <c r="FB658" s="5"/>
      <c r="FI658" s="5"/>
      <c r="FJ658" s="164"/>
      <c r="FL658" s="2"/>
      <c r="FN658" s="2"/>
    </row>
    <row r="659" spans="153:170" x14ac:dyDescent="0.35">
      <c r="EW659" s="48"/>
      <c r="FB659" s="5"/>
      <c r="FI659" s="5"/>
      <c r="FJ659" s="164"/>
      <c r="FL659" s="2"/>
      <c r="FN659" s="2"/>
    </row>
    <row r="660" spans="153:170" x14ac:dyDescent="0.35">
      <c r="EW660" s="48"/>
      <c r="FB660" s="5"/>
      <c r="FI660" s="5"/>
      <c r="FJ660" s="164"/>
      <c r="FL660" s="2"/>
      <c r="FN660" s="2"/>
    </row>
    <row r="661" spans="153:170" x14ac:dyDescent="0.35">
      <c r="EW661" s="48"/>
      <c r="FB661" s="5"/>
      <c r="FI661" s="5"/>
      <c r="FJ661" s="164"/>
      <c r="FL661" s="2"/>
      <c r="FN661" s="2"/>
    </row>
    <row r="662" spans="153:170" x14ac:dyDescent="0.35">
      <c r="EW662" s="48"/>
      <c r="FB662" s="5"/>
      <c r="FI662" s="5"/>
      <c r="FJ662" s="164"/>
      <c r="FL662" s="2"/>
      <c r="FN662" s="2"/>
    </row>
    <row r="663" spans="153:170" x14ac:dyDescent="0.35">
      <c r="EW663" s="48"/>
      <c r="FB663" s="5"/>
      <c r="FI663" s="5"/>
      <c r="FJ663" s="164"/>
      <c r="FL663" s="2"/>
      <c r="FN663" s="2"/>
    </row>
    <row r="664" spans="153:170" x14ac:dyDescent="0.35">
      <c r="EW664" s="48"/>
      <c r="FB664" s="5"/>
      <c r="FI664" s="5"/>
      <c r="FJ664" s="164"/>
      <c r="FL664" s="2"/>
      <c r="FN664" s="2"/>
    </row>
    <row r="665" spans="153:170" x14ac:dyDescent="0.35">
      <c r="EW665" s="48"/>
      <c r="FB665" s="5"/>
      <c r="FI665" s="5"/>
      <c r="FJ665" s="164"/>
      <c r="FL665" s="2"/>
      <c r="FN665" s="2"/>
    </row>
    <row r="666" spans="153:170" x14ac:dyDescent="0.35">
      <c r="EW666" s="48"/>
      <c r="FB666" s="5"/>
      <c r="FI666" s="5"/>
      <c r="FJ666" s="164"/>
      <c r="FL666" s="2"/>
      <c r="FN666" s="2"/>
    </row>
    <row r="667" spans="153:170" x14ac:dyDescent="0.35">
      <c r="EW667" s="48"/>
      <c r="FB667" s="5"/>
      <c r="FI667" s="5"/>
      <c r="FJ667" s="164"/>
      <c r="FL667" s="2"/>
      <c r="FN667" s="2"/>
    </row>
    <row r="668" spans="153:170" x14ac:dyDescent="0.35">
      <c r="EW668" s="48"/>
      <c r="FB668" s="5"/>
      <c r="FI668" s="5"/>
      <c r="FJ668" s="164"/>
      <c r="FL668" s="2"/>
      <c r="FN668" s="2"/>
    </row>
    <row r="669" spans="153:170" x14ac:dyDescent="0.35">
      <c r="EW669" s="48"/>
      <c r="FB669" s="5"/>
      <c r="FI669" s="5"/>
      <c r="FJ669" s="164"/>
      <c r="FL669" s="2"/>
      <c r="FN669" s="2"/>
    </row>
    <row r="670" spans="153:170" x14ac:dyDescent="0.35">
      <c r="EW670" s="48"/>
      <c r="FB670" s="5"/>
      <c r="FI670" s="5"/>
      <c r="FJ670" s="164"/>
      <c r="FL670" s="2"/>
      <c r="FN670" s="2"/>
    </row>
    <row r="671" spans="153:170" x14ac:dyDescent="0.35">
      <c r="EW671" s="48"/>
      <c r="FB671" s="5"/>
      <c r="FI671" s="5"/>
      <c r="FJ671" s="164"/>
      <c r="FL671" s="2"/>
      <c r="FN671" s="2"/>
    </row>
    <row r="672" spans="153:170" x14ac:dyDescent="0.35">
      <c r="EW672" s="48"/>
      <c r="FB672" s="5"/>
      <c r="FI672" s="5"/>
      <c r="FJ672" s="164"/>
      <c r="FL672" s="2"/>
      <c r="FN672" s="2"/>
    </row>
    <row r="673" spans="153:170" x14ac:dyDescent="0.35">
      <c r="EW673" s="48"/>
      <c r="FB673" s="5"/>
      <c r="FI673" s="5"/>
      <c r="FJ673" s="164"/>
      <c r="FL673" s="2"/>
      <c r="FN673" s="2"/>
    </row>
    <row r="674" spans="153:170" x14ac:dyDescent="0.35">
      <c r="EW674" s="48"/>
      <c r="FB674" s="5"/>
      <c r="FI674" s="5"/>
      <c r="FJ674" s="164"/>
      <c r="FL674" s="2"/>
      <c r="FN674" s="2"/>
    </row>
    <row r="675" spans="153:170" x14ac:dyDescent="0.35">
      <c r="EW675" s="48"/>
      <c r="FB675" s="5"/>
      <c r="FI675" s="5"/>
      <c r="FJ675" s="164"/>
      <c r="FL675" s="2"/>
      <c r="FN675" s="2"/>
    </row>
    <row r="676" spans="153:170" x14ac:dyDescent="0.35">
      <c r="EW676" s="48"/>
      <c r="FB676" s="5"/>
      <c r="FI676" s="5"/>
      <c r="FJ676" s="164"/>
      <c r="FL676" s="2"/>
      <c r="FN676" s="2"/>
    </row>
    <row r="677" spans="153:170" x14ac:dyDescent="0.35">
      <c r="EW677" s="48"/>
      <c r="FB677" s="5"/>
      <c r="FI677" s="5"/>
      <c r="FJ677" s="164"/>
      <c r="FL677" s="2"/>
      <c r="FN677" s="2"/>
    </row>
    <row r="678" spans="153:170" x14ac:dyDescent="0.35">
      <c r="EW678" s="48"/>
      <c r="FB678" s="5"/>
      <c r="FI678" s="5"/>
      <c r="FJ678" s="164"/>
      <c r="FL678" s="2"/>
      <c r="FN678" s="2"/>
    </row>
    <row r="679" spans="153:170" x14ac:dyDescent="0.35">
      <c r="EW679" s="48"/>
      <c r="FB679" s="5"/>
      <c r="FI679" s="5"/>
      <c r="FJ679" s="164"/>
      <c r="FL679" s="2"/>
      <c r="FN679" s="2"/>
    </row>
    <row r="680" spans="153:170" x14ac:dyDescent="0.35">
      <c r="EW680" s="48"/>
      <c r="FB680" s="5"/>
      <c r="FI680" s="5"/>
      <c r="FJ680" s="164"/>
      <c r="FL680" s="2"/>
      <c r="FN680" s="2"/>
    </row>
    <row r="681" spans="153:170" x14ac:dyDescent="0.35">
      <c r="EW681" s="48"/>
      <c r="FB681" s="5"/>
      <c r="FI681" s="5"/>
      <c r="FJ681" s="164"/>
      <c r="FL681" s="2"/>
      <c r="FN681" s="2"/>
    </row>
    <row r="682" spans="153:170" x14ac:dyDescent="0.35">
      <c r="EW682" s="48"/>
      <c r="FB682" s="5"/>
      <c r="FI682" s="5"/>
      <c r="FJ682" s="164"/>
      <c r="FL682" s="2"/>
      <c r="FN682" s="2"/>
    </row>
    <row r="683" spans="153:170" x14ac:dyDescent="0.35">
      <c r="EW683" s="48"/>
      <c r="FB683" s="5"/>
      <c r="FI683" s="5"/>
      <c r="FJ683" s="164"/>
      <c r="FL683" s="2"/>
      <c r="FN683" s="2"/>
    </row>
    <row r="684" spans="153:170" x14ac:dyDescent="0.35">
      <c r="EW684" s="48"/>
      <c r="FB684" s="5"/>
      <c r="FI684" s="5"/>
      <c r="FJ684" s="164"/>
      <c r="FL684" s="2"/>
      <c r="FN684" s="2"/>
    </row>
    <row r="685" spans="153:170" x14ac:dyDescent="0.35">
      <c r="EW685" s="48"/>
      <c r="FB685" s="5"/>
      <c r="FI685" s="5"/>
      <c r="FJ685" s="164"/>
      <c r="FL685" s="2"/>
      <c r="FN685" s="2"/>
    </row>
    <row r="686" spans="153:170" x14ac:dyDescent="0.35">
      <c r="EW686" s="48"/>
      <c r="FB686" s="5"/>
      <c r="FI686" s="5"/>
      <c r="FJ686" s="164"/>
      <c r="FL686" s="2"/>
      <c r="FN686" s="2"/>
    </row>
    <row r="687" spans="153:170" x14ac:dyDescent="0.35">
      <c r="EW687" s="48"/>
      <c r="FB687" s="5"/>
      <c r="FI687" s="5"/>
      <c r="FJ687" s="164"/>
      <c r="FL687" s="2"/>
      <c r="FN687" s="2"/>
    </row>
    <row r="688" spans="153:170" x14ac:dyDescent="0.35">
      <c r="EW688" s="48"/>
      <c r="FB688" s="5"/>
      <c r="FI688" s="5"/>
      <c r="FJ688" s="164"/>
      <c r="FL688" s="2"/>
      <c r="FN688" s="2"/>
    </row>
    <row r="689" spans="153:170" x14ac:dyDescent="0.35">
      <c r="EW689" s="48"/>
      <c r="FB689" s="5"/>
      <c r="FI689" s="5"/>
      <c r="FJ689" s="164"/>
      <c r="FL689" s="2"/>
      <c r="FN689" s="2"/>
    </row>
    <row r="690" spans="153:170" x14ac:dyDescent="0.35">
      <c r="EW690" s="48"/>
      <c r="FB690" s="5"/>
      <c r="FI690" s="5"/>
      <c r="FJ690" s="164"/>
      <c r="FL690" s="2"/>
      <c r="FN690" s="2"/>
    </row>
    <row r="691" spans="153:170" x14ac:dyDescent="0.35">
      <c r="EW691" s="48"/>
      <c r="FB691" s="5"/>
      <c r="FI691" s="5"/>
      <c r="FJ691" s="164"/>
      <c r="FL691" s="2"/>
      <c r="FN691" s="2"/>
    </row>
    <row r="692" spans="153:170" x14ac:dyDescent="0.35">
      <c r="EW692" s="48"/>
      <c r="FB692" s="5"/>
      <c r="FI692" s="5"/>
      <c r="FJ692" s="164"/>
      <c r="FL692" s="2"/>
      <c r="FN692" s="2"/>
    </row>
    <row r="693" spans="153:170" x14ac:dyDescent="0.35">
      <c r="EW693" s="48"/>
      <c r="FB693" s="5"/>
      <c r="FI693" s="5"/>
      <c r="FJ693" s="164"/>
      <c r="FL693" s="2"/>
      <c r="FN693" s="2"/>
    </row>
    <row r="694" spans="153:170" x14ac:dyDescent="0.35">
      <c r="EW694" s="48"/>
      <c r="FB694" s="5"/>
      <c r="FI694" s="5"/>
      <c r="FJ694" s="164"/>
      <c r="FL694" s="2"/>
      <c r="FN694" s="2"/>
    </row>
    <row r="695" spans="153:170" x14ac:dyDescent="0.35">
      <c r="EW695" s="48"/>
      <c r="FB695" s="5"/>
      <c r="FI695" s="5"/>
      <c r="FJ695" s="164"/>
      <c r="FL695" s="2"/>
      <c r="FN695" s="2"/>
    </row>
    <row r="696" spans="153:170" x14ac:dyDescent="0.35">
      <c r="EW696" s="48"/>
      <c r="FB696" s="5"/>
      <c r="FI696" s="5"/>
      <c r="FJ696" s="164"/>
      <c r="FL696" s="2"/>
      <c r="FN696" s="2"/>
    </row>
    <row r="697" spans="153:170" x14ac:dyDescent="0.35">
      <c r="EW697" s="48"/>
      <c r="FB697" s="5"/>
      <c r="FI697" s="5"/>
      <c r="FJ697" s="164"/>
      <c r="FL697" s="2"/>
      <c r="FN697" s="2"/>
    </row>
    <row r="698" spans="153:170" x14ac:dyDescent="0.35">
      <c r="EW698" s="48"/>
      <c r="FB698" s="5"/>
      <c r="FI698" s="5"/>
      <c r="FJ698" s="164"/>
      <c r="FL698" s="2"/>
      <c r="FN698" s="2"/>
    </row>
    <row r="699" spans="153:170" x14ac:dyDescent="0.35">
      <c r="EW699" s="48"/>
      <c r="FB699" s="5"/>
      <c r="FI699" s="5"/>
      <c r="FJ699" s="164"/>
      <c r="FL699" s="2"/>
      <c r="FN699" s="2"/>
    </row>
    <row r="700" spans="153:170" x14ac:dyDescent="0.35">
      <c r="EW700" s="48"/>
      <c r="FB700" s="5"/>
      <c r="FI700" s="5"/>
      <c r="FJ700" s="164"/>
      <c r="FL700" s="2"/>
      <c r="FN700" s="2"/>
    </row>
    <row r="701" spans="153:170" x14ac:dyDescent="0.35">
      <c r="EW701" s="48"/>
      <c r="FB701" s="5"/>
      <c r="FI701" s="5"/>
      <c r="FJ701" s="164"/>
      <c r="FL701" s="2"/>
      <c r="FN701" s="2"/>
    </row>
    <row r="702" spans="153:170" x14ac:dyDescent="0.35">
      <c r="EW702" s="48"/>
      <c r="FB702" s="5"/>
      <c r="FI702" s="5"/>
      <c r="FJ702" s="164"/>
      <c r="FL702" s="2"/>
      <c r="FN702" s="2"/>
    </row>
    <row r="703" spans="153:170" x14ac:dyDescent="0.35">
      <c r="EW703" s="48"/>
      <c r="FB703" s="5"/>
      <c r="FI703" s="5"/>
      <c r="FJ703" s="164"/>
      <c r="FL703" s="2"/>
      <c r="FN703" s="2"/>
    </row>
    <row r="704" spans="153:170" x14ac:dyDescent="0.35">
      <c r="EW704" s="48"/>
      <c r="FB704" s="5"/>
      <c r="FI704" s="5"/>
      <c r="FJ704" s="164"/>
      <c r="FL704" s="2"/>
      <c r="FN704" s="2"/>
    </row>
    <row r="705" spans="153:170" x14ac:dyDescent="0.35">
      <c r="EW705" s="48"/>
      <c r="FB705" s="5"/>
      <c r="FI705" s="5"/>
      <c r="FJ705" s="164"/>
      <c r="FL705" s="2"/>
      <c r="FN705" s="2"/>
    </row>
    <row r="706" spans="153:170" x14ac:dyDescent="0.35">
      <c r="EW706" s="48"/>
      <c r="FB706" s="5"/>
      <c r="FI706" s="5"/>
      <c r="FJ706" s="164"/>
      <c r="FL706" s="2"/>
      <c r="FN706" s="2"/>
    </row>
    <row r="707" spans="153:170" x14ac:dyDescent="0.35">
      <c r="EW707" s="48"/>
      <c r="FB707" s="5"/>
      <c r="FI707" s="5"/>
      <c r="FJ707" s="164"/>
      <c r="FL707" s="2"/>
      <c r="FN707" s="2"/>
    </row>
    <row r="708" spans="153:170" x14ac:dyDescent="0.35">
      <c r="EW708" s="48"/>
      <c r="FB708" s="5"/>
      <c r="FI708" s="5"/>
      <c r="FJ708" s="164"/>
      <c r="FL708" s="2"/>
      <c r="FN708" s="2"/>
    </row>
    <row r="709" spans="153:170" x14ac:dyDescent="0.35">
      <c r="EW709" s="48"/>
      <c r="FB709" s="5"/>
      <c r="FI709" s="5"/>
      <c r="FJ709" s="164"/>
      <c r="FL709" s="2"/>
      <c r="FN709" s="2"/>
    </row>
    <row r="710" spans="153:170" x14ac:dyDescent="0.35">
      <c r="EW710" s="48"/>
      <c r="FB710" s="5"/>
      <c r="FI710" s="5"/>
      <c r="FJ710" s="164"/>
      <c r="FL710" s="2"/>
      <c r="FN710" s="2"/>
    </row>
    <row r="711" spans="153:170" x14ac:dyDescent="0.35">
      <c r="EW711" s="48"/>
      <c r="FB711" s="5"/>
      <c r="FI711" s="5"/>
      <c r="FJ711" s="164"/>
      <c r="FL711" s="2"/>
      <c r="FN711" s="2"/>
    </row>
    <row r="712" spans="153:170" x14ac:dyDescent="0.35">
      <c r="EW712" s="48"/>
      <c r="FB712" s="5"/>
      <c r="FI712" s="5"/>
      <c r="FJ712" s="164"/>
      <c r="FL712" s="2"/>
      <c r="FN712" s="2"/>
    </row>
    <row r="713" spans="153:170" x14ac:dyDescent="0.35">
      <c r="EW713" s="48"/>
      <c r="FB713" s="5"/>
      <c r="FI713" s="5"/>
      <c r="FJ713" s="164"/>
      <c r="FL713" s="2"/>
      <c r="FN713" s="2"/>
    </row>
    <row r="714" spans="153:170" x14ac:dyDescent="0.35">
      <c r="EW714" s="48"/>
      <c r="FB714" s="5"/>
      <c r="FI714" s="5"/>
      <c r="FJ714" s="164"/>
      <c r="FL714" s="2"/>
      <c r="FN714" s="2"/>
    </row>
    <row r="715" spans="153:170" x14ac:dyDescent="0.35">
      <c r="EW715" s="48"/>
      <c r="FB715" s="5"/>
      <c r="FI715" s="5"/>
      <c r="FJ715" s="164"/>
      <c r="FL715" s="2"/>
      <c r="FN715" s="2"/>
    </row>
    <row r="716" spans="153:170" x14ac:dyDescent="0.35">
      <c r="EW716" s="48"/>
      <c r="FB716" s="5"/>
      <c r="FI716" s="5"/>
      <c r="FJ716" s="164"/>
      <c r="FL716" s="2"/>
      <c r="FN716" s="2"/>
    </row>
    <row r="717" spans="153:170" x14ac:dyDescent="0.35">
      <c r="EW717" s="48"/>
      <c r="FB717" s="5"/>
      <c r="FI717" s="5"/>
      <c r="FJ717" s="164"/>
      <c r="FL717" s="2"/>
      <c r="FN717" s="2"/>
    </row>
    <row r="718" spans="153:170" x14ac:dyDescent="0.35">
      <c r="EW718" s="48"/>
      <c r="FB718" s="5"/>
      <c r="FI718" s="5"/>
      <c r="FJ718" s="164"/>
      <c r="FL718" s="2"/>
      <c r="FN718" s="2"/>
    </row>
    <row r="719" spans="153:170" x14ac:dyDescent="0.35">
      <c r="EW719" s="48"/>
      <c r="FB719" s="5"/>
      <c r="FI719" s="5"/>
      <c r="FJ719" s="164"/>
      <c r="FL719" s="2"/>
      <c r="FN719" s="2"/>
    </row>
    <row r="720" spans="153:170" x14ac:dyDescent="0.35">
      <c r="EW720" s="48"/>
      <c r="FB720" s="5"/>
      <c r="FI720" s="5"/>
      <c r="FJ720" s="164"/>
      <c r="FL720" s="2"/>
      <c r="FN720" s="2"/>
    </row>
    <row r="721" spans="153:170" x14ac:dyDescent="0.35">
      <c r="EW721" s="48"/>
      <c r="FB721" s="5"/>
      <c r="FI721" s="5"/>
      <c r="FJ721" s="164"/>
      <c r="FL721" s="2"/>
      <c r="FN721" s="2"/>
    </row>
    <row r="722" spans="153:170" x14ac:dyDescent="0.35">
      <c r="EW722" s="48"/>
      <c r="FB722" s="5"/>
      <c r="FI722" s="5"/>
      <c r="FJ722" s="164"/>
      <c r="FL722" s="2"/>
      <c r="FN722" s="2"/>
    </row>
    <row r="723" spans="153:170" x14ac:dyDescent="0.35">
      <c r="EW723" s="48"/>
      <c r="FB723" s="5"/>
      <c r="FI723" s="5"/>
      <c r="FJ723" s="164"/>
      <c r="FL723" s="2"/>
      <c r="FN723" s="2"/>
    </row>
    <row r="724" spans="153:170" x14ac:dyDescent="0.35">
      <c r="EW724" s="48"/>
      <c r="FB724" s="5"/>
      <c r="FI724" s="5"/>
      <c r="FJ724" s="164"/>
      <c r="FL724" s="2"/>
      <c r="FN724" s="2"/>
    </row>
    <row r="725" spans="153:170" x14ac:dyDescent="0.35">
      <c r="EW725" s="48"/>
      <c r="FB725" s="5"/>
      <c r="FI725" s="5"/>
      <c r="FJ725" s="164"/>
      <c r="FL725" s="2"/>
      <c r="FN725" s="2"/>
    </row>
    <row r="726" spans="153:170" x14ac:dyDescent="0.35">
      <c r="EW726" s="48"/>
      <c r="FB726" s="5"/>
      <c r="FI726" s="5"/>
      <c r="FJ726" s="164"/>
      <c r="FL726" s="2"/>
      <c r="FN726" s="2"/>
    </row>
    <row r="727" spans="153:170" x14ac:dyDescent="0.35">
      <c r="EW727" s="48"/>
      <c r="FB727" s="5"/>
      <c r="FI727" s="5"/>
      <c r="FJ727" s="164"/>
      <c r="FL727" s="2"/>
      <c r="FN727" s="2"/>
    </row>
    <row r="728" spans="153:170" x14ac:dyDescent="0.35">
      <c r="EW728" s="48"/>
      <c r="FB728" s="5"/>
      <c r="FI728" s="5"/>
      <c r="FJ728" s="164"/>
      <c r="FL728" s="2"/>
      <c r="FN728" s="2"/>
    </row>
    <row r="729" spans="153:170" x14ac:dyDescent="0.35">
      <c r="EW729" s="48"/>
      <c r="FB729" s="5"/>
      <c r="FI729" s="5"/>
      <c r="FJ729" s="164"/>
      <c r="FL729" s="2"/>
      <c r="FN729" s="2"/>
    </row>
    <row r="730" spans="153:170" x14ac:dyDescent="0.35">
      <c r="EW730" s="48"/>
      <c r="FB730" s="5"/>
      <c r="FI730" s="5"/>
      <c r="FJ730" s="164"/>
      <c r="FL730" s="2"/>
      <c r="FN730" s="2"/>
    </row>
    <row r="731" spans="153:170" x14ac:dyDescent="0.35">
      <c r="EW731" s="48"/>
      <c r="FB731" s="5"/>
      <c r="FI731" s="5"/>
      <c r="FJ731" s="164"/>
      <c r="FL731" s="2"/>
      <c r="FN731" s="2"/>
    </row>
    <row r="732" spans="153:170" x14ac:dyDescent="0.35">
      <c r="EW732" s="48"/>
      <c r="FB732" s="5"/>
      <c r="FI732" s="5"/>
      <c r="FJ732" s="164"/>
      <c r="FL732" s="2"/>
      <c r="FN732" s="2"/>
    </row>
    <row r="733" spans="153:170" x14ac:dyDescent="0.35">
      <c r="EW733" s="48"/>
      <c r="FB733" s="5"/>
      <c r="FI733" s="5"/>
      <c r="FJ733" s="164"/>
      <c r="FL733" s="2"/>
      <c r="FN733" s="2"/>
    </row>
    <row r="734" spans="153:170" x14ac:dyDescent="0.35">
      <c r="EW734" s="48"/>
      <c r="FB734" s="5"/>
      <c r="FI734" s="5"/>
      <c r="FJ734" s="164"/>
      <c r="FL734" s="2"/>
      <c r="FN734" s="2"/>
    </row>
    <row r="735" spans="153:170" x14ac:dyDescent="0.35">
      <c r="EW735" s="48"/>
      <c r="FB735" s="5"/>
      <c r="FI735" s="5"/>
      <c r="FJ735" s="164"/>
      <c r="FL735" s="2"/>
      <c r="FN735" s="2"/>
    </row>
    <row r="736" spans="153:170" x14ac:dyDescent="0.35">
      <c r="EW736" s="48"/>
      <c r="FB736" s="5"/>
      <c r="FI736" s="5"/>
      <c r="FJ736" s="164"/>
      <c r="FL736" s="2"/>
      <c r="FN736" s="2"/>
    </row>
    <row r="737" spans="153:170" x14ac:dyDescent="0.35">
      <c r="EW737" s="48"/>
      <c r="FB737" s="5"/>
      <c r="FI737" s="5"/>
      <c r="FJ737" s="164"/>
      <c r="FL737" s="2"/>
      <c r="FN737" s="2"/>
    </row>
    <row r="738" spans="153:170" x14ac:dyDescent="0.35">
      <c r="EW738" s="48"/>
      <c r="FB738" s="5"/>
      <c r="FI738" s="5"/>
      <c r="FJ738" s="164"/>
      <c r="FL738" s="2"/>
      <c r="FN738" s="2"/>
    </row>
    <row r="739" spans="153:170" x14ac:dyDescent="0.35">
      <c r="EW739" s="48"/>
      <c r="FB739" s="5"/>
      <c r="FI739" s="5"/>
      <c r="FJ739" s="164"/>
      <c r="FL739" s="2"/>
      <c r="FN739" s="2"/>
    </row>
    <row r="740" spans="153:170" x14ac:dyDescent="0.35">
      <c r="EW740" s="48"/>
      <c r="FB740" s="5"/>
      <c r="FI740" s="5"/>
      <c r="FJ740" s="164"/>
      <c r="FL740" s="2"/>
      <c r="FN740" s="2"/>
    </row>
    <row r="741" spans="153:170" x14ac:dyDescent="0.35">
      <c r="EW741" s="48"/>
      <c r="FB741" s="5"/>
      <c r="FI741" s="5"/>
      <c r="FJ741" s="164"/>
      <c r="FL741" s="2"/>
      <c r="FN741" s="2"/>
    </row>
    <row r="742" spans="153:170" x14ac:dyDescent="0.35">
      <c r="EW742" s="48"/>
      <c r="FB742" s="5"/>
      <c r="FI742" s="5"/>
      <c r="FJ742" s="164"/>
      <c r="FL742" s="2"/>
      <c r="FN742" s="2"/>
    </row>
    <row r="743" spans="153:170" x14ac:dyDescent="0.35">
      <c r="EW743" s="48"/>
      <c r="FB743" s="5"/>
      <c r="FI743" s="5"/>
      <c r="FJ743" s="164"/>
      <c r="FL743" s="2"/>
      <c r="FN743" s="2"/>
    </row>
    <row r="744" spans="153:170" x14ac:dyDescent="0.35">
      <c r="EW744" s="48"/>
      <c r="FB744" s="5"/>
      <c r="FI744" s="5"/>
      <c r="FJ744" s="164"/>
      <c r="FL744" s="2"/>
      <c r="FN744" s="2"/>
    </row>
    <row r="745" spans="153:170" x14ac:dyDescent="0.35">
      <c r="EW745" s="48"/>
      <c r="FB745" s="5"/>
      <c r="FI745" s="5"/>
      <c r="FJ745" s="164"/>
      <c r="FL745" s="2"/>
      <c r="FN745" s="2"/>
    </row>
    <row r="746" spans="153:170" x14ac:dyDescent="0.35">
      <c r="EW746" s="48"/>
      <c r="FB746" s="5"/>
      <c r="FI746" s="5"/>
      <c r="FJ746" s="164"/>
      <c r="FL746" s="2"/>
      <c r="FN746" s="2"/>
    </row>
    <row r="747" spans="153:170" x14ac:dyDescent="0.35">
      <c r="EW747" s="48"/>
      <c r="FB747" s="5"/>
      <c r="FI747" s="5"/>
      <c r="FJ747" s="164"/>
      <c r="FL747" s="2"/>
      <c r="FN747" s="2"/>
    </row>
    <row r="748" spans="153:170" x14ac:dyDescent="0.35">
      <c r="EW748" s="48"/>
      <c r="FB748" s="5"/>
      <c r="FI748" s="5"/>
      <c r="FJ748" s="164"/>
      <c r="FL748" s="2"/>
      <c r="FN748" s="2"/>
    </row>
    <row r="749" spans="153:170" x14ac:dyDescent="0.35">
      <c r="EW749" s="48"/>
      <c r="FB749" s="5"/>
      <c r="FI749" s="5"/>
      <c r="FJ749" s="164"/>
      <c r="FL749" s="2"/>
      <c r="FN749" s="2"/>
    </row>
    <row r="750" spans="153:170" x14ac:dyDescent="0.35">
      <c r="EW750" s="48"/>
      <c r="FB750" s="5"/>
      <c r="FI750" s="5"/>
      <c r="FJ750" s="164"/>
      <c r="FL750" s="2"/>
      <c r="FN750" s="2"/>
    </row>
    <row r="751" spans="153:170" x14ac:dyDescent="0.35">
      <c r="EW751" s="48"/>
      <c r="FB751" s="5"/>
      <c r="FI751" s="5"/>
      <c r="FJ751" s="164"/>
      <c r="FL751" s="2"/>
      <c r="FN751" s="2"/>
    </row>
    <row r="752" spans="153:170" x14ac:dyDescent="0.35">
      <c r="EW752" s="48"/>
      <c r="FB752" s="5"/>
      <c r="FI752" s="5"/>
      <c r="FJ752" s="164"/>
      <c r="FL752" s="2"/>
      <c r="FN752" s="2"/>
    </row>
    <row r="753" spans="153:170" x14ac:dyDescent="0.35">
      <c r="EW753" s="48"/>
      <c r="FB753" s="5"/>
      <c r="FI753" s="5"/>
      <c r="FJ753" s="164"/>
      <c r="FL753" s="2"/>
      <c r="FN753" s="2"/>
    </row>
    <row r="754" spans="153:170" x14ac:dyDescent="0.35">
      <c r="EW754" s="48"/>
      <c r="FB754" s="5"/>
      <c r="FI754" s="5"/>
      <c r="FJ754" s="164"/>
      <c r="FL754" s="2"/>
      <c r="FN754" s="2"/>
    </row>
    <row r="755" spans="153:170" x14ac:dyDescent="0.35">
      <c r="EW755" s="48"/>
      <c r="FB755" s="5"/>
      <c r="FI755" s="5"/>
      <c r="FJ755" s="164"/>
      <c r="FL755" s="2"/>
      <c r="FN755" s="2"/>
    </row>
    <row r="756" spans="153:170" x14ac:dyDescent="0.35">
      <c r="EW756" s="48"/>
      <c r="FB756" s="5"/>
      <c r="FI756" s="5"/>
      <c r="FJ756" s="164"/>
      <c r="FL756" s="2"/>
      <c r="FN756" s="2"/>
    </row>
    <row r="757" spans="153:170" x14ac:dyDescent="0.35">
      <c r="EW757" s="48"/>
      <c r="FB757" s="5"/>
      <c r="FI757" s="5"/>
      <c r="FJ757" s="164"/>
      <c r="FL757" s="2"/>
      <c r="FN757" s="2"/>
    </row>
    <row r="758" spans="153:170" x14ac:dyDescent="0.35">
      <c r="EW758" s="48"/>
      <c r="FB758" s="5"/>
      <c r="FI758" s="5"/>
      <c r="FJ758" s="164"/>
      <c r="FL758" s="2"/>
      <c r="FN758" s="2"/>
    </row>
    <row r="759" spans="153:170" x14ac:dyDescent="0.35">
      <c r="EW759" s="48"/>
      <c r="FB759" s="5"/>
      <c r="FI759" s="5"/>
      <c r="FJ759" s="164"/>
      <c r="FL759" s="2"/>
      <c r="FN759" s="2"/>
    </row>
    <row r="760" spans="153:170" x14ac:dyDescent="0.35">
      <c r="EW760" s="48"/>
      <c r="FB760" s="5"/>
      <c r="FI760" s="5"/>
      <c r="FJ760" s="164"/>
      <c r="FL760" s="2"/>
      <c r="FN760" s="2"/>
    </row>
    <row r="761" spans="153:170" x14ac:dyDescent="0.35">
      <c r="EW761" s="48"/>
      <c r="FB761" s="5"/>
      <c r="FI761" s="5"/>
      <c r="FJ761" s="164"/>
      <c r="FL761" s="2"/>
      <c r="FN761" s="2"/>
    </row>
    <row r="762" spans="153:170" x14ac:dyDescent="0.35">
      <c r="EW762" s="48"/>
      <c r="FB762" s="5"/>
      <c r="FI762" s="5"/>
      <c r="FJ762" s="164"/>
      <c r="FL762" s="2"/>
      <c r="FN762" s="2"/>
    </row>
    <row r="763" spans="153:170" x14ac:dyDescent="0.35">
      <c r="EW763" s="48"/>
      <c r="FB763" s="5"/>
      <c r="FI763" s="5"/>
      <c r="FJ763" s="164"/>
      <c r="FL763" s="2"/>
      <c r="FN763" s="2"/>
    </row>
    <row r="764" spans="153:170" x14ac:dyDescent="0.35">
      <c r="EW764" s="48"/>
      <c r="FB764" s="5"/>
      <c r="FI764" s="5"/>
      <c r="FJ764" s="164"/>
      <c r="FL764" s="2"/>
      <c r="FN764" s="2"/>
    </row>
    <row r="765" spans="153:170" x14ac:dyDescent="0.35">
      <c r="EW765" s="48"/>
      <c r="FB765" s="5"/>
      <c r="FI765" s="5"/>
      <c r="FJ765" s="164"/>
      <c r="FL765" s="2"/>
      <c r="FN765" s="2"/>
    </row>
    <row r="766" spans="153:170" x14ac:dyDescent="0.35">
      <c r="EW766" s="48"/>
      <c r="FB766" s="5"/>
      <c r="FI766" s="5"/>
      <c r="FJ766" s="164"/>
      <c r="FL766" s="2"/>
      <c r="FN766" s="2"/>
    </row>
    <row r="767" spans="153:170" x14ac:dyDescent="0.35">
      <c r="EW767" s="48"/>
      <c r="FB767" s="5"/>
      <c r="FI767" s="5"/>
      <c r="FJ767" s="164"/>
      <c r="FL767" s="2"/>
      <c r="FN767" s="2"/>
    </row>
    <row r="768" spans="153:170" x14ac:dyDescent="0.35">
      <c r="EW768" s="48"/>
      <c r="FB768" s="5"/>
      <c r="FI768" s="5"/>
      <c r="FJ768" s="164"/>
      <c r="FL768" s="2"/>
      <c r="FN768" s="2"/>
    </row>
    <row r="769" spans="153:170" x14ac:dyDescent="0.35">
      <c r="EW769" s="48"/>
      <c r="FB769" s="5"/>
      <c r="FI769" s="5"/>
      <c r="FJ769" s="164"/>
      <c r="FL769" s="2"/>
      <c r="FN769" s="2"/>
    </row>
    <row r="770" spans="153:170" x14ac:dyDescent="0.35">
      <c r="EW770" s="48"/>
      <c r="FB770" s="5"/>
      <c r="FI770" s="5"/>
      <c r="FJ770" s="164"/>
      <c r="FL770" s="2"/>
      <c r="FN770" s="2"/>
    </row>
    <row r="771" spans="153:170" x14ac:dyDescent="0.35">
      <c r="EW771" s="48"/>
      <c r="FB771" s="5"/>
      <c r="FI771" s="5"/>
      <c r="FJ771" s="164"/>
      <c r="FL771" s="2"/>
      <c r="FN771" s="2"/>
    </row>
    <row r="772" spans="153:170" x14ac:dyDescent="0.35">
      <c r="EW772" s="48"/>
      <c r="FB772" s="5"/>
      <c r="FI772" s="5"/>
      <c r="FJ772" s="164"/>
      <c r="FL772" s="2"/>
      <c r="FN772" s="2"/>
    </row>
    <row r="773" spans="153:170" x14ac:dyDescent="0.35">
      <c r="EW773" s="48"/>
      <c r="FB773" s="5"/>
      <c r="FI773" s="5"/>
      <c r="FJ773" s="164"/>
      <c r="FL773" s="2"/>
      <c r="FN773" s="2"/>
    </row>
    <row r="774" spans="153:170" x14ac:dyDescent="0.35">
      <c r="EW774" s="48"/>
      <c r="FB774" s="5"/>
      <c r="FI774" s="5"/>
      <c r="FJ774" s="164"/>
      <c r="FL774" s="2"/>
      <c r="FN774" s="2"/>
    </row>
    <row r="775" spans="153:170" x14ac:dyDescent="0.35">
      <c r="EW775" s="48"/>
      <c r="FB775" s="5"/>
      <c r="FI775" s="5"/>
      <c r="FJ775" s="164"/>
      <c r="FL775" s="2"/>
      <c r="FN775" s="2"/>
    </row>
    <row r="776" spans="153:170" x14ac:dyDescent="0.35">
      <c r="EW776" s="48"/>
      <c r="FB776" s="5"/>
      <c r="FI776" s="5"/>
      <c r="FJ776" s="164"/>
      <c r="FL776" s="2"/>
      <c r="FN776" s="2"/>
    </row>
    <row r="777" spans="153:170" x14ac:dyDescent="0.35">
      <c r="EW777" s="48"/>
      <c r="FB777" s="5"/>
      <c r="FI777" s="5"/>
      <c r="FJ777" s="164"/>
      <c r="FL777" s="2"/>
      <c r="FN777" s="2"/>
    </row>
    <row r="778" spans="153:170" x14ac:dyDescent="0.35">
      <c r="EW778" s="48"/>
      <c r="FB778" s="5"/>
      <c r="FI778" s="5"/>
      <c r="FJ778" s="164"/>
      <c r="FL778" s="2"/>
      <c r="FN778" s="2"/>
    </row>
    <row r="779" spans="153:170" x14ac:dyDescent="0.35">
      <c r="EW779" s="48"/>
      <c r="FB779" s="5"/>
      <c r="FI779" s="5"/>
      <c r="FJ779" s="164"/>
      <c r="FL779" s="2"/>
      <c r="FN779" s="2"/>
    </row>
    <row r="780" spans="153:170" x14ac:dyDescent="0.35">
      <c r="EW780" s="48"/>
      <c r="FB780" s="5"/>
      <c r="FI780" s="5"/>
      <c r="FJ780" s="164"/>
      <c r="FL780" s="2"/>
      <c r="FN780" s="2"/>
    </row>
    <row r="781" spans="153:170" x14ac:dyDescent="0.35">
      <c r="EW781" s="48"/>
      <c r="FB781" s="5"/>
      <c r="FI781" s="5"/>
      <c r="FJ781" s="164"/>
      <c r="FL781" s="2"/>
      <c r="FN781" s="2"/>
    </row>
    <row r="782" spans="153:170" x14ac:dyDescent="0.35">
      <c r="EW782" s="48"/>
      <c r="FB782" s="5"/>
      <c r="FI782" s="5"/>
      <c r="FJ782" s="164"/>
      <c r="FL782" s="2"/>
      <c r="FN782" s="2"/>
    </row>
    <row r="783" spans="153:170" x14ac:dyDescent="0.35">
      <c r="EW783" s="48"/>
      <c r="FB783" s="5"/>
      <c r="FI783" s="5"/>
      <c r="FJ783" s="164"/>
      <c r="FL783" s="2"/>
      <c r="FN783" s="2"/>
    </row>
    <row r="784" spans="153:170" x14ac:dyDescent="0.35">
      <c r="EW784" s="48"/>
      <c r="FB784" s="5"/>
      <c r="FI784" s="5"/>
      <c r="FJ784" s="164"/>
      <c r="FL784" s="2"/>
      <c r="FN784" s="2"/>
    </row>
    <row r="785" spans="153:170" x14ac:dyDescent="0.35">
      <c r="EW785" s="48"/>
      <c r="FB785" s="5"/>
      <c r="FI785" s="5"/>
      <c r="FJ785" s="164"/>
      <c r="FL785" s="2"/>
      <c r="FN785" s="2"/>
    </row>
    <row r="786" spans="153:170" x14ac:dyDescent="0.35">
      <c r="EW786" s="48"/>
      <c r="FB786" s="5"/>
      <c r="FI786" s="5"/>
      <c r="FJ786" s="164"/>
      <c r="FL786" s="2"/>
      <c r="FN786" s="2"/>
    </row>
    <row r="787" spans="153:170" x14ac:dyDescent="0.35">
      <c r="EW787" s="48"/>
      <c r="FB787" s="5"/>
      <c r="FI787" s="5"/>
      <c r="FJ787" s="164"/>
      <c r="FL787" s="2"/>
      <c r="FN787" s="2"/>
    </row>
    <row r="788" spans="153:170" x14ac:dyDescent="0.35">
      <c r="EW788" s="48"/>
      <c r="FB788" s="5"/>
      <c r="FI788" s="5"/>
      <c r="FJ788" s="164"/>
      <c r="FL788" s="2"/>
      <c r="FN788" s="2"/>
    </row>
    <row r="789" spans="153:170" x14ac:dyDescent="0.35">
      <c r="EW789" s="48"/>
      <c r="FB789" s="5"/>
      <c r="FI789" s="5"/>
      <c r="FJ789" s="164"/>
      <c r="FL789" s="2"/>
      <c r="FN789" s="2"/>
    </row>
    <row r="790" spans="153:170" x14ac:dyDescent="0.35">
      <c r="EW790" s="48"/>
      <c r="FB790" s="5"/>
      <c r="FI790" s="5"/>
      <c r="FJ790" s="164"/>
      <c r="FL790" s="2"/>
      <c r="FN790" s="2"/>
    </row>
    <row r="791" spans="153:170" x14ac:dyDescent="0.35">
      <c r="EW791" s="48"/>
      <c r="FB791" s="5"/>
      <c r="FI791" s="5"/>
      <c r="FJ791" s="164"/>
      <c r="FL791" s="2"/>
      <c r="FN791" s="2"/>
    </row>
    <row r="792" spans="153:170" x14ac:dyDescent="0.35">
      <c r="EW792" s="48"/>
      <c r="FB792" s="5"/>
      <c r="FI792" s="5"/>
      <c r="FJ792" s="164"/>
      <c r="FL792" s="2"/>
      <c r="FN792" s="2"/>
    </row>
    <row r="793" spans="153:170" x14ac:dyDescent="0.35">
      <c r="EW793" s="48"/>
      <c r="FB793" s="5"/>
      <c r="FI793" s="5"/>
      <c r="FJ793" s="164"/>
      <c r="FL793" s="2"/>
      <c r="FN793" s="2"/>
    </row>
    <row r="794" spans="153:170" x14ac:dyDescent="0.35">
      <c r="EW794" s="48"/>
      <c r="FB794" s="5"/>
      <c r="FI794" s="5"/>
      <c r="FJ794" s="164"/>
      <c r="FL794" s="2"/>
      <c r="FN794" s="2"/>
    </row>
    <row r="795" spans="153:170" x14ac:dyDescent="0.35">
      <c r="EW795" s="48"/>
      <c r="FB795" s="5"/>
      <c r="FI795" s="5"/>
      <c r="FJ795" s="164"/>
      <c r="FL795" s="2"/>
      <c r="FN795" s="2"/>
    </row>
    <row r="796" spans="153:170" x14ac:dyDescent="0.35">
      <c r="EW796" s="48"/>
      <c r="FB796" s="5"/>
      <c r="FI796" s="5"/>
      <c r="FJ796" s="164"/>
      <c r="FL796" s="2"/>
      <c r="FN796" s="2"/>
    </row>
    <row r="797" spans="153:170" x14ac:dyDescent="0.35">
      <c r="EW797" s="48"/>
      <c r="FB797" s="5"/>
      <c r="FI797" s="5"/>
      <c r="FJ797" s="164"/>
      <c r="FL797" s="2"/>
      <c r="FN797" s="2"/>
    </row>
    <row r="798" spans="153:170" x14ac:dyDescent="0.35">
      <c r="EW798" s="48"/>
      <c r="FB798" s="5"/>
      <c r="FI798" s="5"/>
      <c r="FJ798" s="164"/>
      <c r="FL798" s="2"/>
      <c r="FN798" s="2"/>
    </row>
    <row r="799" spans="153:170" x14ac:dyDescent="0.35">
      <c r="EW799" s="48"/>
      <c r="FB799" s="5"/>
      <c r="FI799" s="5"/>
      <c r="FJ799" s="164"/>
      <c r="FL799" s="2"/>
      <c r="FN799" s="2"/>
    </row>
    <row r="800" spans="153:170" x14ac:dyDescent="0.35">
      <c r="EW800" s="48"/>
      <c r="FB800" s="5"/>
      <c r="FI800" s="5"/>
      <c r="FJ800" s="164"/>
      <c r="FL800" s="2"/>
      <c r="FN800" s="2"/>
    </row>
    <row r="801" spans="153:170" x14ac:dyDescent="0.35">
      <c r="EW801" s="48"/>
      <c r="FB801" s="5"/>
      <c r="FI801" s="5"/>
      <c r="FJ801" s="164"/>
      <c r="FL801" s="2"/>
      <c r="FN801" s="2"/>
    </row>
    <row r="802" spans="153:170" x14ac:dyDescent="0.35">
      <c r="EW802" s="48"/>
      <c r="FB802" s="5"/>
      <c r="FI802" s="5"/>
      <c r="FJ802" s="164"/>
      <c r="FL802" s="2"/>
      <c r="FN802" s="2"/>
    </row>
    <row r="803" spans="153:170" x14ac:dyDescent="0.35">
      <c r="EW803" s="48"/>
      <c r="FB803" s="5"/>
      <c r="FI803" s="5"/>
      <c r="FJ803" s="164"/>
      <c r="FL803" s="2"/>
      <c r="FN803" s="2"/>
    </row>
    <row r="804" spans="153:170" x14ac:dyDescent="0.35">
      <c r="EW804" s="48"/>
      <c r="FB804" s="5"/>
      <c r="FI804" s="5"/>
      <c r="FJ804" s="164"/>
      <c r="FL804" s="2"/>
      <c r="FN804" s="2"/>
    </row>
    <row r="805" spans="153:170" x14ac:dyDescent="0.35">
      <c r="EW805" s="48"/>
      <c r="FB805" s="5"/>
      <c r="FI805" s="5"/>
      <c r="FJ805" s="164"/>
      <c r="FL805" s="2"/>
      <c r="FN805" s="2"/>
    </row>
    <row r="806" spans="153:170" x14ac:dyDescent="0.35">
      <c r="EW806" s="48"/>
      <c r="FB806" s="5"/>
      <c r="FI806" s="5"/>
      <c r="FJ806" s="164"/>
      <c r="FL806" s="2"/>
      <c r="FN806" s="2"/>
    </row>
    <row r="807" spans="153:170" x14ac:dyDescent="0.35">
      <c r="EW807" s="48"/>
      <c r="FB807" s="5"/>
      <c r="FI807" s="5"/>
      <c r="FJ807" s="164"/>
      <c r="FL807" s="2"/>
      <c r="FN807" s="2"/>
    </row>
    <row r="808" spans="153:170" x14ac:dyDescent="0.35">
      <c r="EW808" s="48"/>
      <c r="FB808" s="5"/>
      <c r="FI808" s="5"/>
      <c r="FJ808" s="164"/>
      <c r="FL808" s="2"/>
      <c r="FN808" s="2"/>
    </row>
    <row r="809" spans="153:170" x14ac:dyDescent="0.35">
      <c r="EW809" s="48"/>
      <c r="FB809" s="5"/>
      <c r="FI809" s="5"/>
      <c r="FJ809" s="164"/>
      <c r="FL809" s="2"/>
      <c r="FN809" s="2"/>
    </row>
    <row r="810" spans="153:170" x14ac:dyDescent="0.35">
      <c r="EW810" s="48"/>
      <c r="FB810" s="5"/>
      <c r="FI810" s="5"/>
      <c r="FJ810" s="164"/>
      <c r="FL810" s="2"/>
      <c r="FN810" s="2"/>
    </row>
    <row r="811" spans="153:170" x14ac:dyDescent="0.35">
      <c r="EW811" s="48"/>
      <c r="FB811" s="5"/>
      <c r="FI811" s="5"/>
      <c r="FJ811" s="164"/>
      <c r="FL811" s="2"/>
      <c r="FN811" s="2"/>
    </row>
    <row r="812" spans="153:170" x14ac:dyDescent="0.35">
      <c r="EW812" s="48"/>
      <c r="FB812" s="5"/>
      <c r="FI812" s="5"/>
      <c r="FJ812" s="164"/>
      <c r="FL812" s="2"/>
      <c r="FN812" s="2"/>
    </row>
    <row r="813" spans="153:170" x14ac:dyDescent="0.35">
      <c r="EW813" s="48"/>
      <c r="FB813" s="5"/>
      <c r="FI813" s="5"/>
      <c r="FJ813" s="164"/>
      <c r="FL813" s="2"/>
      <c r="FN813" s="2"/>
    </row>
    <row r="814" spans="153:170" x14ac:dyDescent="0.35">
      <c r="EW814" s="48"/>
      <c r="FB814" s="5"/>
      <c r="FI814" s="5"/>
      <c r="FJ814" s="164"/>
      <c r="FL814" s="2"/>
      <c r="FN814" s="2"/>
    </row>
    <row r="815" spans="153:170" x14ac:dyDescent="0.35">
      <c r="EW815" s="48"/>
      <c r="FB815" s="5"/>
      <c r="FI815" s="5"/>
      <c r="FJ815" s="164"/>
      <c r="FL815" s="2"/>
      <c r="FN815" s="2"/>
    </row>
    <row r="816" spans="153:170" x14ac:dyDescent="0.35">
      <c r="EW816" s="48"/>
      <c r="FB816" s="5"/>
      <c r="FI816" s="5"/>
      <c r="FJ816" s="164"/>
      <c r="FL816" s="2"/>
      <c r="FN816" s="2"/>
    </row>
    <row r="817" spans="153:170" x14ac:dyDescent="0.35">
      <c r="EW817" s="48"/>
      <c r="FB817" s="5"/>
      <c r="FI817" s="5"/>
      <c r="FJ817" s="164"/>
      <c r="FL817" s="2"/>
      <c r="FN817" s="2"/>
    </row>
    <row r="818" spans="153:170" x14ac:dyDescent="0.35">
      <c r="EW818" s="48"/>
      <c r="FB818" s="5"/>
      <c r="FI818" s="5"/>
      <c r="FJ818" s="164"/>
      <c r="FL818" s="2"/>
      <c r="FN818" s="2"/>
    </row>
    <row r="819" spans="153:170" x14ac:dyDescent="0.35">
      <c r="EW819" s="48"/>
      <c r="FB819" s="5"/>
      <c r="FI819" s="5"/>
      <c r="FJ819" s="164"/>
      <c r="FL819" s="2"/>
      <c r="FN819" s="2"/>
    </row>
    <row r="820" spans="153:170" x14ac:dyDescent="0.35">
      <c r="EW820" s="48"/>
      <c r="FB820" s="5"/>
      <c r="FI820" s="5"/>
      <c r="FJ820" s="164"/>
      <c r="FL820" s="2"/>
      <c r="FN820" s="2"/>
    </row>
    <row r="821" spans="153:170" x14ac:dyDescent="0.35">
      <c r="EW821" s="48"/>
      <c r="FB821" s="5"/>
      <c r="FI821" s="5"/>
      <c r="FJ821" s="164"/>
      <c r="FL821" s="2"/>
      <c r="FN821" s="2"/>
    </row>
    <row r="822" spans="153:170" x14ac:dyDescent="0.35">
      <c r="EW822" s="48"/>
      <c r="FB822" s="5"/>
      <c r="FI822" s="5"/>
      <c r="FJ822" s="164"/>
      <c r="FL822" s="2"/>
      <c r="FN822" s="2"/>
    </row>
    <row r="823" spans="153:170" x14ac:dyDescent="0.35">
      <c r="EW823" s="48"/>
      <c r="FB823" s="5"/>
      <c r="FI823" s="5"/>
      <c r="FJ823" s="164"/>
      <c r="FL823" s="2"/>
      <c r="FN823" s="2"/>
    </row>
    <row r="824" spans="153:170" x14ac:dyDescent="0.35">
      <c r="EW824" s="48"/>
      <c r="FB824" s="5"/>
      <c r="FI824" s="5"/>
      <c r="FJ824" s="164"/>
      <c r="FL824" s="2"/>
      <c r="FN824" s="2"/>
    </row>
    <row r="825" spans="153:170" x14ac:dyDescent="0.35">
      <c r="EW825" s="48"/>
      <c r="FB825" s="5"/>
      <c r="FI825" s="5"/>
      <c r="FJ825" s="164"/>
      <c r="FL825" s="2"/>
      <c r="FN825" s="2"/>
    </row>
    <row r="826" spans="153:170" x14ac:dyDescent="0.35">
      <c r="EW826" s="48"/>
      <c r="FB826" s="5"/>
      <c r="FI826" s="5"/>
      <c r="FJ826" s="164"/>
      <c r="FL826" s="2"/>
      <c r="FN826" s="2"/>
    </row>
    <row r="827" spans="153:170" x14ac:dyDescent="0.35">
      <c r="EW827" s="48"/>
      <c r="FB827" s="5"/>
      <c r="FI827" s="5"/>
      <c r="FJ827" s="164"/>
      <c r="FL827" s="2"/>
      <c r="FN827" s="2"/>
    </row>
    <row r="828" spans="153:170" x14ac:dyDescent="0.35">
      <c r="EW828" s="48"/>
      <c r="FB828" s="5"/>
      <c r="FI828" s="5"/>
      <c r="FJ828" s="164"/>
      <c r="FL828" s="2"/>
      <c r="FN828" s="2"/>
    </row>
    <row r="829" spans="153:170" x14ac:dyDescent="0.35">
      <c r="EW829" s="48"/>
      <c r="FB829" s="5"/>
      <c r="FI829" s="5"/>
      <c r="FJ829" s="164"/>
      <c r="FL829" s="2"/>
      <c r="FN829" s="2"/>
    </row>
    <row r="830" spans="153:170" x14ac:dyDescent="0.35">
      <c r="EW830" s="48"/>
      <c r="FB830" s="5"/>
      <c r="FI830" s="5"/>
      <c r="FJ830" s="164"/>
      <c r="FL830" s="2"/>
      <c r="FN830" s="2"/>
    </row>
    <row r="831" spans="153:170" x14ac:dyDescent="0.35">
      <c r="EW831" s="48"/>
      <c r="FB831" s="5"/>
      <c r="FI831" s="5"/>
      <c r="FJ831" s="164"/>
      <c r="FL831" s="2"/>
      <c r="FN831" s="2"/>
    </row>
    <row r="832" spans="153:170" x14ac:dyDescent="0.35">
      <c r="EW832" s="48"/>
      <c r="FB832" s="5"/>
      <c r="FI832" s="5"/>
      <c r="FJ832" s="164"/>
      <c r="FL832" s="2"/>
      <c r="FN832" s="2"/>
    </row>
    <row r="833" spans="153:170" x14ac:dyDescent="0.35">
      <c r="EW833" s="48"/>
      <c r="FB833" s="5"/>
      <c r="FI833" s="5"/>
      <c r="FJ833" s="164"/>
      <c r="FL833" s="2"/>
      <c r="FN833" s="2"/>
    </row>
    <row r="834" spans="153:170" x14ac:dyDescent="0.35">
      <c r="EW834" s="48"/>
      <c r="FB834" s="5"/>
      <c r="FI834" s="5"/>
      <c r="FJ834" s="164"/>
      <c r="FL834" s="2"/>
      <c r="FN834" s="2"/>
    </row>
    <row r="835" spans="153:170" x14ac:dyDescent="0.35">
      <c r="EW835" s="48"/>
      <c r="FB835" s="5"/>
      <c r="FI835" s="5"/>
      <c r="FJ835" s="164"/>
      <c r="FL835" s="2"/>
      <c r="FN835" s="2"/>
    </row>
    <row r="836" spans="153:170" x14ac:dyDescent="0.35">
      <c r="EW836" s="48"/>
      <c r="FB836" s="5"/>
      <c r="FI836" s="5"/>
      <c r="FJ836" s="164"/>
      <c r="FL836" s="2"/>
      <c r="FN836" s="2"/>
    </row>
    <row r="837" spans="153:170" x14ac:dyDescent="0.35">
      <c r="EW837" s="48"/>
      <c r="FB837" s="5"/>
      <c r="FI837" s="5"/>
      <c r="FJ837" s="164"/>
      <c r="FL837" s="2"/>
      <c r="FN837" s="2"/>
    </row>
    <row r="838" spans="153:170" x14ac:dyDescent="0.35">
      <c r="EW838" s="48"/>
      <c r="FB838" s="5"/>
      <c r="FI838" s="5"/>
      <c r="FJ838" s="164"/>
      <c r="FL838" s="2"/>
      <c r="FN838" s="2"/>
    </row>
    <row r="839" spans="153:170" x14ac:dyDescent="0.35">
      <c r="EW839" s="48"/>
      <c r="FB839" s="5"/>
      <c r="FI839" s="5"/>
      <c r="FJ839" s="164"/>
      <c r="FL839" s="2"/>
      <c r="FN839" s="2"/>
    </row>
    <row r="840" spans="153:170" x14ac:dyDescent="0.35">
      <c r="EW840" s="48"/>
      <c r="FB840" s="5"/>
      <c r="FI840" s="5"/>
      <c r="FJ840" s="164"/>
      <c r="FL840" s="2"/>
      <c r="FN840" s="2"/>
    </row>
    <row r="841" spans="153:170" x14ac:dyDescent="0.35">
      <c r="EW841" s="48"/>
      <c r="FB841" s="5"/>
      <c r="FI841" s="5"/>
      <c r="FJ841" s="164"/>
      <c r="FL841" s="2"/>
      <c r="FN841" s="2"/>
    </row>
    <row r="842" spans="153:170" x14ac:dyDescent="0.35">
      <c r="EW842" s="48"/>
      <c r="FB842" s="5"/>
      <c r="FI842" s="5"/>
      <c r="FJ842" s="164"/>
      <c r="FL842" s="2"/>
      <c r="FN842" s="2"/>
    </row>
    <row r="843" spans="153:170" x14ac:dyDescent="0.35">
      <c r="EW843" s="48"/>
      <c r="FB843" s="5"/>
      <c r="FI843" s="5"/>
      <c r="FJ843" s="164"/>
      <c r="FL843" s="2"/>
      <c r="FN843" s="2"/>
    </row>
    <row r="844" spans="153:170" x14ac:dyDescent="0.35">
      <c r="EW844" s="48"/>
      <c r="FB844" s="5"/>
      <c r="FI844" s="5"/>
      <c r="FJ844" s="164"/>
      <c r="FL844" s="2"/>
      <c r="FN844" s="2"/>
    </row>
    <row r="845" spans="153:170" x14ac:dyDescent="0.35">
      <c r="EW845" s="48"/>
      <c r="FB845" s="5"/>
      <c r="FI845" s="5"/>
      <c r="FJ845" s="164"/>
      <c r="FL845" s="2"/>
      <c r="FN845" s="2"/>
    </row>
    <row r="846" spans="153:170" x14ac:dyDescent="0.35">
      <c r="EW846" s="48"/>
      <c r="FB846" s="5"/>
      <c r="FI846" s="5"/>
      <c r="FJ846" s="164"/>
      <c r="FL846" s="2"/>
      <c r="FN846" s="2"/>
    </row>
    <row r="847" spans="153:170" x14ac:dyDescent="0.35">
      <c r="EW847" s="48"/>
      <c r="FB847" s="5"/>
      <c r="FI847" s="5"/>
      <c r="FJ847" s="164"/>
      <c r="FL847" s="2"/>
      <c r="FN847" s="2"/>
    </row>
    <row r="848" spans="153:170" x14ac:dyDescent="0.35">
      <c r="EW848" s="48"/>
      <c r="FB848" s="5"/>
      <c r="FI848" s="5"/>
      <c r="FJ848" s="164"/>
      <c r="FL848" s="2"/>
      <c r="FN848" s="2"/>
    </row>
    <row r="849" spans="153:170" x14ac:dyDescent="0.35">
      <c r="EW849" s="48"/>
      <c r="FB849" s="5"/>
      <c r="FI849" s="5"/>
      <c r="FJ849" s="164"/>
      <c r="FL849" s="2"/>
      <c r="FN849" s="2"/>
    </row>
    <row r="850" spans="153:170" x14ac:dyDescent="0.35">
      <c r="EW850" s="48"/>
      <c r="FB850" s="5"/>
      <c r="FI850" s="5"/>
      <c r="FJ850" s="164"/>
      <c r="FL850" s="2"/>
      <c r="FN850" s="2"/>
    </row>
    <row r="851" spans="153:170" x14ac:dyDescent="0.35">
      <c r="EW851" s="48"/>
      <c r="FB851" s="5"/>
      <c r="FI851" s="5"/>
      <c r="FJ851" s="164"/>
      <c r="FL851" s="2"/>
      <c r="FN851" s="2"/>
    </row>
    <row r="852" spans="153:170" x14ac:dyDescent="0.35">
      <c r="EW852" s="48"/>
      <c r="FB852" s="5"/>
      <c r="FI852" s="5"/>
      <c r="FJ852" s="164"/>
      <c r="FL852" s="2"/>
      <c r="FN852" s="2"/>
    </row>
    <row r="853" spans="153:170" x14ac:dyDescent="0.35">
      <c r="EW853" s="48"/>
      <c r="FB853" s="5"/>
      <c r="FI853" s="5"/>
      <c r="FJ853" s="164"/>
      <c r="FL853" s="2"/>
      <c r="FN853" s="2"/>
    </row>
    <row r="854" spans="153:170" x14ac:dyDescent="0.35">
      <c r="EW854" s="48"/>
      <c r="FB854" s="5"/>
      <c r="FI854" s="5"/>
      <c r="FJ854" s="164"/>
      <c r="FL854" s="2"/>
      <c r="FN854" s="2"/>
    </row>
    <row r="855" spans="153:170" x14ac:dyDescent="0.35">
      <c r="EW855" s="48"/>
      <c r="FB855" s="5"/>
      <c r="FI855" s="5"/>
      <c r="FJ855" s="164"/>
      <c r="FL855" s="2"/>
      <c r="FN855" s="2"/>
    </row>
    <row r="856" spans="153:170" x14ac:dyDescent="0.35">
      <c r="EW856" s="48"/>
      <c r="FB856" s="5"/>
      <c r="FI856" s="5"/>
      <c r="FJ856" s="164"/>
      <c r="FL856" s="2"/>
      <c r="FN856" s="2"/>
    </row>
    <row r="857" spans="153:170" x14ac:dyDescent="0.35">
      <c r="EW857" s="48"/>
      <c r="FB857" s="5"/>
      <c r="FI857" s="5"/>
      <c r="FJ857" s="164"/>
      <c r="FL857" s="2"/>
      <c r="FN857" s="2"/>
    </row>
    <row r="858" spans="153:170" x14ac:dyDescent="0.35">
      <c r="EW858" s="48"/>
      <c r="FB858" s="5"/>
      <c r="FI858" s="5"/>
      <c r="FJ858" s="164"/>
      <c r="FL858" s="2"/>
      <c r="FN858" s="2"/>
    </row>
    <row r="859" spans="153:170" x14ac:dyDescent="0.35">
      <c r="EW859" s="48"/>
      <c r="FB859" s="5"/>
      <c r="FI859" s="5"/>
      <c r="FJ859" s="164"/>
      <c r="FL859" s="2"/>
      <c r="FN859" s="2"/>
    </row>
    <row r="860" spans="153:170" x14ac:dyDescent="0.35">
      <c r="EW860" s="48"/>
      <c r="FB860" s="5"/>
      <c r="FI860" s="5"/>
      <c r="FJ860" s="164"/>
      <c r="FL860" s="2"/>
      <c r="FN860" s="2"/>
    </row>
    <row r="861" spans="153:170" x14ac:dyDescent="0.35">
      <c r="EW861" s="48"/>
      <c r="FB861" s="5"/>
      <c r="FI861" s="5"/>
      <c r="FJ861" s="164"/>
      <c r="FL861" s="2"/>
      <c r="FN861" s="2"/>
    </row>
    <row r="862" spans="153:170" x14ac:dyDescent="0.35">
      <c r="EW862" s="48"/>
      <c r="FB862" s="5"/>
      <c r="FI862" s="5"/>
      <c r="FJ862" s="164"/>
      <c r="FL862" s="2"/>
      <c r="FN862" s="2"/>
    </row>
    <row r="863" spans="153:170" x14ac:dyDescent="0.35">
      <c r="EW863" s="48"/>
      <c r="FB863" s="5"/>
      <c r="FI863" s="5"/>
      <c r="FJ863" s="164"/>
      <c r="FL863" s="2"/>
      <c r="FN863" s="2"/>
    </row>
    <row r="864" spans="153:170" x14ac:dyDescent="0.35">
      <c r="EW864" s="48"/>
      <c r="FB864" s="5"/>
      <c r="FI864" s="5"/>
      <c r="FJ864" s="164"/>
      <c r="FL864" s="2"/>
      <c r="FN864" s="2"/>
    </row>
    <row r="865" spans="153:170" x14ac:dyDescent="0.35">
      <c r="EW865" s="48"/>
      <c r="FB865" s="5"/>
      <c r="FI865" s="5"/>
      <c r="FJ865" s="164"/>
      <c r="FL865" s="2"/>
      <c r="FN865" s="2"/>
    </row>
    <row r="866" spans="153:170" x14ac:dyDescent="0.35">
      <c r="EW866" s="48"/>
      <c r="FB866" s="5"/>
      <c r="FI866" s="5"/>
      <c r="FJ866" s="164"/>
      <c r="FL866" s="2"/>
      <c r="FN866" s="2"/>
    </row>
    <row r="867" spans="153:170" x14ac:dyDescent="0.35">
      <c r="EW867" s="48"/>
      <c r="FB867" s="5"/>
      <c r="FI867" s="5"/>
      <c r="FJ867" s="164"/>
      <c r="FL867" s="2"/>
      <c r="FN867" s="2"/>
    </row>
    <row r="868" spans="153:170" x14ac:dyDescent="0.35">
      <c r="EW868" s="48"/>
      <c r="FB868" s="5"/>
      <c r="FI868" s="5"/>
      <c r="FJ868" s="164"/>
      <c r="FL868" s="2"/>
      <c r="FN868" s="2"/>
    </row>
    <row r="869" spans="153:170" x14ac:dyDescent="0.35">
      <c r="EW869" s="48"/>
      <c r="FB869" s="5"/>
      <c r="FI869" s="5"/>
      <c r="FJ869" s="164"/>
      <c r="FL869" s="2"/>
      <c r="FN869" s="2"/>
    </row>
    <row r="870" spans="153:170" x14ac:dyDescent="0.35">
      <c r="EW870" s="48"/>
      <c r="FB870" s="5"/>
      <c r="FI870" s="5"/>
      <c r="FJ870" s="164"/>
      <c r="FL870" s="2"/>
      <c r="FN870" s="2"/>
    </row>
    <row r="871" spans="153:170" x14ac:dyDescent="0.35">
      <c r="EW871" s="48"/>
      <c r="FB871" s="5"/>
      <c r="FI871" s="5"/>
      <c r="FJ871" s="164"/>
      <c r="FL871" s="2"/>
      <c r="FN871" s="2"/>
    </row>
    <row r="872" spans="153:170" x14ac:dyDescent="0.35">
      <c r="EW872" s="48"/>
      <c r="FB872" s="5"/>
      <c r="FI872" s="5"/>
      <c r="FJ872" s="164"/>
      <c r="FL872" s="2"/>
      <c r="FN872" s="2"/>
    </row>
    <row r="873" spans="153:170" x14ac:dyDescent="0.35">
      <c r="EW873" s="48"/>
      <c r="FB873" s="5"/>
      <c r="FI873" s="5"/>
      <c r="FJ873" s="164"/>
      <c r="FL873" s="2"/>
      <c r="FN873" s="2"/>
    </row>
    <row r="874" spans="153:170" x14ac:dyDescent="0.35">
      <c r="EW874" s="48"/>
      <c r="FB874" s="5"/>
      <c r="FI874" s="5"/>
      <c r="FJ874" s="164"/>
      <c r="FL874" s="2"/>
      <c r="FN874" s="2"/>
    </row>
    <row r="875" spans="153:170" x14ac:dyDescent="0.35">
      <c r="EW875" s="48"/>
      <c r="FB875" s="5"/>
      <c r="FI875" s="5"/>
      <c r="FJ875" s="164"/>
      <c r="FL875" s="2"/>
      <c r="FN875" s="2"/>
    </row>
    <row r="876" spans="153:170" x14ac:dyDescent="0.35">
      <c r="EW876" s="48"/>
      <c r="FB876" s="5"/>
      <c r="FI876" s="5"/>
      <c r="FJ876" s="164"/>
      <c r="FL876" s="2"/>
      <c r="FN876" s="2"/>
    </row>
    <row r="877" spans="153:170" x14ac:dyDescent="0.35">
      <c r="EW877" s="48"/>
      <c r="FB877" s="5"/>
      <c r="FI877" s="5"/>
      <c r="FJ877" s="164"/>
      <c r="FL877" s="2"/>
      <c r="FN877" s="2"/>
    </row>
    <row r="878" spans="153:170" x14ac:dyDescent="0.35">
      <c r="EW878" s="48"/>
      <c r="FB878" s="5"/>
      <c r="FI878" s="5"/>
      <c r="FJ878" s="164"/>
      <c r="FL878" s="2"/>
      <c r="FN878" s="2"/>
    </row>
    <row r="879" spans="153:170" x14ac:dyDescent="0.35">
      <c r="EW879" s="48"/>
      <c r="FB879" s="5"/>
      <c r="FI879" s="5"/>
      <c r="FJ879" s="164"/>
      <c r="FL879" s="2"/>
      <c r="FN879" s="2"/>
    </row>
    <row r="880" spans="153:170" x14ac:dyDescent="0.35">
      <c r="EW880" s="48"/>
      <c r="FB880" s="5"/>
      <c r="FI880" s="5"/>
      <c r="FJ880" s="164"/>
      <c r="FL880" s="2"/>
      <c r="FN880" s="2"/>
    </row>
    <row r="881" spans="153:170" x14ac:dyDescent="0.35">
      <c r="EW881" s="48"/>
      <c r="FB881" s="5"/>
      <c r="FI881" s="5"/>
      <c r="FJ881" s="164"/>
      <c r="FL881" s="2"/>
      <c r="FN881" s="2"/>
    </row>
    <row r="882" spans="153:170" x14ac:dyDescent="0.35">
      <c r="EW882" s="48"/>
      <c r="FB882" s="5"/>
      <c r="FI882" s="5"/>
      <c r="FJ882" s="164"/>
      <c r="FL882" s="2"/>
      <c r="FN882" s="2"/>
    </row>
    <row r="883" spans="153:170" x14ac:dyDescent="0.35">
      <c r="EW883" s="48"/>
      <c r="FB883" s="5"/>
      <c r="FI883" s="5"/>
      <c r="FJ883" s="164"/>
      <c r="FL883" s="2"/>
      <c r="FN883" s="2"/>
    </row>
    <row r="884" spans="153:170" x14ac:dyDescent="0.35">
      <c r="EW884" s="48"/>
      <c r="FB884" s="5"/>
      <c r="FI884" s="5"/>
      <c r="FJ884" s="164"/>
      <c r="FL884" s="2"/>
      <c r="FN884" s="2"/>
    </row>
    <row r="885" spans="153:170" x14ac:dyDescent="0.35">
      <c r="EW885" s="48"/>
      <c r="FB885" s="5"/>
      <c r="FI885" s="5"/>
      <c r="FJ885" s="164"/>
      <c r="FL885" s="2"/>
      <c r="FN885" s="2"/>
    </row>
    <row r="886" spans="153:170" x14ac:dyDescent="0.35">
      <c r="EW886" s="48"/>
      <c r="FB886" s="5"/>
      <c r="FI886" s="5"/>
      <c r="FJ886" s="164"/>
      <c r="FL886" s="2"/>
      <c r="FN886" s="2"/>
    </row>
    <row r="887" spans="153:170" x14ac:dyDescent="0.35">
      <c r="EW887" s="48"/>
      <c r="FB887" s="5"/>
      <c r="FI887" s="5"/>
      <c r="FJ887" s="164"/>
      <c r="FL887" s="2"/>
      <c r="FN887" s="2"/>
    </row>
    <row r="888" spans="153:170" x14ac:dyDescent="0.35">
      <c r="EW888" s="48"/>
      <c r="FB888" s="5"/>
      <c r="FI888" s="5"/>
      <c r="FJ888" s="164"/>
      <c r="FL888" s="2"/>
      <c r="FN888" s="2"/>
    </row>
    <row r="889" spans="153:170" x14ac:dyDescent="0.35">
      <c r="EW889" s="48"/>
      <c r="FB889" s="5"/>
      <c r="FI889" s="5"/>
      <c r="FJ889" s="164"/>
      <c r="FL889" s="2"/>
      <c r="FN889" s="2"/>
    </row>
    <row r="890" spans="153:170" x14ac:dyDescent="0.35">
      <c r="EW890" s="48"/>
      <c r="FB890" s="5"/>
      <c r="FI890" s="5"/>
      <c r="FJ890" s="164"/>
      <c r="FL890" s="2"/>
      <c r="FN890" s="2"/>
    </row>
    <row r="891" spans="153:170" x14ac:dyDescent="0.35">
      <c r="EW891" s="48"/>
      <c r="FB891" s="5"/>
      <c r="FI891" s="5"/>
      <c r="FJ891" s="164"/>
      <c r="FL891" s="2"/>
      <c r="FN891" s="2"/>
    </row>
    <row r="892" spans="153:170" x14ac:dyDescent="0.35">
      <c r="EW892" s="48"/>
      <c r="FB892" s="5"/>
      <c r="FI892" s="5"/>
      <c r="FJ892" s="164"/>
      <c r="FL892" s="2"/>
      <c r="FN892" s="2"/>
    </row>
    <row r="893" spans="153:170" x14ac:dyDescent="0.35">
      <c r="EW893" s="48"/>
      <c r="FB893" s="5"/>
      <c r="FI893" s="5"/>
      <c r="FJ893" s="164"/>
      <c r="FL893" s="2"/>
      <c r="FN893" s="2"/>
    </row>
    <row r="894" spans="153:170" x14ac:dyDescent="0.35">
      <c r="EW894" s="48"/>
      <c r="FB894" s="5"/>
      <c r="FI894" s="5"/>
      <c r="FJ894" s="164"/>
      <c r="FL894" s="2"/>
      <c r="FN894" s="2"/>
    </row>
    <row r="895" spans="153:170" x14ac:dyDescent="0.35">
      <c r="EW895" s="48"/>
      <c r="FB895" s="5"/>
      <c r="FI895" s="5"/>
      <c r="FJ895" s="164"/>
      <c r="FL895" s="2"/>
      <c r="FN895" s="2"/>
    </row>
    <row r="896" spans="153:170" x14ac:dyDescent="0.35">
      <c r="EW896" s="48"/>
      <c r="FB896" s="5"/>
      <c r="FI896" s="5"/>
      <c r="FJ896" s="164"/>
      <c r="FL896" s="2"/>
      <c r="FN896" s="2"/>
    </row>
    <row r="897" spans="153:170" x14ac:dyDescent="0.35">
      <c r="EW897" s="48"/>
      <c r="FB897" s="5"/>
      <c r="FI897" s="5"/>
      <c r="FJ897" s="164"/>
      <c r="FL897" s="2"/>
      <c r="FN897" s="2"/>
    </row>
    <row r="898" spans="153:170" x14ac:dyDescent="0.35">
      <c r="EW898" s="48"/>
      <c r="FB898" s="5"/>
      <c r="FI898" s="5"/>
      <c r="FJ898" s="164"/>
      <c r="FL898" s="2"/>
      <c r="FN898" s="2"/>
    </row>
    <row r="899" spans="153:170" x14ac:dyDescent="0.35">
      <c r="EW899" s="48"/>
      <c r="FB899" s="5"/>
      <c r="FI899" s="5"/>
      <c r="FJ899" s="164"/>
      <c r="FL899" s="2"/>
      <c r="FN899" s="2"/>
    </row>
    <row r="900" spans="153:170" x14ac:dyDescent="0.35">
      <c r="EW900" s="48"/>
      <c r="FB900" s="5"/>
      <c r="FI900" s="5"/>
      <c r="FJ900" s="164"/>
      <c r="FL900" s="2"/>
      <c r="FN900" s="2"/>
    </row>
    <row r="901" spans="153:170" x14ac:dyDescent="0.35">
      <c r="EW901" s="48"/>
      <c r="FB901" s="5"/>
      <c r="FI901" s="5"/>
      <c r="FJ901" s="164"/>
      <c r="FL901" s="2"/>
      <c r="FN901" s="2"/>
    </row>
    <row r="902" spans="153:170" x14ac:dyDescent="0.35">
      <c r="EW902" s="48"/>
      <c r="FB902" s="5"/>
      <c r="FI902" s="5"/>
      <c r="FJ902" s="164"/>
      <c r="FL902" s="2"/>
      <c r="FN902" s="2"/>
    </row>
    <row r="903" spans="153:170" x14ac:dyDescent="0.35">
      <c r="EW903" s="48"/>
      <c r="FB903" s="5"/>
      <c r="FI903" s="5"/>
      <c r="FJ903" s="164"/>
      <c r="FL903" s="2"/>
      <c r="FN903" s="2"/>
    </row>
    <row r="904" spans="153:170" x14ac:dyDescent="0.35">
      <c r="EW904" s="48"/>
      <c r="FB904" s="5"/>
      <c r="FI904" s="5"/>
      <c r="FJ904" s="164"/>
      <c r="FL904" s="2"/>
      <c r="FN904" s="2"/>
    </row>
    <row r="905" spans="153:170" x14ac:dyDescent="0.35">
      <c r="EW905" s="48"/>
      <c r="FB905" s="5"/>
      <c r="FI905" s="5"/>
      <c r="FJ905" s="164"/>
      <c r="FL905" s="2"/>
      <c r="FN905" s="2"/>
    </row>
    <row r="906" spans="153:170" x14ac:dyDescent="0.35">
      <c r="EW906" s="48"/>
      <c r="FB906" s="5"/>
      <c r="FI906" s="5"/>
      <c r="FJ906" s="164"/>
      <c r="FL906" s="2"/>
      <c r="FN906" s="2"/>
    </row>
    <row r="907" spans="153:170" x14ac:dyDescent="0.35">
      <c r="EW907" s="48"/>
      <c r="FB907" s="5"/>
      <c r="FI907" s="5"/>
      <c r="FJ907" s="164"/>
      <c r="FL907" s="2"/>
      <c r="FN907" s="2"/>
    </row>
    <row r="908" spans="153:170" x14ac:dyDescent="0.35">
      <c r="EW908" s="48"/>
      <c r="FB908" s="5"/>
      <c r="FI908" s="5"/>
      <c r="FJ908" s="164"/>
      <c r="FL908" s="2"/>
      <c r="FN908" s="2"/>
    </row>
    <row r="909" spans="153:170" x14ac:dyDescent="0.35">
      <c r="EW909" s="48"/>
      <c r="FB909" s="5"/>
      <c r="FI909" s="5"/>
      <c r="FJ909" s="164"/>
      <c r="FL909" s="2"/>
      <c r="FN909" s="2"/>
    </row>
    <row r="910" spans="153:170" x14ac:dyDescent="0.35">
      <c r="EW910" s="48"/>
      <c r="FB910" s="5"/>
      <c r="FI910" s="5"/>
      <c r="FJ910" s="164"/>
      <c r="FL910" s="2"/>
      <c r="FN910" s="2"/>
    </row>
    <row r="911" spans="153:170" x14ac:dyDescent="0.35">
      <c r="EW911" s="48"/>
      <c r="FB911" s="5"/>
      <c r="FI911" s="5"/>
      <c r="FJ911" s="164"/>
      <c r="FL911" s="2"/>
      <c r="FN911" s="2"/>
    </row>
    <row r="912" spans="153:170" x14ac:dyDescent="0.35">
      <c r="EW912" s="48"/>
      <c r="FB912" s="5"/>
      <c r="FI912" s="5"/>
      <c r="FJ912" s="164"/>
      <c r="FL912" s="2"/>
      <c r="FN912" s="2"/>
    </row>
    <row r="913" spans="153:170" x14ac:dyDescent="0.35">
      <c r="EW913" s="48"/>
      <c r="FB913" s="5"/>
      <c r="FI913" s="5"/>
      <c r="FJ913" s="164"/>
      <c r="FL913" s="2"/>
      <c r="FN913" s="2"/>
    </row>
    <row r="914" spans="153:170" x14ac:dyDescent="0.35">
      <c r="EW914" s="48"/>
      <c r="FB914" s="5"/>
      <c r="FI914" s="5"/>
      <c r="FJ914" s="164"/>
      <c r="FL914" s="2"/>
      <c r="FN914" s="2"/>
    </row>
    <row r="915" spans="153:170" x14ac:dyDescent="0.35">
      <c r="EW915" s="48"/>
      <c r="FB915" s="5"/>
      <c r="FI915" s="5"/>
      <c r="FJ915" s="164"/>
      <c r="FL915" s="2"/>
      <c r="FN915" s="2"/>
    </row>
    <row r="916" spans="153:170" x14ac:dyDescent="0.35">
      <c r="EW916" s="48"/>
      <c r="FB916" s="5"/>
      <c r="FI916" s="5"/>
      <c r="FJ916" s="164"/>
      <c r="FL916" s="2"/>
      <c r="FN916" s="2"/>
    </row>
    <row r="917" spans="153:170" x14ac:dyDescent="0.35">
      <c r="EW917" s="48"/>
      <c r="FB917" s="5"/>
      <c r="FI917" s="5"/>
      <c r="FJ917" s="164"/>
      <c r="FL917" s="2"/>
      <c r="FN917" s="2"/>
    </row>
    <row r="918" spans="153:170" x14ac:dyDescent="0.35">
      <c r="EW918" s="48"/>
      <c r="FB918" s="5"/>
      <c r="FI918" s="5"/>
      <c r="FJ918" s="164"/>
      <c r="FL918" s="2"/>
      <c r="FN918" s="2"/>
    </row>
    <row r="919" spans="153:170" x14ac:dyDescent="0.35">
      <c r="EW919" s="48"/>
      <c r="FB919" s="5"/>
      <c r="FI919" s="5"/>
      <c r="FJ919" s="164"/>
      <c r="FL919" s="2"/>
      <c r="FN919" s="2"/>
    </row>
    <row r="920" spans="153:170" x14ac:dyDescent="0.35">
      <c r="EW920" s="48"/>
      <c r="FB920" s="5"/>
      <c r="FI920" s="5"/>
      <c r="FJ920" s="164"/>
      <c r="FL920" s="2"/>
      <c r="FN920" s="2"/>
    </row>
    <row r="921" spans="153:170" x14ac:dyDescent="0.35">
      <c r="EW921" s="48"/>
      <c r="FB921" s="5"/>
      <c r="FI921" s="5"/>
      <c r="FJ921" s="164"/>
      <c r="FL921" s="2"/>
      <c r="FN921" s="2"/>
    </row>
    <row r="922" spans="153:170" x14ac:dyDescent="0.35">
      <c r="EW922" s="48"/>
      <c r="FB922" s="5"/>
      <c r="FI922" s="5"/>
      <c r="FJ922" s="164"/>
      <c r="FL922" s="2"/>
      <c r="FN922" s="2"/>
    </row>
    <row r="923" spans="153:170" x14ac:dyDescent="0.35">
      <c r="EW923" s="48"/>
      <c r="FB923" s="5"/>
      <c r="FI923" s="5"/>
      <c r="FJ923" s="164"/>
      <c r="FL923" s="2"/>
      <c r="FN923" s="2"/>
    </row>
    <row r="924" spans="153:170" x14ac:dyDescent="0.35">
      <c r="EW924" s="48"/>
      <c r="FB924" s="5"/>
      <c r="FI924" s="5"/>
      <c r="FJ924" s="164"/>
      <c r="FL924" s="2"/>
      <c r="FN924" s="2"/>
    </row>
    <row r="925" spans="153:170" x14ac:dyDescent="0.35">
      <c r="EW925" s="48"/>
      <c r="FB925" s="5"/>
      <c r="FI925" s="5"/>
      <c r="FJ925" s="164"/>
      <c r="FL925" s="2"/>
      <c r="FN925" s="2"/>
    </row>
    <row r="926" spans="153:170" x14ac:dyDescent="0.35">
      <c r="EW926" s="48"/>
      <c r="FB926" s="5"/>
      <c r="FI926" s="5"/>
      <c r="FJ926" s="164"/>
      <c r="FL926" s="2"/>
      <c r="FN926" s="2"/>
    </row>
    <row r="927" spans="153:170" x14ac:dyDescent="0.35">
      <c r="EW927" s="48"/>
      <c r="FB927" s="5"/>
      <c r="FI927" s="5"/>
      <c r="FJ927" s="164"/>
      <c r="FL927" s="2"/>
      <c r="FN927" s="2"/>
    </row>
    <row r="928" spans="153:170" x14ac:dyDescent="0.35">
      <c r="EW928" s="48"/>
      <c r="FB928" s="5"/>
      <c r="FI928" s="5"/>
      <c r="FJ928" s="164"/>
      <c r="FL928" s="2"/>
      <c r="FN928" s="2"/>
    </row>
    <row r="929" spans="153:170" x14ac:dyDescent="0.35">
      <c r="EW929" s="48"/>
      <c r="FB929" s="5"/>
      <c r="FI929" s="5"/>
      <c r="FJ929" s="164"/>
      <c r="FL929" s="2"/>
      <c r="FN929" s="2"/>
    </row>
    <row r="930" spans="153:170" x14ac:dyDescent="0.35">
      <c r="EW930" s="48"/>
      <c r="FB930" s="5"/>
      <c r="FI930" s="5"/>
      <c r="FJ930" s="164"/>
      <c r="FL930" s="2"/>
      <c r="FN930" s="2"/>
    </row>
    <row r="931" spans="153:170" x14ac:dyDescent="0.35">
      <c r="EW931" s="48"/>
      <c r="FB931" s="5"/>
      <c r="FI931" s="5"/>
      <c r="FJ931" s="164"/>
      <c r="FL931" s="2"/>
      <c r="FN931" s="2"/>
    </row>
    <row r="932" spans="153:170" x14ac:dyDescent="0.35">
      <c r="EW932" s="48"/>
      <c r="FB932" s="5"/>
      <c r="FI932" s="5"/>
      <c r="FJ932" s="164"/>
      <c r="FL932" s="2"/>
      <c r="FN932" s="2"/>
    </row>
    <row r="933" spans="153:170" x14ac:dyDescent="0.35">
      <c r="EW933" s="48"/>
      <c r="FB933" s="5"/>
      <c r="FI933" s="5"/>
      <c r="FJ933" s="164"/>
      <c r="FL933" s="2"/>
      <c r="FN933" s="2"/>
    </row>
    <row r="934" spans="153:170" x14ac:dyDescent="0.35">
      <c r="EW934" s="48"/>
      <c r="FB934" s="5"/>
      <c r="FI934" s="5"/>
      <c r="FJ934" s="164"/>
      <c r="FL934" s="2"/>
      <c r="FN934" s="2"/>
    </row>
    <row r="935" spans="153:170" x14ac:dyDescent="0.35">
      <c r="EW935" s="48"/>
      <c r="FB935" s="5"/>
      <c r="FI935" s="5"/>
      <c r="FJ935" s="164"/>
      <c r="FL935" s="2"/>
      <c r="FN935" s="2"/>
    </row>
    <row r="936" spans="153:170" x14ac:dyDescent="0.35">
      <c r="EW936" s="48"/>
      <c r="FB936" s="5"/>
      <c r="FI936" s="5"/>
      <c r="FJ936" s="164"/>
      <c r="FL936" s="2"/>
      <c r="FN936" s="2"/>
    </row>
    <row r="937" spans="153:170" x14ac:dyDescent="0.35">
      <c r="EW937" s="48"/>
      <c r="FB937" s="5"/>
      <c r="FI937" s="5"/>
      <c r="FJ937" s="164"/>
      <c r="FL937" s="2"/>
      <c r="FN937" s="2"/>
    </row>
    <row r="938" spans="153:170" x14ac:dyDescent="0.35">
      <c r="EW938" s="48"/>
      <c r="FB938" s="5"/>
      <c r="FI938" s="5"/>
      <c r="FJ938" s="164"/>
      <c r="FL938" s="2"/>
      <c r="FN938" s="2"/>
    </row>
    <row r="939" spans="153:170" x14ac:dyDescent="0.35">
      <c r="EW939" s="48"/>
      <c r="FB939" s="5"/>
      <c r="FI939" s="5"/>
      <c r="FJ939" s="164"/>
      <c r="FL939" s="2"/>
      <c r="FN939" s="2"/>
    </row>
    <row r="940" spans="153:170" x14ac:dyDescent="0.35">
      <c r="EW940" s="48"/>
      <c r="FB940" s="5"/>
      <c r="FI940" s="5"/>
      <c r="FJ940" s="164"/>
      <c r="FL940" s="2"/>
      <c r="FN940" s="2"/>
    </row>
    <row r="941" spans="153:170" x14ac:dyDescent="0.35">
      <c r="EW941" s="48"/>
      <c r="FB941" s="5"/>
      <c r="FI941" s="5"/>
      <c r="FJ941" s="164"/>
      <c r="FL941" s="2"/>
      <c r="FN941" s="2"/>
    </row>
    <row r="942" spans="153:170" x14ac:dyDescent="0.35">
      <c r="EW942" s="48"/>
      <c r="FB942" s="5"/>
      <c r="FI942" s="5"/>
      <c r="FJ942" s="164"/>
      <c r="FL942" s="2"/>
      <c r="FN942" s="2"/>
    </row>
    <row r="943" spans="153:170" x14ac:dyDescent="0.35">
      <c r="EW943" s="48"/>
      <c r="FB943" s="5"/>
      <c r="FI943" s="5"/>
      <c r="FJ943" s="164"/>
      <c r="FL943" s="2"/>
      <c r="FN943" s="2"/>
    </row>
    <row r="944" spans="153:170" x14ac:dyDescent="0.35">
      <c r="EW944" s="48"/>
      <c r="FB944" s="5"/>
      <c r="FI944" s="5"/>
      <c r="FJ944" s="164"/>
      <c r="FL944" s="2"/>
      <c r="FN944" s="2"/>
    </row>
    <row r="945" spans="153:170" x14ac:dyDescent="0.35">
      <c r="EW945" s="48"/>
      <c r="FB945" s="5"/>
      <c r="FI945" s="5"/>
      <c r="FJ945" s="164"/>
      <c r="FL945" s="2"/>
      <c r="FN945" s="2"/>
    </row>
    <row r="946" spans="153:170" x14ac:dyDescent="0.35">
      <c r="EW946" s="48"/>
      <c r="FB946" s="5"/>
      <c r="FI946" s="5"/>
      <c r="FJ946" s="164"/>
      <c r="FL946" s="2"/>
      <c r="FN946" s="2"/>
    </row>
    <row r="947" spans="153:170" x14ac:dyDescent="0.35">
      <c r="EW947" s="48"/>
      <c r="FB947" s="5"/>
      <c r="FI947" s="5"/>
      <c r="FJ947" s="164"/>
      <c r="FL947" s="2"/>
      <c r="FN947" s="2"/>
    </row>
    <row r="948" spans="153:170" x14ac:dyDescent="0.35">
      <c r="EW948" s="48"/>
      <c r="FB948" s="5"/>
      <c r="FI948" s="5"/>
      <c r="FJ948" s="164"/>
      <c r="FL948" s="2"/>
      <c r="FN948" s="2"/>
    </row>
    <row r="949" spans="153:170" x14ac:dyDescent="0.35">
      <c r="EW949" s="48"/>
      <c r="FB949" s="5"/>
      <c r="FI949" s="5"/>
      <c r="FJ949" s="164"/>
      <c r="FL949" s="2"/>
      <c r="FN949" s="2"/>
    </row>
    <row r="950" spans="153:170" x14ac:dyDescent="0.35">
      <c r="EW950" s="48"/>
      <c r="FB950" s="5"/>
      <c r="FI950" s="5"/>
      <c r="FJ950" s="164"/>
      <c r="FL950" s="2"/>
      <c r="FN950" s="2"/>
    </row>
    <row r="951" spans="153:170" x14ac:dyDescent="0.35">
      <c r="EW951" s="48"/>
      <c r="FB951" s="5"/>
      <c r="FI951" s="5"/>
      <c r="FJ951" s="164"/>
      <c r="FL951" s="2"/>
      <c r="FN951" s="2"/>
    </row>
    <row r="952" spans="153:170" x14ac:dyDescent="0.35">
      <c r="EW952" s="48"/>
      <c r="FB952" s="5"/>
      <c r="FI952" s="5"/>
      <c r="FJ952" s="164"/>
      <c r="FL952" s="2"/>
      <c r="FN952" s="2"/>
    </row>
    <row r="953" spans="153:170" x14ac:dyDescent="0.35">
      <c r="EW953" s="48"/>
      <c r="FB953" s="5"/>
      <c r="FI953" s="5"/>
      <c r="FJ953" s="164"/>
      <c r="FL953" s="2"/>
      <c r="FN953" s="2"/>
    </row>
    <row r="954" spans="153:170" x14ac:dyDescent="0.35">
      <c r="EW954" s="48"/>
      <c r="FB954" s="5"/>
      <c r="FI954" s="5"/>
      <c r="FJ954" s="164"/>
      <c r="FL954" s="2"/>
      <c r="FN954" s="2"/>
    </row>
    <row r="955" spans="153:170" x14ac:dyDescent="0.35">
      <c r="EW955" s="48"/>
      <c r="FB955" s="5"/>
      <c r="FI955" s="5"/>
      <c r="FJ955" s="164"/>
      <c r="FL955" s="2"/>
      <c r="FN955" s="2"/>
    </row>
    <row r="956" spans="153:170" x14ac:dyDescent="0.35">
      <c r="EW956" s="48"/>
      <c r="FB956" s="5"/>
      <c r="FI956" s="5"/>
      <c r="FJ956" s="164"/>
      <c r="FL956" s="2"/>
      <c r="FN956" s="2"/>
    </row>
    <row r="957" spans="153:170" x14ac:dyDescent="0.35">
      <c r="EW957" s="48"/>
      <c r="FB957" s="5"/>
      <c r="FI957" s="5"/>
      <c r="FJ957" s="164"/>
      <c r="FL957" s="2"/>
      <c r="FN957" s="2"/>
    </row>
    <row r="958" spans="153:170" x14ac:dyDescent="0.35">
      <c r="EW958" s="48"/>
      <c r="FB958" s="5"/>
      <c r="FI958" s="5"/>
      <c r="FJ958" s="164"/>
      <c r="FL958" s="2"/>
      <c r="FN958" s="2"/>
    </row>
    <row r="959" spans="153:170" x14ac:dyDescent="0.35">
      <c r="EW959" s="48"/>
      <c r="FB959" s="5"/>
      <c r="FI959" s="5"/>
      <c r="FJ959" s="164"/>
      <c r="FL959" s="2"/>
      <c r="FN959" s="2"/>
    </row>
    <row r="960" spans="153:170" x14ac:dyDescent="0.35">
      <c r="EW960" s="48"/>
      <c r="FB960" s="5"/>
      <c r="FI960" s="5"/>
      <c r="FJ960" s="164"/>
      <c r="FL960" s="2"/>
      <c r="FN960" s="2"/>
    </row>
    <row r="961" spans="153:170" x14ac:dyDescent="0.35">
      <c r="EW961" s="48"/>
      <c r="FB961" s="5"/>
      <c r="FI961" s="5"/>
      <c r="FJ961" s="164"/>
      <c r="FL961" s="2"/>
      <c r="FN961" s="2"/>
    </row>
    <row r="962" spans="153:170" x14ac:dyDescent="0.35">
      <c r="EW962" s="48"/>
      <c r="FB962" s="5"/>
      <c r="FI962" s="5"/>
      <c r="FJ962" s="164"/>
      <c r="FL962" s="2"/>
      <c r="FN962" s="2"/>
    </row>
    <row r="963" spans="153:170" x14ac:dyDescent="0.35">
      <c r="EW963" s="48"/>
      <c r="FB963" s="5"/>
      <c r="FI963" s="5"/>
      <c r="FJ963" s="164"/>
      <c r="FL963" s="2"/>
      <c r="FN963" s="2"/>
    </row>
    <row r="964" spans="153:170" x14ac:dyDescent="0.35">
      <c r="EW964" s="48"/>
      <c r="FB964" s="5"/>
      <c r="FI964" s="5"/>
      <c r="FJ964" s="164"/>
      <c r="FL964" s="2"/>
      <c r="FN964" s="2"/>
    </row>
    <row r="965" spans="153:170" x14ac:dyDescent="0.35">
      <c r="EW965" s="48"/>
      <c r="FB965" s="5"/>
      <c r="FI965" s="5"/>
      <c r="FJ965" s="164"/>
      <c r="FL965" s="2"/>
      <c r="FN965" s="2"/>
    </row>
    <row r="966" spans="153:170" x14ac:dyDescent="0.35">
      <c r="EW966" s="48"/>
      <c r="FB966" s="5"/>
      <c r="FI966" s="5"/>
      <c r="FJ966" s="164"/>
      <c r="FL966" s="2"/>
      <c r="FN966" s="2"/>
    </row>
    <row r="967" spans="153:170" x14ac:dyDescent="0.35">
      <c r="EW967" s="48"/>
      <c r="FB967" s="5"/>
      <c r="FI967" s="5"/>
      <c r="FJ967" s="164"/>
      <c r="FL967" s="2"/>
      <c r="FN967" s="2"/>
    </row>
    <row r="968" spans="153:170" x14ac:dyDescent="0.35">
      <c r="EW968" s="48"/>
      <c r="FB968" s="5"/>
      <c r="FI968" s="5"/>
      <c r="FJ968" s="164"/>
      <c r="FL968" s="2"/>
      <c r="FN968" s="2"/>
    </row>
    <row r="969" spans="153:170" x14ac:dyDescent="0.35">
      <c r="EW969" s="48"/>
      <c r="FB969" s="5"/>
      <c r="FI969" s="5"/>
      <c r="FJ969" s="164"/>
      <c r="FL969" s="2"/>
      <c r="FN969" s="2"/>
    </row>
    <row r="970" spans="153:170" x14ac:dyDescent="0.35">
      <c r="EW970" s="48"/>
      <c r="FB970" s="5"/>
      <c r="FI970" s="5"/>
      <c r="FJ970" s="164"/>
      <c r="FL970" s="2"/>
      <c r="FN970" s="2"/>
    </row>
    <row r="971" spans="153:170" x14ac:dyDescent="0.35">
      <c r="EW971" s="48"/>
      <c r="FB971" s="5"/>
      <c r="FI971" s="5"/>
      <c r="FJ971" s="164"/>
      <c r="FL971" s="2"/>
      <c r="FN971" s="2"/>
    </row>
    <row r="972" spans="153:170" x14ac:dyDescent="0.35">
      <c r="EW972" s="48"/>
      <c r="FB972" s="5"/>
      <c r="FI972" s="5"/>
      <c r="FJ972" s="164"/>
      <c r="FL972" s="2"/>
      <c r="FN972" s="2"/>
    </row>
    <row r="973" spans="153:170" x14ac:dyDescent="0.35">
      <c r="EW973" s="48"/>
      <c r="FB973" s="5"/>
      <c r="FI973" s="5"/>
      <c r="FJ973" s="164"/>
      <c r="FL973" s="2"/>
      <c r="FN973" s="2"/>
    </row>
    <row r="974" spans="153:170" x14ac:dyDescent="0.35">
      <c r="EW974" s="48"/>
      <c r="FB974" s="5"/>
      <c r="FI974" s="5"/>
      <c r="FJ974" s="164"/>
      <c r="FL974" s="2"/>
      <c r="FN974" s="2"/>
    </row>
    <row r="975" spans="153:170" x14ac:dyDescent="0.35">
      <c r="EW975" s="48"/>
      <c r="FB975" s="5"/>
      <c r="FI975" s="5"/>
      <c r="FJ975" s="164"/>
      <c r="FL975" s="2"/>
      <c r="FN975" s="2"/>
    </row>
    <row r="976" spans="153:170" x14ac:dyDescent="0.35">
      <c r="EW976" s="48"/>
      <c r="FB976" s="5"/>
      <c r="FI976" s="5"/>
      <c r="FJ976" s="164"/>
      <c r="FL976" s="2"/>
      <c r="FN976" s="2"/>
    </row>
    <row r="977" spans="153:170" x14ac:dyDescent="0.35">
      <c r="EW977" s="48"/>
      <c r="FB977" s="5"/>
      <c r="FI977" s="5"/>
      <c r="FJ977" s="164"/>
      <c r="FL977" s="2"/>
      <c r="FN977" s="2"/>
    </row>
    <row r="978" spans="153:170" x14ac:dyDescent="0.35">
      <c r="EW978" s="48"/>
      <c r="FB978" s="5"/>
      <c r="FI978" s="5"/>
      <c r="FJ978" s="164"/>
      <c r="FL978" s="2"/>
      <c r="FN978" s="2"/>
    </row>
    <row r="979" spans="153:170" x14ac:dyDescent="0.35">
      <c r="EW979" s="48"/>
      <c r="FB979" s="5"/>
      <c r="FI979" s="5"/>
      <c r="FJ979" s="164"/>
      <c r="FL979" s="2"/>
      <c r="FN979" s="2"/>
    </row>
    <row r="980" spans="153:170" x14ac:dyDescent="0.35">
      <c r="EW980" s="48"/>
      <c r="FB980" s="5"/>
      <c r="FI980" s="5"/>
      <c r="FJ980" s="164"/>
      <c r="FL980" s="2"/>
      <c r="FN980" s="2"/>
    </row>
    <row r="981" spans="153:170" x14ac:dyDescent="0.35">
      <c r="EW981" s="48"/>
      <c r="FB981" s="5"/>
      <c r="FI981" s="5"/>
      <c r="FJ981" s="164"/>
      <c r="FL981" s="2"/>
      <c r="FN981" s="2"/>
    </row>
    <row r="982" spans="153:170" x14ac:dyDescent="0.35">
      <c r="EW982" s="48"/>
      <c r="FB982" s="5"/>
      <c r="FI982" s="5"/>
      <c r="FJ982" s="164"/>
      <c r="FL982" s="2"/>
      <c r="FN982" s="2"/>
    </row>
    <row r="983" spans="153:170" x14ac:dyDescent="0.35">
      <c r="EW983" s="48"/>
      <c r="FB983" s="5"/>
      <c r="FI983" s="5"/>
      <c r="FJ983" s="164"/>
      <c r="FL983" s="2"/>
      <c r="FN983" s="2"/>
    </row>
    <row r="984" spans="153:170" x14ac:dyDescent="0.35">
      <c r="EW984" s="48"/>
      <c r="FB984" s="5"/>
      <c r="FI984" s="5"/>
      <c r="FJ984" s="164"/>
      <c r="FL984" s="2"/>
      <c r="FN984" s="2"/>
    </row>
    <row r="985" spans="153:170" x14ac:dyDescent="0.35">
      <c r="EW985" s="48"/>
      <c r="FB985" s="5"/>
      <c r="FI985" s="5"/>
      <c r="FJ985" s="164"/>
      <c r="FL985" s="2"/>
      <c r="FN985" s="2"/>
    </row>
    <row r="986" spans="153:170" x14ac:dyDescent="0.35">
      <c r="EW986" s="48"/>
      <c r="FB986" s="5"/>
      <c r="FI986" s="5"/>
      <c r="FJ986" s="164"/>
      <c r="FL986" s="2"/>
      <c r="FN986" s="2"/>
    </row>
    <row r="987" spans="153:170" x14ac:dyDescent="0.35">
      <c r="EW987" s="48"/>
      <c r="FB987" s="5"/>
      <c r="FI987" s="5"/>
      <c r="FJ987" s="164"/>
      <c r="FL987" s="2"/>
      <c r="FN987" s="2"/>
    </row>
    <row r="988" spans="153:170" x14ac:dyDescent="0.35">
      <c r="EW988" s="48"/>
      <c r="FB988" s="5"/>
      <c r="FI988" s="5"/>
      <c r="FJ988" s="164"/>
      <c r="FL988" s="2"/>
      <c r="FN988" s="2"/>
    </row>
    <row r="989" spans="153:170" x14ac:dyDescent="0.35">
      <c r="EW989" s="48"/>
      <c r="FB989" s="5"/>
      <c r="FI989" s="5"/>
      <c r="FJ989" s="164"/>
      <c r="FL989" s="2"/>
      <c r="FN989" s="2"/>
    </row>
    <row r="990" spans="153:170" x14ac:dyDescent="0.35">
      <c r="EW990" s="48"/>
      <c r="FB990" s="5"/>
      <c r="FI990" s="5"/>
      <c r="FJ990" s="164"/>
      <c r="FL990" s="2"/>
      <c r="FN990" s="2"/>
    </row>
    <row r="991" spans="153:170" x14ac:dyDescent="0.35">
      <c r="EW991" s="48"/>
      <c r="FB991" s="5"/>
      <c r="FI991" s="5"/>
      <c r="FJ991" s="164"/>
      <c r="FL991" s="2"/>
      <c r="FN991" s="2"/>
    </row>
    <row r="992" spans="153:170" x14ac:dyDescent="0.35">
      <c r="EW992" s="48"/>
      <c r="FB992" s="5"/>
      <c r="FI992" s="5"/>
      <c r="FJ992" s="164"/>
      <c r="FL992" s="2"/>
      <c r="FN992" s="2"/>
    </row>
    <row r="993" spans="153:170" x14ac:dyDescent="0.35">
      <c r="EW993" s="48"/>
      <c r="FB993" s="5"/>
      <c r="FI993" s="5"/>
      <c r="FJ993" s="164"/>
      <c r="FL993" s="2"/>
      <c r="FN993" s="2"/>
    </row>
    <row r="994" spans="153:170" x14ac:dyDescent="0.35">
      <c r="EW994" s="48"/>
      <c r="FB994" s="5"/>
      <c r="FI994" s="5"/>
      <c r="FJ994" s="164"/>
      <c r="FL994" s="2"/>
      <c r="FN994" s="2"/>
    </row>
    <row r="995" spans="153:170" x14ac:dyDescent="0.35">
      <c r="EW995" s="48"/>
      <c r="FB995" s="5"/>
      <c r="FI995" s="5"/>
      <c r="FJ995" s="164"/>
      <c r="FL995" s="2"/>
      <c r="FN995" s="2"/>
    </row>
    <row r="996" spans="153:170" x14ac:dyDescent="0.35">
      <c r="EW996" s="48"/>
      <c r="FB996" s="5"/>
      <c r="FI996" s="5"/>
      <c r="FJ996" s="164"/>
      <c r="FL996" s="2"/>
      <c r="FN996" s="2"/>
    </row>
    <row r="997" spans="153:170" x14ac:dyDescent="0.35">
      <c r="EW997" s="48"/>
      <c r="FB997" s="5"/>
      <c r="FI997" s="5"/>
      <c r="FJ997" s="164"/>
      <c r="FL997" s="2"/>
      <c r="FN997" s="2"/>
    </row>
    <row r="998" spans="153:170" x14ac:dyDescent="0.35">
      <c r="EW998" s="48"/>
      <c r="FB998" s="5"/>
      <c r="FI998" s="5"/>
      <c r="FJ998" s="164"/>
      <c r="FL998" s="2"/>
      <c r="FN998" s="2"/>
    </row>
    <row r="999" spans="153:170" x14ac:dyDescent="0.35">
      <c r="EW999" s="48"/>
      <c r="FB999" s="5"/>
      <c r="FI999" s="5"/>
      <c r="FJ999" s="164"/>
      <c r="FL999" s="2"/>
      <c r="FN999" s="2"/>
    </row>
    <row r="1000" spans="153:170" x14ac:dyDescent="0.35">
      <c r="EW1000" s="48"/>
      <c r="FB1000" s="5"/>
      <c r="FI1000" s="5"/>
      <c r="FJ1000" s="164"/>
      <c r="FL1000" s="2"/>
      <c r="FN1000" s="2"/>
    </row>
    <row r="1001" spans="153:170" x14ac:dyDescent="0.35">
      <c r="EW1001" s="48"/>
      <c r="FB1001" s="5"/>
      <c r="FI1001" s="5"/>
      <c r="FJ1001" s="164"/>
      <c r="FL1001" s="2"/>
      <c r="FN1001" s="2"/>
    </row>
    <row r="1002" spans="153:170" x14ac:dyDescent="0.35">
      <c r="EW1002" s="48"/>
      <c r="FB1002" s="5"/>
      <c r="FI1002" s="5"/>
      <c r="FJ1002" s="164"/>
      <c r="FL1002" s="2"/>
      <c r="FN1002" s="2"/>
    </row>
    <row r="1003" spans="153:170" x14ac:dyDescent="0.35">
      <c r="EW1003" s="48"/>
      <c r="FB1003" s="5"/>
      <c r="FI1003" s="5"/>
      <c r="FJ1003" s="164"/>
      <c r="FL1003" s="2"/>
      <c r="FN1003" s="2"/>
    </row>
    <row r="1004" spans="153:170" x14ac:dyDescent="0.35">
      <c r="EW1004" s="48"/>
      <c r="FB1004" s="5"/>
      <c r="FI1004" s="5"/>
      <c r="FJ1004" s="164"/>
      <c r="FL1004" s="2"/>
      <c r="FN1004" s="2"/>
    </row>
    <row r="1005" spans="153:170" x14ac:dyDescent="0.35">
      <c r="EW1005" s="48"/>
      <c r="FB1005" s="5"/>
      <c r="FI1005" s="5"/>
      <c r="FJ1005" s="164"/>
      <c r="FL1005" s="2"/>
      <c r="FN1005" s="2"/>
    </row>
    <row r="1006" spans="153:170" x14ac:dyDescent="0.35">
      <c r="EW1006" s="48"/>
      <c r="FB1006" s="5"/>
      <c r="FI1006" s="5"/>
      <c r="FJ1006" s="164"/>
      <c r="FL1006" s="2"/>
      <c r="FN1006" s="2"/>
    </row>
    <row r="1007" spans="153:170" x14ac:dyDescent="0.35">
      <c r="EW1007" s="48"/>
      <c r="FB1007" s="5"/>
      <c r="FI1007" s="5"/>
      <c r="FJ1007" s="164"/>
      <c r="FL1007" s="2"/>
      <c r="FN1007" s="2"/>
    </row>
    <row r="1008" spans="153:170" x14ac:dyDescent="0.35">
      <c r="EW1008" s="48"/>
      <c r="FB1008" s="5"/>
      <c r="FI1008" s="5"/>
      <c r="FJ1008" s="164"/>
      <c r="FL1008" s="2"/>
      <c r="FN1008" s="2"/>
    </row>
    <row r="1009" spans="153:170" x14ac:dyDescent="0.35">
      <c r="EW1009" s="48"/>
      <c r="FB1009" s="5"/>
      <c r="FI1009" s="5"/>
      <c r="FJ1009" s="164"/>
      <c r="FL1009" s="2"/>
      <c r="FN1009" s="2"/>
    </row>
    <row r="1010" spans="153:170" x14ac:dyDescent="0.35">
      <c r="EW1010" s="48"/>
      <c r="FB1010" s="5"/>
      <c r="FI1010" s="5"/>
      <c r="FJ1010" s="164"/>
      <c r="FL1010" s="2"/>
      <c r="FN1010" s="2"/>
    </row>
    <row r="1011" spans="153:170" x14ac:dyDescent="0.35">
      <c r="EW1011" s="48"/>
      <c r="FB1011" s="5"/>
      <c r="FI1011" s="5"/>
      <c r="FJ1011" s="164"/>
      <c r="FL1011" s="2"/>
      <c r="FN1011" s="2"/>
    </row>
    <row r="1012" spans="153:170" x14ac:dyDescent="0.35">
      <c r="EW1012" s="48"/>
      <c r="FB1012" s="5"/>
      <c r="FI1012" s="5"/>
      <c r="FJ1012" s="164"/>
      <c r="FL1012" s="2"/>
      <c r="FN1012" s="2"/>
    </row>
    <row r="1013" spans="153:170" x14ac:dyDescent="0.35">
      <c r="EW1013" s="48"/>
      <c r="FB1013" s="5"/>
      <c r="FI1013" s="5"/>
      <c r="FJ1013" s="164"/>
      <c r="FL1013" s="2"/>
      <c r="FN1013" s="2"/>
    </row>
    <row r="1014" spans="153:170" x14ac:dyDescent="0.35">
      <c r="EW1014" s="48"/>
      <c r="FB1014" s="5"/>
      <c r="FI1014" s="5"/>
      <c r="FJ1014" s="164"/>
      <c r="FL1014" s="2"/>
      <c r="FN1014" s="2"/>
    </row>
    <row r="1015" spans="153:170" x14ac:dyDescent="0.35">
      <c r="EW1015" s="48"/>
      <c r="FB1015" s="5"/>
      <c r="FI1015" s="5"/>
      <c r="FJ1015" s="164"/>
      <c r="FL1015" s="2"/>
      <c r="FN1015" s="2"/>
    </row>
    <row r="1016" spans="153:170" x14ac:dyDescent="0.35">
      <c r="EW1016" s="48"/>
      <c r="FB1016" s="5"/>
      <c r="FI1016" s="5"/>
      <c r="FJ1016" s="164"/>
      <c r="FL1016" s="2"/>
      <c r="FN1016" s="2"/>
    </row>
    <row r="1017" spans="153:170" x14ac:dyDescent="0.35">
      <c r="EW1017" s="48"/>
      <c r="FB1017" s="5"/>
      <c r="FI1017" s="5"/>
      <c r="FJ1017" s="164"/>
      <c r="FL1017" s="2"/>
      <c r="FN1017" s="2"/>
    </row>
    <row r="1018" spans="153:170" x14ac:dyDescent="0.35">
      <c r="EW1018" s="48"/>
      <c r="FB1018" s="5"/>
      <c r="FI1018" s="5"/>
      <c r="FJ1018" s="164"/>
      <c r="FL1018" s="2"/>
      <c r="FN1018" s="2"/>
    </row>
    <row r="1019" spans="153:170" x14ac:dyDescent="0.35">
      <c r="EW1019" s="48"/>
      <c r="FB1019" s="5"/>
      <c r="FI1019" s="5"/>
      <c r="FJ1019" s="164"/>
      <c r="FL1019" s="2"/>
      <c r="FN1019" s="2"/>
    </row>
    <row r="1020" spans="153:170" x14ac:dyDescent="0.35">
      <c r="EW1020" s="48"/>
      <c r="FB1020" s="5"/>
      <c r="FI1020" s="5"/>
      <c r="FJ1020" s="164"/>
      <c r="FL1020" s="2"/>
      <c r="FN1020" s="2"/>
    </row>
    <row r="1021" spans="153:170" x14ac:dyDescent="0.35">
      <c r="EW1021" s="48"/>
      <c r="FB1021" s="5"/>
      <c r="FI1021" s="5"/>
      <c r="FJ1021" s="164"/>
      <c r="FL1021" s="2"/>
      <c r="FN1021" s="2"/>
    </row>
    <row r="1022" spans="153:170" x14ac:dyDescent="0.35">
      <c r="EW1022" s="48"/>
      <c r="FB1022" s="5"/>
      <c r="FI1022" s="5"/>
      <c r="FJ1022" s="164"/>
      <c r="FL1022" s="2"/>
      <c r="FN1022" s="2"/>
    </row>
    <row r="1023" spans="153:170" x14ac:dyDescent="0.35">
      <c r="EW1023" s="48"/>
      <c r="FB1023" s="5"/>
      <c r="FI1023" s="5"/>
      <c r="FJ1023" s="164"/>
      <c r="FL1023" s="2"/>
      <c r="FN1023" s="2"/>
    </row>
    <row r="1024" spans="153:170" x14ac:dyDescent="0.35">
      <c r="EW1024" s="48"/>
      <c r="FB1024" s="5"/>
      <c r="FI1024" s="5"/>
      <c r="FJ1024" s="164"/>
      <c r="FL1024" s="2"/>
      <c r="FN1024" s="2"/>
    </row>
    <row r="1025" spans="153:170" x14ac:dyDescent="0.35">
      <c r="EW1025" s="48"/>
      <c r="FB1025" s="5"/>
      <c r="FI1025" s="5"/>
      <c r="FJ1025" s="164"/>
      <c r="FL1025" s="2"/>
      <c r="FN1025" s="2"/>
    </row>
    <row r="1026" spans="153:170" x14ac:dyDescent="0.35">
      <c r="EW1026" s="48"/>
      <c r="FB1026" s="5"/>
      <c r="FI1026" s="5"/>
      <c r="FJ1026" s="164"/>
      <c r="FL1026" s="2"/>
      <c r="FN1026" s="2"/>
    </row>
    <row r="1027" spans="153:170" x14ac:dyDescent="0.35">
      <c r="EW1027" s="48"/>
      <c r="FB1027" s="5"/>
      <c r="FI1027" s="5"/>
      <c r="FJ1027" s="164"/>
      <c r="FL1027" s="2"/>
      <c r="FN1027" s="2"/>
    </row>
    <row r="1028" spans="153:170" x14ac:dyDescent="0.35">
      <c r="EW1028" s="48"/>
      <c r="FB1028" s="5"/>
      <c r="FI1028" s="5"/>
      <c r="FJ1028" s="164"/>
      <c r="FL1028" s="2"/>
      <c r="FN1028" s="2"/>
    </row>
    <row r="1029" spans="153:170" x14ac:dyDescent="0.35">
      <c r="EW1029" s="48"/>
      <c r="FB1029" s="5"/>
      <c r="FI1029" s="5"/>
      <c r="FJ1029" s="164"/>
      <c r="FL1029" s="2"/>
      <c r="FN1029" s="2"/>
    </row>
    <row r="1030" spans="153:170" x14ac:dyDescent="0.35">
      <c r="EW1030" s="48"/>
      <c r="FB1030" s="5"/>
      <c r="FI1030" s="5"/>
      <c r="FJ1030" s="164"/>
      <c r="FL1030" s="2"/>
      <c r="FN1030" s="2"/>
    </row>
    <row r="1031" spans="153:170" x14ac:dyDescent="0.35">
      <c r="EW1031" s="48"/>
      <c r="FB1031" s="5"/>
      <c r="FI1031" s="5"/>
      <c r="FJ1031" s="164"/>
      <c r="FL1031" s="2"/>
      <c r="FN1031" s="2"/>
    </row>
    <row r="1032" spans="153:170" x14ac:dyDescent="0.35">
      <c r="EW1032" s="48"/>
      <c r="FB1032" s="5"/>
      <c r="FI1032" s="5"/>
      <c r="FJ1032" s="164"/>
      <c r="FL1032" s="2"/>
      <c r="FN1032" s="2"/>
    </row>
    <row r="1033" spans="153:170" x14ac:dyDescent="0.35">
      <c r="EW1033" s="48"/>
      <c r="FB1033" s="5"/>
      <c r="FI1033" s="5"/>
      <c r="FJ1033" s="164"/>
      <c r="FL1033" s="2"/>
      <c r="FN1033" s="2"/>
    </row>
    <row r="1034" spans="153:170" x14ac:dyDescent="0.35">
      <c r="EW1034" s="48"/>
      <c r="FB1034" s="5"/>
      <c r="FI1034" s="5"/>
      <c r="FJ1034" s="164"/>
      <c r="FL1034" s="2"/>
      <c r="FN1034" s="2"/>
    </row>
    <row r="1035" spans="153:170" x14ac:dyDescent="0.35">
      <c r="EW1035" s="48"/>
      <c r="FB1035" s="5"/>
      <c r="FI1035" s="5"/>
      <c r="FJ1035" s="164"/>
      <c r="FL1035" s="2"/>
      <c r="FN1035" s="2"/>
    </row>
    <row r="1036" spans="153:170" x14ac:dyDescent="0.35">
      <c r="EW1036" s="48"/>
      <c r="FB1036" s="5"/>
      <c r="FI1036" s="5"/>
      <c r="FJ1036" s="164"/>
      <c r="FL1036" s="2"/>
      <c r="FN1036" s="2"/>
    </row>
    <row r="1037" spans="153:170" x14ac:dyDescent="0.35">
      <c r="EW1037" s="48"/>
      <c r="FB1037" s="5"/>
      <c r="FI1037" s="5"/>
      <c r="FJ1037" s="164"/>
      <c r="FL1037" s="2"/>
      <c r="FN1037" s="2"/>
    </row>
    <row r="1038" spans="153:170" x14ac:dyDescent="0.35">
      <c r="EW1038" s="48"/>
      <c r="FB1038" s="5"/>
      <c r="FI1038" s="5"/>
      <c r="FJ1038" s="164"/>
      <c r="FL1038" s="2"/>
      <c r="FN1038" s="2"/>
    </row>
    <row r="1039" spans="153:170" x14ac:dyDescent="0.35">
      <c r="EW1039" s="48"/>
      <c r="FB1039" s="5"/>
      <c r="FI1039" s="5"/>
      <c r="FJ1039" s="164"/>
      <c r="FL1039" s="2"/>
      <c r="FN1039" s="2"/>
    </row>
    <row r="1040" spans="153:170" x14ac:dyDescent="0.35">
      <c r="EW1040" s="48"/>
      <c r="FB1040" s="5"/>
      <c r="FI1040" s="5"/>
      <c r="FJ1040" s="164"/>
      <c r="FL1040" s="2"/>
      <c r="FN1040" s="2"/>
    </row>
    <row r="1041" spans="153:170" x14ac:dyDescent="0.35">
      <c r="EW1041" s="48"/>
      <c r="FB1041" s="5"/>
      <c r="FI1041" s="5"/>
      <c r="FJ1041" s="164"/>
      <c r="FL1041" s="2"/>
      <c r="FN1041" s="2"/>
    </row>
    <row r="1042" spans="153:170" x14ac:dyDescent="0.35">
      <c r="EW1042" s="48"/>
      <c r="FB1042" s="5"/>
      <c r="FI1042" s="5"/>
      <c r="FJ1042" s="164"/>
      <c r="FL1042" s="2"/>
      <c r="FN1042" s="2"/>
    </row>
    <row r="1043" spans="153:170" x14ac:dyDescent="0.35">
      <c r="EW1043" s="48"/>
      <c r="FB1043" s="5"/>
      <c r="FI1043" s="5"/>
      <c r="FJ1043" s="164"/>
      <c r="FL1043" s="2"/>
      <c r="FN1043" s="2"/>
    </row>
    <row r="1044" spans="153:170" x14ac:dyDescent="0.35">
      <c r="EW1044" s="48"/>
      <c r="FB1044" s="5"/>
      <c r="FI1044" s="5"/>
      <c r="FJ1044" s="164"/>
      <c r="FL1044" s="2"/>
      <c r="FN1044" s="2"/>
    </row>
    <row r="1045" spans="153:170" x14ac:dyDescent="0.35">
      <c r="EW1045" s="48"/>
      <c r="FB1045" s="5"/>
      <c r="FI1045" s="5"/>
      <c r="FJ1045" s="164"/>
      <c r="FL1045" s="2"/>
      <c r="FN1045" s="2"/>
    </row>
    <row r="1046" spans="153:170" x14ac:dyDescent="0.35">
      <c r="EW1046" s="48"/>
      <c r="FB1046" s="5"/>
      <c r="FI1046" s="5"/>
      <c r="FJ1046" s="164"/>
      <c r="FL1046" s="2"/>
      <c r="FN1046" s="2"/>
    </row>
    <row r="1047" spans="153:170" x14ac:dyDescent="0.35">
      <c r="EW1047" s="48"/>
      <c r="FB1047" s="5"/>
      <c r="FI1047" s="5"/>
      <c r="FJ1047" s="164"/>
      <c r="FL1047" s="2"/>
      <c r="FN1047" s="2"/>
    </row>
    <row r="1048" spans="153:170" x14ac:dyDescent="0.35">
      <c r="EW1048" s="48"/>
      <c r="FB1048" s="5"/>
      <c r="FI1048" s="5"/>
      <c r="FJ1048" s="164"/>
      <c r="FL1048" s="2"/>
      <c r="FN1048" s="2"/>
    </row>
    <row r="1049" spans="153:170" x14ac:dyDescent="0.35">
      <c r="EW1049" s="48"/>
      <c r="FB1049" s="5"/>
      <c r="FI1049" s="5"/>
      <c r="FJ1049" s="164"/>
      <c r="FL1049" s="2"/>
      <c r="FN1049" s="2"/>
    </row>
    <row r="1050" spans="153:170" x14ac:dyDescent="0.35">
      <c r="EW1050" s="48"/>
      <c r="FB1050" s="5"/>
      <c r="FI1050" s="5"/>
      <c r="FJ1050" s="164"/>
      <c r="FL1050" s="2"/>
      <c r="FN1050" s="2"/>
    </row>
    <row r="1051" spans="153:170" x14ac:dyDescent="0.35">
      <c r="EW1051" s="48"/>
      <c r="FB1051" s="5"/>
      <c r="FI1051" s="5"/>
      <c r="FJ1051" s="164"/>
      <c r="FL1051" s="2"/>
      <c r="FN1051" s="2"/>
    </row>
    <row r="1052" spans="153:170" x14ac:dyDescent="0.35">
      <c r="EW1052" s="48"/>
      <c r="FB1052" s="5"/>
      <c r="FI1052" s="5"/>
      <c r="FJ1052" s="164"/>
      <c r="FL1052" s="2"/>
      <c r="FN1052" s="2"/>
    </row>
    <row r="1053" spans="153:170" x14ac:dyDescent="0.35">
      <c r="EW1053" s="48"/>
      <c r="FB1053" s="5"/>
      <c r="FI1053" s="5"/>
      <c r="FJ1053" s="164"/>
      <c r="FL1053" s="2"/>
      <c r="FN1053" s="2"/>
    </row>
    <row r="1054" spans="153:170" x14ac:dyDescent="0.35">
      <c r="EW1054" s="48"/>
      <c r="FB1054" s="5"/>
      <c r="FI1054" s="5"/>
      <c r="FJ1054" s="164"/>
      <c r="FL1054" s="2"/>
      <c r="FN1054" s="2"/>
    </row>
    <row r="1055" spans="153:170" x14ac:dyDescent="0.35">
      <c r="EW1055" s="48"/>
      <c r="FB1055" s="5"/>
      <c r="FI1055" s="5"/>
      <c r="FJ1055" s="164"/>
      <c r="FL1055" s="2"/>
      <c r="FN1055" s="2"/>
    </row>
    <row r="1056" spans="153:170" x14ac:dyDescent="0.35">
      <c r="EW1056" s="48"/>
      <c r="FB1056" s="5"/>
      <c r="FI1056" s="5"/>
      <c r="FJ1056" s="164"/>
      <c r="FL1056" s="2"/>
      <c r="FN1056" s="2"/>
    </row>
    <row r="1057" spans="153:170" x14ac:dyDescent="0.35">
      <c r="EW1057" s="48"/>
      <c r="FB1057" s="5"/>
      <c r="FI1057" s="5"/>
      <c r="FJ1057" s="164"/>
      <c r="FL1057" s="2"/>
      <c r="FN1057" s="2"/>
    </row>
    <row r="1058" spans="153:170" x14ac:dyDescent="0.35">
      <c r="EW1058" s="48"/>
      <c r="FB1058" s="5"/>
      <c r="FI1058" s="5"/>
      <c r="FJ1058" s="164"/>
      <c r="FL1058" s="2"/>
      <c r="FN1058" s="2"/>
    </row>
    <row r="1059" spans="153:170" x14ac:dyDescent="0.35">
      <c r="EW1059" s="48"/>
      <c r="FB1059" s="5"/>
      <c r="FI1059" s="5"/>
      <c r="FJ1059" s="164"/>
      <c r="FL1059" s="2"/>
      <c r="FN1059" s="2"/>
    </row>
    <row r="1060" spans="153:170" x14ac:dyDescent="0.35">
      <c r="EW1060" s="48"/>
      <c r="FB1060" s="5"/>
      <c r="FI1060" s="5"/>
      <c r="FJ1060" s="164"/>
      <c r="FL1060" s="2"/>
      <c r="FN1060" s="2"/>
    </row>
    <row r="1061" spans="153:170" x14ac:dyDescent="0.35">
      <c r="EW1061" s="48"/>
      <c r="FB1061" s="5"/>
      <c r="FI1061" s="5"/>
      <c r="FJ1061" s="164"/>
      <c r="FL1061" s="2"/>
      <c r="FN1061" s="2"/>
    </row>
    <row r="1062" spans="153:170" x14ac:dyDescent="0.35">
      <c r="EW1062" s="48"/>
      <c r="FB1062" s="5"/>
      <c r="FI1062" s="5"/>
      <c r="FJ1062" s="164"/>
      <c r="FL1062" s="2"/>
      <c r="FN1062" s="2"/>
    </row>
    <row r="1063" spans="153:170" x14ac:dyDescent="0.35">
      <c r="EW1063" s="48"/>
      <c r="FB1063" s="5"/>
      <c r="FI1063" s="5"/>
      <c r="FJ1063" s="164"/>
      <c r="FL1063" s="2"/>
      <c r="FN1063" s="2"/>
    </row>
    <row r="1064" spans="153:170" x14ac:dyDescent="0.35">
      <c r="EW1064" s="48"/>
      <c r="FB1064" s="5"/>
      <c r="FI1064" s="5"/>
      <c r="FJ1064" s="164"/>
      <c r="FL1064" s="2"/>
      <c r="FN1064" s="2"/>
    </row>
    <row r="1065" spans="153:170" x14ac:dyDescent="0.35">
      <c r="EW1065" s="48"/>
      <c r="FB1065" s="5"/>
      <c r="FI1065" s="5"/>
      <c r="FJ1065" s="164"/>
      <c r="FL1065" s="2"/>
      <c r="FN1065" s="2"/>
    </row>
    <row r="1066" spans="153:170" x14ac:dyDescent="0.35">
      <c r="EW1066" s="48"/>
      <c r="FB1066" s="5"/>
      <c r="FI1066" s="5"/>
      <c r="FJ1066" s="164"/>
      <c r="FL1066" s="2"/>
      <c r="FN1066" s="2"/>
    </row>
    <row r="1067" spans="153:170" x14ac:dyDescent="0.35">
      <c r="EW1067" s="48"/>
      <c r="FB1067" s="5"/>
      <c r="FI1067" s="5"/>
      <c r="FJ1067" s="164"/>
      <c r="FL1067" s="2"/>
      <c r="FN1067" s="2"/>
    </row>
    <row r="1068" spans="153:170" x14ac:dyDescent="0.35">
      <c r="EW1068" s="48"/>
      <c r="FB1068" s="5"/>
      <c r="FI1068" s="5"/>
      <c r="FJ1068" s="164"/>
      <c r="FL1068" s="2"/>
      <c r="FN1068" s="2"/>
    </row>
    <row r="1069" spans="153:170" x14ac:dyDescent="0.35">
      <c r="EW1069" s="48"/>
      <c r="FB1069" s="5"/>
      <c r="FI1069" s="5"/>
      <c r="FJ1069" s="164"/>
      <c r="FL1069" s="2"/>
      <c r="FN1069" s="2"/>
    </row>
    <row r="1070" spans="153:170" x14ac:dyDescent="0.35">
      <c r="EW1070" s="48"/>
      <c r="FB1070" s="5"/>
      <c r="FI1070" s="5"/>
      <c r="FJ1070" s="164"/>
      <c r="FL1070" s="2"/>
      <c r="FN1070" s="2"/>
    </row>
    <row r="1071" spans="153:170" x14ac:dyDescent="0.35">
      <c r="EW1071" s="48"/>
      <c r="FB1071" s="5"/>
      <c r="FI1071" s="5"/>
      <c r="FJ1071" s="164"/>
      <c r="FL1071" s="2"/>
      <c r="FN1071" s="2"/>
    </row>
    <row r="1072" spans="153:170" x14ac:dyDescent="0.35">
      <c r="EW1072" s="48"/>
      <c r="FB1072" s="5"/>
      <c r="FI1072" s="5"/>
      <c r="FJ1072" s="164"/>
      <c r="FL1072" s="2"/>
      <c r="FN1072" s="2"/>
    </row>
    <row r="1073" spans="153:170" x14ac:dyDescent="0.35">
      <c r="EW1073" s="48"/>
      <c r="FB1073" s="5"/>
      <c r="FI1073" s="5"/>
      <c r="FJ1073" s="164"/>
      <c r="FL1073" s="2"/>
      <c r="FN1073" s="2"/>
    </row>
    <row r="1074" spans="153:170" x14ac:dyDescent="0.35">
      <c r="EW1074" s="48"/>
      <c r="FB1074" s="5"/>
      <c r="FI1074" s="5"/>
      <c r="FJ1074" s="164"/>
      <c r="FL1074" s="2"/>
      <c r="FN1074" s="2"/>
    </row>
    <row r="1075" spans="153:170" x14ac:dyDescent="0.35">
      <c r="EW1075" s="48"/>
      <c r="FB1075" s="5"/>
      <c r="FI1075" s="5"/>
      <c r="FJ1075" s="164"/>
      <c r="FL1075" s="2"/>
      <c r="FN1075" s="2"/>
    </row>
    <row r="1076" spans="153:170" x14ac:dyDescent="0.35">
      <c r="EW1076" s="48"/>
      <c r="FB1076" s="5"/>
      <c r="FI1076" s="5"/>
      <c r="FJ1076" s="164"/>
      <c r="FL1076" s="2"/>
      <c r="FN1076" s="2"/>
    </row>
    <row r="1077" spans="153:170" x14ac:dyDescent="0.35">
      <c r="EW1077" s="48"/>
      <c r="FB1077" s="5"/>
      <c r="FI1077" s="5"/>
      <c r="FJ1077" s="164"/>
      <c r="FL1077" s="2"/>
      <c r="FN1077" s="2"/>
    </row>
    <row r="1078" spans="153:170" x14ac:dyDescent="0.35">
      <c r="EW1078" s="48"/>
      <c r="FB1078" s="5"/>
      <c r="FI1078" s="5"/>
      <c r="FJ1078" s="164"/>
      <c r="FL1078" s="2"/>
      <c r="FN1078" s="2"/>
    </row>
    <row r="1079" spans="153:170" x14ac:dyDescent="0.35">
      <c r="EW1079" s="48"/>
      <c r="FB1079" s="5"/>
      <c r="FI1079" s="5"/>
      <c r="FJ1079" s="164"/>
      <c r="FL1079" s="2"/>
      <c r="FN1079" s="2"/>
    </row>
    <row r="1080" spans="153:170" x14ac:dyDescent="0.35">
      <c r="EW1080" s="48"/>
      <c r="FB1080" s="5"/>
      <c r="FI1080" s="5"/>
      <c r="FJ1080" s="164"/>
      <c r="FL1080" s="2"/>
      <c r="FN1080" s="2"/>
    </row>
    <row r="1081" spans="153:170" x14ac:dyDescent="0.35">
      <c r="EW1081" s="48"/>
      <c r="FB1081" s="5"/>
      <c r="FI1081" s="5"/>
      <c r="FJ1081" s="164"/>
      <c r="FL1081" s="2"/>
      <c r="FN1081" s="2"/>
    </row>
    <row r="1082" spans="153:170" x14ac:dyDescent="0.35">
      <c r="EW1082" s="48"/>
      <c r="FB1082" s="5"/>
      <c r="FI1082" s="5"/>
      <c r="FJ1082" s="164"/>
      <c r="FL1082" s="2"/>
      <c r="FN1082" s="2"/>
    </row>
    <row r="1083" spans="153:170" x14ac:dyDescent="0.35">
      <c r="EW1083" s="48"/>
      <c r="FB1083" s="5"/>
      <c r="FI1083" s="5"/>
      <c r="FJ1083" s="164"/>
      <c r="FL1083" s="2"/>
      <c r="FN1083" s="2"/>
    </row>
    <row r="1084" spans="153:170" x14ac:dyDescent="0.35">
      <c r="EW1084" s="48"/>
      <c r="FB1084" s="5"/>
      <c r="FI1084" s="5"/>
      <c r="FJ1084" s="164"/>
      <c r="FL1084" s="2"/>
      <c r="FN1084" s="2"/>
    </row>
    <row r="1085" spans="153:170" x14ac:dyDescent="0.35">
      <c r="EW1085" s="48"/>
      <c r="FB1085" s="5"/>
      <c r="FI1085" s="5"/>
      <c r="FJ1085" s="164"/>
      <c r="FL1085" s="2"/>
      <c r="FN1085" s="2"/>
    </row>
    <row r="1086" spans="153:170" x14ac:dyDescent="0.35">
      <c r="EW1086" s="48"/>
      <c r="FB1086" s="5"/>
      <c r="FI1086" s="5"/>
      <c r="FJ1086" s="164"/>
      <c r="FL1086" s="2"/>
      <c r="FN1086" s="2"/>
    </row>
    <row r="1087" spans="153:170" x14ac:dyDescent="0.35">
      <c r="EW1087" s="48"/>
      <c r="FB1087" s="5"/>
      <c r="FI1087" s="5"/>
      <c r="FJ1087" s="164"/>
      <c r="FL1087" s="2"/>
      <c r="FN1087" s="2"/>
    </row>
    <row r="1088" spans="153:170" x14ac:dyDescent="0.35">
      <c r="EW1088" s="48"/>
      <c r="FB1088" s="5"/>
      <c r="FI1088" s="5"/>
      <c r="FJ1088" s="164"/>
      <c r="FL1088" s="2"/>
      <c r="FN1088" s="2"/>
    </row>
    <row r="1089" spans="153:170" x14ac:dyDescent="0.35">
      <c r="EW1089" s="48"/>
      <c r="FB1089" s="5"/>
      <c r="FI1089" s="5"/>
      <c r="FJ1089" s="164"/>
      <c r="FL1089" s="2"/>
      <c r="FN1089" s="2"/>
    </row>
    <row r="1090" spans="153:170" x14ac:dyDescent="0.35">
      <c r="EW1090" s="48"/>
      <c r="FB1090" s="5"/>
      <c r="FI1090" s="5"/>
      <c r="FJ1090" s="164"/>
      <c r="FL1090" s="2"/>
      <c r="FN1090" s="2"/>
    </row>
    <row r="1091" spans="153:170" x14ac:dyDescent="0.35">
      <c r="EW1091" s="48"/>
      <c r="FB1091" s="5"/>
      <c r="FI1091" s="5"/>
      <c r="FJ1091" s="164"/>
      <c r="FL1091" s="2"/>
      <c r="FN1091" s="2"/>
    </row>
    <row r="1092" spans="153:170" x14ac:dyDescent="0.35">
      <c r="EW1092" s="48"/>
      <c r="FB1092" s="5"/>
      <c r="FI1092" s="5"/>
      <c r="FJ1092" s="164"/>
      <c r="FL1092" s="2"/>
      <c r="FN1092" s="2"/>
    </row>
    <row r="1093" spans="153:170" x14ac:dyDescent="0.35">
      <c r="EW1093" s="48"/>
      <c r="FB1093" s="5"/>
      <c r="FI1093" s="5"/>
      <c r="FJ1093" s="164"/>
      <c r="FL1093" s="2"/>
      <c r="FN1093" s="2"/>
    </row>
    <row r="1094" spans="153:170" x14ac:dyDescent="0.35">
      <c r="EW1094" s="48"/>
      <c r="FB1094" s="5"/>
      <c r="FI1094" s="5"/>
      <c r="FJ1094" s="164"/>
      <c r="FL1094" s="2"/>
      <c r="FN1094" s="2"/>
    </row>
    <row r="1095" spans="153:170" x14ac:dyDescent="0.35">
      <c r="EW1095" s="48"/>
      <c r="FB1095" s="5"/>
      <c r="FI1095" s="5"/>
      <c r="FJ1095" s="164"/>
      <c r="FL1095" s="2"/>
      <c r="FN1095" s="2"/>
    </row>
    <row r="1096" spans="153:170" x14ac:dyDescent="0.35">
      <c r="EW1096" s="48"/>
      <c r="FB1096" s="5"/>
      <c r="FI1096" s="5"/>
      <c r="FJ1096" s="164"/>
      <c r="FL1096" s="2"/>
      <c r="FN1096" s="2"/>
    </row>
    <row r="1097" spans="153:170" x14ac:dyDescent="0.35">
      <c r="EW1097" s="48"/>
      <c r="FB1097" s="5"/>
      <c r="FI1097" s="5"/>
      <c r="FJ1097" s="164"/>
      <c r="FL1097" s="2"/>
      <c r="FN1097" s="2"/>
    </row>
    <row r="1098" spans="153:170" x14ac:dyDescent="0.35">
      <c r="EW1098" s="48"/>
      <c r="FB1098" s="5"/>
      <c r="FI1098" s="5"/>
      <c r="FJ1098" s="164"/>
      <c r="FL1098" s="2"/>
      <c r="FN1098" s="2"/>
    </row>
    <row r="1099" spans="153:170" x14ac:dyDescent="0.35">
      <c r="EW1099" s="48"/>
      <c r="FB1099" s="5"/>
      <c r="FI1099" s="5"/>
      <c r="FJ1099" s="164"/>
      <c r="FL1099" s="2"/>
      <c r="FN1099" s="2"/>
    </row>
    <row r="1100" spans="153:170" x14ac:dyDescent="0.35">
      <c r="EW1100" s="48"/>
      <c r="FB1100" s="5"/>
      <c r="FI1100" s="5"/>
      <c r="FJ1100" s="164"/>
      <c r="FL1100" s="2"/>
      <c r="FN1100" s="2"/>
    </row>
    <row r="1101" spans="153:170" x14ac:dyDescent="0.35">
      <c r="EW1101" s="48"/>
      <c r="FB1101" s="5"/>
      <c r="FI1101" s="5"/>
      <c r="FJ1101" s="164"/>
      <c r="FL1101" s="2"/>
      <c r="FN1101" s="2"/>
    </row>
    <row r="1102" spans="153:170" x14ac:dyDescent="0.35">
      <c r="EW1102" s="48"/>
      <c r="FB1102" s="5"/>
      <c r="FI1102" s="5"/>
      <c r="FJ1102" s="164"/>
      <c r="FL1102" s="2"/>
      <c r="FN1102" s="2"/>
    </row>
    <row r="1103" spans="153:170" x14ac:dyDescent="0.35">
      <c r="EW1103" s="48"/>
      <c r="FB1103" s="5"/>
      <c r="FI1103" s="5"/>
      <c r="FJ1103" s="164"/>
      <c r="FL1103" s="2"/>
      <c r="FN1103" s="2"/>
    </row>
    <row r="1104" spans="153:170" x14ac:dyDescent="0.35">
      <c r="EW1104" s="48"/>
      <c r="FB1104" s="5"/>
      <c r="FI1104" s="5"/>
      <c r="FJ1104" s="164"/>
      <c r="FL1104" s="2"/>
      <c r="FN1104" s="2"/>
    </row>
    <row r="1105" spans="153:170" x14ac:dyDescent="0.35">
      <c r="EW1105" s="48"/>
      <c r="FB1105" s="5"/>
      <c r="FI1105" s="5"/>
      <c r="FJ1105" s="164"/>
      <c r="FL1105" s="2"/>
      <c r="FN1105" s="2"/>
    </row>
    <row r="1106" spans="153:170" x14ac:dyDescent="0.35">
      <c r="EW1106" s="48"/>
      <c r="FB1106" s="5"/>
      <c r="FI1106" s="5"/>
      <c r="FJ1106" s="164"/>
      <c r="FL1106" s="2"/>
      <c r="FN1106" s="2"/>
    </row>
    <row r="1107" spans="153:170" x14ac:dyDescent="0.35">
      <c r="EW1107" s="48"/>
      <c r="FB1107" s="5"/>
      <c r="FI1107" s="5"/>
      <c r="FJ1107" s="164"/>
      <c r="FL1107" s="2"/>
      <c r="FN1107" s="2"/>
    </row>
    <row r="1108" spans="153:170" x14ac:dyDescent="0.35">
      <c r="EW1108" s="48"/>
      <c r="FB1108" s="5"/>
      <c r="FI1108" s="5"/>
      <c r="FJ1108" s="164"/>
      <c r="FL1108" s="2"/>
      <c r="FN1108" s="2"/>
    </row>
    <row r="1109" spans="153:170" x14ac:dyDescent="0.35">
      <c r="EW1109" s="48"/>
      <c r="FB1109" s="5"/>
      <c r="FI1109" s="5"/>
      <c r="FJ1109" s="164"/>
      <c r="FL1109" s="2"/>
      <c r="FN1109" s="2"/>
    </row>
    <row r="1110" spans="153:170" x14ac:dyDescent="0.35">
      <c r="EW1110" s="48"/>
      <c r="FB1110" s="5"/>
      <c r="FI1110" s="5"/>
      <c r="FJ1110" s="164"/>
      <c r="FL1110" s="2"/>
      <c r="FN1110" s="2"/>
    </row>
    <row r="1111" spans="153:170" x14ac:dyDescent="0.35">
      <c r="EW1111" s="48"/>
      <c r="FB1111" s="5"/>
      <c r="FI1111" s="5"/>
      <c r="FJ1111" s="164"/>
      <c r="FL1111" s="2"/>
      <c r="FN1111" s="2"/>
    </row>
    <row r="1112" spans="153:170" x14ac:dyDescent="0.35">
      <c r="EW1112" s="48"/>
      <c r="FB1112" s="5"/>
      <c r="FI1112" s="5"/>
      <c r="FJ1112" s="164"/>
      <c r="FL1112" s="2"/>
      <c r="FN1112" s="2"/>
    </row>
    <row r="1113" spans="153:170" x14ac:dyDescent="0.35">
      <c r="EW1113" s="48"/>
      <c r="FB1113" s="5"/>
      <c r="FI1113" s="5"/>
      <c r="FJ1113" s="164"/>
      <c r="FL1113" s="2"/>
      <c r="FN1113" s="2"/>
    </row>
    <row r="1114" spans="153:170" x14ac:dyDescent="0.35">
      <c r="EW1114" s="48"/>
      <c r="FB1114" s="5"/>
      <c r="FI1114" s="5"/>
      <c r="FJ1114" s="164"/>
      <c r="FL1114" s="2"/>
      <c r="FN1114" s="2"/>
    </row>
    <row r="1115" spans="153:170" x14ac:dyDescent="0.35">
      <c r="EW1115" s="48"/>
      <c r="FB1115" s="5"/>
      <c r="FI1115" s="5"/>
      <c r="FJ1115" s="164"/>
      <c r="FL1115" s="2"/>
      <c r="FN1115" s="2"/>
    </row>
    <row r="1116" spans="153:170" x14ac:dyDescent="0.35">
      <c r="EW1116" s="48"/>
      <c r="FB1116" s="5"/>
      <c r="FI1116" s="5"/>
      <c r="FJ1116" s="164"/>
      <c r="FL1116" s="2"/>
      <c r="FN1116" s="2"/>
    </row>
    <row r="1117" spans="153:170" x14ac:dyDescent="0.35">
      <c r="EW1117" s="48"/>
      <c r="FB1117" s="5"/>
      <c r="FI1117" s="5"/>
      <c r="FJ1117" s="164"/>
      <c r="FL1117" s="2"/>
      <c r="FN1117" s="2"/>
    </row>
    <row r="1118" spans="153:170" x14ac:dyDescent="0.35">
      <c r="EW1118" s="48"/>
      <c r="FB1118" s="5"/>
      <c r="FI1118" s="5"/>
      <c r="FJ1118" s="164"/>
      <c r="FL1118" s="2"/>
      <c r="FN1118" s="2"/>
    </row>
    <row r="1119" spans="153:170" x14ac:dyDescent="0.35">
      <c r="EW1119" s="48"/>
      <c r="FB1119" s="5"/>
      <c r="FI1119" s="5"/>
      <c r="FJ1119" s="164"/>
      <c r="FL1119" s="2"/>
      <c r="FN1119" s="2"/>
    </row>
    <row r="1120" spans="153:170" x14ac:dyDescent="0.35">
      <c r="EW1120" s="48"/>
      <c r="FB1120" s="5"/>
      <c r="FI1120" s="5"/>
      <c r="FJ1120" s="164"/>
      <c r="FL1120" s="2"/>
      <c r="FN1120" s="2"/>
    </row>
    <row r="1121" spans="153:170" x14ac:dyDescent="0.35">
      <c r="EW1121" s="48"/>
      <c r="FB1121" s="5"/>
      <c r="FI1121" s="5"/>
      <c r="FJ1121" s="164"/>
      <c r="FL1121" s="2"/>
      <c r="FN1121" s="2"/>
    </row>
    <row r="1122" spans="153:170" x14ac:dyDescent="0.35">
      <c r="EW1122" s="48"/>
      <c r="FB1122" s="5"/>
      <c r="FI1122" s="5"/>
      <c r="FJ1122" s="164"/>
      <c r="FL1122" s="2"/>
      <c r="FN1122" s="2"/>
    </row>
    <row r="1123" spans="153:170" x14ac:dyDescent="0.35">
      <c r="EW1123" s="48"/>
      <c r="FB1123" s="5"/>
      <c r="FI1123" s="5"/>
      <c r="FJ1123" s="164"/>
      <c r="FL1123" s="2"/>
      <c r="FN1123" s="2"/>
    </row>
    <row r="1124" spans="153:170" x14ac:dyDescent="0.35">
      <c r="EW1124" s="48"/>
      <c r="FB1124" s="5"/>
      <c r="FI1124" s="5"/>
      <c r="FJ1124" s="164"/>
      <c r="FL1124" s="2"/>
      <c r="FN1124" s="2"/>
    </row>
    <row r="1125" spans="153:170" x14ac:dyDescent="0.35">
      <c r="EW1125" s="48"/>
      <c r="FB1125" s="5"/>
      <c r="FI1125" s="5"/>
      <c r="FJ1125" s="164"/>
      <c r="FL1125" s="2"/>
      <c r="FN1125" s="2"/>
    </row>
    <row r="1126" spans="153:170" x14ac:dyDescent="0.35">
      <c r="EW1126" s="48"/>
      <c r="FB1126" s="5"/>
      <c r="FI1126" s="5"/>
      <c r="FJ1126" s="164"/>
      <c r="FL1126" s="2"/>
      <c r="FN1126" s="2"/>
    </row>
    <row r="1127" spans="153:170" x14ac:dyDescent="0.35">
      <c r="EW1127" s="48"/>
      <c r="FB1127" s="5"/>
      <c r="FI1127" s="5"/>
      <c r="FJ1127" s="164"/>
      <c r="FL1127" s="2"/>
      <c r="FN1127" s="2"/>
    </row>
    <row r="1128" spans="153:170" x14ac:dyDescent="0.35">
      <c r="EW1128" s="48"/>
      <c r="FB1128" s="5"/>
      <c r="FI1128" s="5"/>
      <c r="FJ1128" s="164"/>
      <c r="FL1128" s="2"/>
      <c r="FN1128" s="2"/>
    </row>
    <row r="1129" spans="153:170" x14ac:dyDescent="0.35">
      <c r="EW1129" s="48"/>
      <c r="FB1129" s="5"/>
      <c r="FI1129" s="5"/>
      <c r="FJ1129" s="164"/>
      <c r="FL1129" s="2"/>
      <c r="FN1129" s="2"/>
    </row>
    <row r="1130" spans="153:170" x14ac:dyDescent="0.35">
      <c r="EW1130" s="48"/>
      <c r="FB1130" s="5"/>
      <c r="FI1130" s="5"/>
      <c r="FJ1130" s="164"/>
      <c r="FL1130" s="2"/>
      <c r="FN1130" s="2"/>
    </row>
    <row r="1131" spans="153:170" x14ac:dyDescent="0.35">
      <c r="EW1131" s="48"/>
      <c r="FB1131" s="5"/>
      <c r="FI1131" s="5"/>
      <c r="FJ1131" s="164"/>
      <c r="FL1131" s="2"/>
      <c r="FN1131" s="2"/>
    </row>
    <row r="1132" spans="153:170" x14ac:dyDescent="0.35">
      <c r="EW1132" s="48"/>
      <c r="FB1132" s="5"/>
      <c r="FI1132" s="5"/>
      <c r="FJ1132" s="164"/>
      <c r="FL1132" s="2"/>
      <c r="FN1132" s="2"/>
    </row>
    <row r="1133" spans="153:170" x14ac:dyDescent="0.35">
      <c r="EW1133" s="48"/>
      <c r="FB1133" s="5"/>
      <c r="FI1133" s="5"/>
      <c r="FJ1133" s="164"/>
      <c r="FL1133" s="2"/>
      <c r="FN1133" s="2"/>
    </row>
    <row r="1134" spans="153:170" x14ac:dyDescent="0.35">
      <c r="EW1134" s="48"/>
      <c r="FB1134" s="5"/>
      <c r="FI1134" s="5"/>
      <c r="FJ1134" s="164"/>
      <c r="FL1134" s="2"/>
      <c r="FN1134" s="2"/>
    </row>
    <row r="1135" spans="153:170" x14ac:dyDescent="0.35">
      <c r="EW1135" s="48"/>
      <c r="FB1135" s="5"/>
      <c r="FI1135" s="5"/>
      <c r="FJ1135" s="164"/>
      <c r="FL1135" s="2"/>
      <c r="FN1135" s="2"/>
    </row>
    <row r="1136" spans="153:170" x14ac:dyDescent="0.35">
      <c r="EW1136" s="48"/>
      <c r="FB1136" s="5"/>
      <c r="FI1136" s="5"/>
      <c r="FJ1136" s="164"/>
      <c r="FL1136" s="2"/>
      <c r="FN1136" s="2"/>
    </row>
    <row r="1137" spans="153:170" x14ac:dyDescent="0.35">
      <c r="EW1137" s="48"/>
      <c r="FB1137" s="5"/>
      <c r="FI1137" s="5"/>
      <c r="FJ1137" s="164"/>
      <c r="FL1137" s="2"/>
      <c r="FN1137" s="2"/>
    </row>
    <row r="1138" spans="153:170" x14ac:dyDescent="0.35">
      <c r="EW1138" s="48"/>
      <c r="FB1138" s="5"/>
      <c r="FI1138" s="5"/>
      <c r="FJ1138" s="164"/>
      <c r="FL1138" s="2"/>
      <c r="FN1138" s="2"/>
    </row>
    <row r="1139" spans="153:170" x14ac:dyDescent="0.35">
      <c r="EW1139" s="48"/>
      <c r="FB1139" s="5"/>
      <c r="FI1139" s="5"/>
      <c r="FJ1139" s="164"/>
      <c r="FL1139" s="2"/>
      <c r="FN1139" s="2"/>
    </row>
    <row r="1140" spans="153:170" x14ac:dyDescent="0.35">
      <c r="EW1140" s="48"/>
      <c r="FB1140" s="5"/>
      <c r="FI1140" s="5"/>
      <c r="FJ1140" s="164"/>
      <c r="FL1140" s="2"/>
      <c r="FN1140" s="2"/>
    </row>
    <row r="1141" spans="153:170" x14ac:dyDescent="0.35">
      <c r="EW1141" s="48"/>
      <c r="FB1141" s="5"/>
      <c r="FI1141" s="5"/>
      <c r="FJ1141" s="164"/>
      <c r="FL1141" s="2"/>
      <c r="FN1141" s="2"/>
    </row>
    <row r="1142" spans="153:170" x14ac:dyDescent="0.35">
      <c r="EW1142" s="48"/>
      <c r="FB1142" s="5"/>
      <c r="FI1142" s="5"/>
      <c r="FJ1142" s="164"/>
      <c r="FL1142" s="2"/>
      <c r="FN1142" s="2"/>
    </row>
    <row r="1143" spans="153:170" x14ac:dyDescent="0.35">
      <c r="EW1143" s="48"/>
      <c r="FB1143" s="5"/>
      <c r="FI1143" s="5"/>
      <c r="FJ1143" s="164"/>
      <c r="FL1143" s="2"/>
      <c r="FN1143" s="2"/>
    </row>
    <row r="1144" spans="153:170" x14ac:dyDescent="0.35">
      <c r="EW1144" s="48"/>
      <c r="FB1144" s="5"/>
      <c r="FI1144" s="5"/>
      <c r="FJ1144" s="164"/>
      <c r="FL1144" s="2"/>
      <c r="FN1144" s="2"/>
    </row>
    <row r="1145" spans="153:170" x14ac:dyDescent="0.35">
      <c r="EW1145" s="48"/>
      <c r="FB1145" s="5"/>
      <c r="FI1145" s="5"/>
      <c r="FJ1145" s="164"/>
      <c r="FL1145" s="2"/>
      <c r="FN1145" s="2"/>
    </row>
    <row r="1146" spans="153:170" x14ac:dyDescent="0.35">
      <c r="EW1146" s="48"/>
      <c r="FB1146" s="5"/>
      <c r="FI1146" s="5"/>
      <c r="FJ1146" s="164"/>
      <c r="FL1146" s="2"/>
      <c r="FN1146" s="2"/>
    </row>
    <row r="1147" spans="153:170" x14ac:dyDescent="0.35">
      <c r="EW1147" s="48"/>
      <c r="FB1147" s="5"/>
      <c r="FI1147" s="5"/>
      <c r="FJ1147" s="164"/>
      <c r="FL1147" s="2"/>
      <c r="FN1147" s="2"/>
    </row>
    <row r="1148" spans="153:170" x14ac:dyDescent="0.35">
      <c r="EW1148" s="48"/>
      <c r="FB1148" s="5"/>
      <c r="FI1148" s="5"/>
      <c r="FJ1148" s="164"/>
      <c r="FL1148" s="2"/>
      <c r="FN1148" s="2"/>
    </row>
    <row r="1149" spans="153:170" x14ac:dyDescent="0.35">
      <c r="EW1149" s="48"/>
      <c r="FB1149" s="5"/>
      <c r="FI1149" s="5"/>
      <c r="FJ1149" s="164"/>
      <c r="FL1149" s="2"/>
      <c r="FN1149" s="2"/>
    </row>
    <row r="1150" spans="153:170" x14ac:dyDescent="0.35">
      <c r="EW1150" s="48"/>
      <c r="FB1150" s="5"/>
      <c r="FI1150" s="5"/>
      <c r="FJ1150" s="164"/>
      <c r="FL1150" s="2"/>
      <c r="FN1150" s="2"/>
    </row>
    <row r="1151" spans="153:170" x14ac:dyDescent="0.35">
      <c r="EW1151" s="48"/>
      <c r="FB1151" s="5"/>
      <c r="FI1151" s="5"/>
      <c r="FJ1151" s="164"/>
      <c r="FL1151" s="2"/>
      <c r="FN1151" s="2"/>
    </row>
    <row r="1152" spans="153:170" x14ac:dyDescent="0.35">
      <c r="EW1152" s="48"/>
      <c r="FB1152" s="5"/>
      <c r="FI1152" s="5"/>
      <c r="FJ1152" s="164"/>
      <c r="FL1152" s="2"/>
      <c r="FN1152" s="2"/>
    </row>
    <row r="1153" spans="153:170" x14ac:dyDescent="0.35">
      <c r="EW1153" s="48"/>
      <c r="FB1153" s="5"/>
      <c r="FI1153" s="5"/>
      <c r="FJ1153" s="164"/>
      <c r="FL1153" s="2"/>
      <c r="FN1153" s="2"/>
    </row>
    <row r="1154" spans="153:170" x14ac:dyDescent="0.35">
      <c r="EW1154" s="48"/>
      <c r="FB1154" s="5"/>
      <c r="FI1154" s="5"/>
      <c r="FJ1154" s="164"/>
      <c r="FL1154" s="2"/>
      <c r="FN1154" s="2"/>
    </row>
    <row r="1155" spans="153:170" x14ac:dyDescent="0.35">
      <c r="EW1155" s="48"/>
      <c r="FB1155" s="5"/>
      <c r="FI1155" s="5"/>
      <c r="FJ1155" s="164"/>
      <c r="FL1155" s="2"/>
      <c r="FN1155" s="2"/>
    </row>
    <row r="1156" spans="153:170" x14ac:dyDescent="0.35">
      <c r="EW1156" s="48"/>
      <c r="FB1156" s="5"/>
      <c r="FI1156" s="5"/>
      <c r="FJ1156" s="164"/>
      <c r="FL1156" s="2"/>
      <c r="FN1156" s="2"/>
    </row>
    <row r="1157" spans="153:170" x14ac:dyDescent="0.35">
      <c r="EW1157" s="48"/>
      <c r="FB1157" s="5"/>
      <c r="FI1157" s="5"/>
      <c r="FJ1157" s="164"/>
      <c r="FL1157" s="2"/>
      <c r="FN1157" s="2"/>
    </row>
    <row r="1158" spans="153:170" x14ac:dyDescent="0.35">
      <c r="EW1158" s="48"/>
      <c r="FB1158" s="5"/>
      <c r="FI1158" s="5"/>
      <c r="FJ1158" s="164"/>
      <c r="FL1158" s="2"/>
      <c r="FN1158" s="2"/>
    </row>
    <row r="1159" spans="153:170" x14ac:dyDescent="0.35">
      <c r="EW1159" s="48"/>
      <c r="FB1159" s="5"/>
      <c r="FI1159" s="5"/>
      <c r="FJ1159" s="164"/>
      <c r="FL1159" s="2"/>
      <c r="FN1159" s="2"/>
    </row>
    <row r="1160" spans="153:170" x14ac:dyDescent="0.35">
      <c r="EW1160" s="48"/>
      <c r="FB1160" s="5"/>
      <c r="FI1160" s="5"/>
      <c r="FJ1160" s="164"/>
      <c r="FL1160" s="2"/>
      <c r="FN1160" s="2"/>
    </row>
    <row r="1161" spans="153:170" x14ac:dyDescent="0.35">
      <c r="EW1161" s="48"/>
      <c r="FB1161" s="5"/>
      <c r="FI1161" s="5"/>
      <c r="FJ1161" s="164"/>
      <c r="FL1161" s="2"/>
      <c r="FN1161" s="2"/>
    </row>
    <row r="1162" spans="153:170" x14ac:dyDescent="0.35">
      <c r="EW1162" s="48"/>
      <c r="FB1162" s="5"/>
      <c r="FI1162" s="5"/>
      <c r="FJ1162" s="164"/>
      <c r="FL1162" s="2"/>
      <c r="FN1162" s="2"/>
    </row>
    <row r="1163" spans="153:170" x14ac:dyDescent="0.35">
      <c r="EW1163" s="48"/>
      <c r="FB1163" s="5"/>
      <c r="FI1163" s="5"/>
      <c r="FJ1163" s="164"/>
      <c r="FL1163" s="2"/>
      <c r="FN1163" s="2"/>
    </row>
    <row r="1164" spans="153:170" x14ac:dyDescent="0.35">
      <c r="EW1164" s="48"/>
      <c r="FB1164" s="5"/>
      <c r="FI1164" s="5"/>
      <c r="FJ1164" s="164"/>
      <c r="FL1164" s="2"/>
      <c r="FN1164" s="2"/>
    </row>
    <row r="1165" spans="153:170" x14ac:dyDescent="0.35">
      <c r="EW1165" s="48"/>
      <c r="FB1165" s="5"/>
      <c r="FI1165" s="5"/>
      <c r="FJ1165" s="164"/>
      <c r="FL1165" s="2"/>
      <c r="FN1165" s="2"/>
    </row>
    <row r="1166" spans="153:170" x14ac:dyDescent="0.35">
      <c r="EW1166" s="48"/>
      <c r="FB1166" s="5"/>
      <c r="FI1166" s="5"/>
      <c r="FJ1166" s="164"/>
      <c r="FL1166" s="2"/>
      <c r="FN1166" s="2"/>
    </row>
    <row r="1167" spans="153:170" x14ac:dyDescent="0.35">
      <c r="EW1167" s="48"/>
      <c r="FB1167" s="5"/>
      <c r="FI1167" s="5"/>
      <c r="FJ1167" s="164"/>
      <c r="FL1167" s="2"/>
      <c r="FN1167" s="2"/>
    </row>
    <row r="1168" spans="153:170" x14ac:dyDescent="0.35">
      <c r="EW1168" s="48"/>
      <c r="FB1168" s="5"/>
      <c r="FI1168" s="5"/>
      <c r="FJ1168" s="164"/>
      <c r="FL1168" s="2"/>
      <c r="FN1168" s="2"/>
    </row>
    <row r="1169" spans="153:170" x14ac:dyDescent="0.35">
      <c r="EW1169" s="48"/>
      <c r="FB1169" s="5"/>
      <c r="FI1169" s="5"/>
      <c r="FJ1169" s="164"/>
      <c r="FL1169" s="2"/>
      <c r="FN1169" s="2"/>
    </row>
    <row r="1170" spans="153:170" x14ac:dyDescent="0.35">
      <c r="EW1170" s="48"/>
      <c r="FB1170" s="5"/>
      <c r="FI1170" s="5"/>
      <c r="FJ1170" s="164"/>
      <c r="FL1170" s="2"/>
      <c r="FN1170" s="2"/>
    </row>
    <row r="1171" spans="153:170" x14ac:dyDescent="0.35">
      <c r="EW1171" s="48"/>
      <c r="FB1171" s="5"/>
      <c r="FI1171" s="5"/>
      <c r="FJ1171" s="164"/>
      <c r="FL1171" s="2"/>
      <c r="FN1171" s="2"/>
    </row>
    <row r="1172" spans="153:170" x14ac:dyDescent="0.35">
      <c r="EW1172" s="48"/>
      <c r="FB1172" s="5"/>
      <c r="FI1172" s="5"/>
      <c r="FJ1172" s="164"/>
      <c r="FL1172" s="2"/>
      <c r="FN1172" s="2"/>
    </row>
    <row r="1173" spans="153:170" x14ac:dyDescent="0.35">
      <c r="EW1173" s="48"/>
      <c r="FB1173" s="5"/>
      <c r="FI1173" s="5"/>
      <c r="FJ1173" s="164"/>
      <c r="FL1173" s="2"/>
      <c r="FN1173" s="2"/>
    </row>
    <row r="1174" spans="153:170" x14ac:dyDescent="0.35">
      <c r="EW1174" s="48"/>
      <c r="FB1174" s="5"/>
      <c r="FI1174" s="5"/>
      <c r="FJ1174" s="164"/>
      <c r="FL1174" s="2"/>
      <c r="FN1174" s="2"/>
    </row>
    <row r="1175" spans="153:170" x14ac:dyDescent="0.35">
      <c r="EW1175" s="48"/>
      <c r="FB1175" s="5"/>
      <c r="FI1175" s="5"/>
      <c r="FJ1175" s="164"/>
      <c r="FL1175" s="2"/>
      <c r="FN1175" s="2"/>
    </row>
    <row r="1176" spans="153:170" x14ac:dyDescent="0.35">
      <c r="EW1176" s="48"/>
      <c r="FB1176" s="5"/>
      <c r="FI1176" s="5"/>
      <c r="FJ1176" s="164"/>
      <c r="FL1176" s="2"/>
      <c r="FN1176" s="2"/>
    </row>
    <row r="1177" spans="153:170" x14ac:dyDescent="0.35">
      <c r="EW1177" s="48"/>
      <c r="FB1177" s="5"/>
      <c r="FI1177" s="5"/>
      <c r="FJ1177" s="164"/>
      <c r="FL1177" s="2"/>
      <c r="FN1177" s="2"/>
    </row>
    <row r="1178" spans="153:170" x14ac:dyDescent="0.35">
      <c r="EW1178" s="48"/>
      <c r="FB1178" s="5"/>
      <c r="FI1178" s="5"/>
      <c r="FJ1178" s="164"/>
      <c r="FL1178" s="2"/>
      <c r="FN1178" s="2"/>
    </row>
    <row r="1179" spans="153:170" x14ac:dyDescent="0.35">
      <c r="EW1179" s="48"/>
      <c r="FB1179" s="5"/>
      <c r="FI1179" s="5"/>
      <c r="FJ1179" s="164"/>
      <c r="FL1179" s="2"/>
      <c r="FN1179" s="2"/>
    </row>
    <row r="1180" spans="153:170" x14ac:dyDescent="0.35">
      <c r="EW1180" s="48"/>
      <c r="FB1180" s="5"/>
      <c r="FI1180" s="5"/>
      <c r="FJ1180" s="164"/>
      <c r="FL1180" s="2"/>
      <c r="FN1180" s="2"/>
    </row>
    <row r="1181" spans="153:170" x14ac:dyDescent="0.35">
      <c r="EW1181" s="48"/>
      <c r="FB1181" s="5"/>
      <c r="FI1181" s="5"/>
      <c r="FJ1181" s="164"/>
      <c r="FL1181" s="2"/>
      <c r="FN1181" s="2"/>
    </row>
    <row r="1182" spans="153:170" x14ac:dyDescent="0.35">
      <c r="EW1182" s="48"/>
      <c r="FB1182" s="5"/>
      <c r="FI1182" s="5"/>
      <c r="FJ1182" s="164"/>
      <c r="FL1182" s="2"/>
      <c r="FN1182" s="2"/>
    </row>
    <row r="1183" spans="153:170" x14ac:dyDescent="0.35">
      <c r="EW1183" s="48"/>
      <c r="FB1183" s="5"/>
      <c r="FI1183" s="5"/>
      <c r="FJ1183" s="164"/>
      <c r="FL1183" s="2"/>
      <c r="FN1183" s="2"/>
    </row>
    <row r="1184" spans="153:170" x14ac:dyDescent="0.35">
      <c r="EW1184" s="48"/>
      <c r="FB1184" s="5"/>
      <c r="FI1184" s="5"/>
      <c r="FJ1184" s="164"/>
      <c r="FL1184" s="2"/>
      <c r="FN1184" s="2"/>
    </row>
    <row r="1185" spans="153:170" x14ac:dyDescent="0.35">
      <c r="EW1185" s="48"/>
      <c r="FB1185" s="5"/>
      <c r="FI1185" s="5"/>
      <c r="FJ1185" s="164"/>
      <c r="FL1185" s="2"/>
      <c r="FN1185" s="2"/>
    </row>
    <row r="1186" spans="153:170" x14ac:dyDescent="0.35">
      <c r="EW1186" s="48"/>
      <c r="FB1186" s="5"/>
      <c r="FI1186" s="5"/>
      <c r="FJ1186" s="164"/>
      <c r="FL1186" s="2"/>
      <c r="FN1186" s="2"/>
    </row>
    <row r="1187" spans="153:170" x14ac:dyDescent="0.35">
      <c r="EW1187" s="48"/>
      <c r="FB1187" s="5"/>
      <c r="FI1187" s="5"/>
      <c r="FJ1187" s="164"/>
      <c r="FL1187" s="2"/>
      <c r="FN1187" s="2"/>
    </row>
    <row r="1188" spans="153:170" x14ac:dyDescent="0.35">
      <c r="EW1188" s="48"/>
      <c r="FB1188" s="5"/>
      <c r="FI1188" s="5"/>
      <c r="FJ1188" s="164"/>
      <c r="FL1188" s="2"/>
      <c r="FN1188" s="2"/>
    </row>
    <row r="1189" spans="153:170" x14ac:dyDescent="0.35">
      <c r="EW1189" s="48"/>
      <c r="FB1189" s="5"/>
      <c r="FI1189" s="5"/>
      <c r="FJ1189" s="164"/>
      <c r="FL1189" s="2"/>
      <c r="FN1189" s="2"/>
    </row>
    <row r="1190" spans="153:170" x14ac:dyDescent="0.35">
      <c r="EW1190" s="48"/>
      <c r="FB1190" s="5"/>
      <c r="FI1190" s="5"/>
      <c r="FJ1190" s="164"/>
      <c r="FL1190" s="2"/>
      <c r="FN1190" s="2"/>
    </row>
    <row r="1191" spans="153:170" x14ac:dyDescent="0.35">
      <c r="EW1191" s="48"/>
      <c r="FB1191" s="5"/>
      <c r="FI1191" s="5"/>
      <c r="FJ1191" s="164"/>
      <c r="FL1191" s="2"/>
      <c r="FN1191" s="2"/>
    </row>
    <row r="1192" spans="153:170" x14ac:dyDescent="0.35">
      <c r="EW1192" s="48"/>
      <c r="FB1192" s="5"/>
      <c r="FI1192" s="5"/>
      <c r="FJ1192" s="164"/>
      <c r="FL1192" s="2"/>
      <c r="FN1192" s="2"/>
    </row>
    <row r="1193" spans="153:170" x14ac:dyDescent="0.35">
      <c r="EW1193" s="48"/>
      <c r="FB1193" s="5"/>
      <c r="FI1193" s="5"/>
      <c r="FJ1193" s="164"/>
      <c r="FL1193" s="2"/>
      <c r="FN1193" s="2"/>
    </row>
    <row r="1194" spans="153:170" x14ac:dyDescent="0.35">
      <c r="EW1194" s="48"/>
      <c r="FB1194" s="5"/>
      <c r="FI1194" s="5"/>
      <c r="FJ1194" s="164"/>
      <c r="FL1194" s="2"/>
      <c r="FN1194" s="2"/>
    </row>
    <row r="1195" spans="153:170" x14ac:dyDescent="0.35">
      <c r="EW1195" s="48"/>
      <c r="FB1195" s="5"/>
      <c r="FI1195" s="5"/>
      <c r="FJ1195" s="164"/>
      <c r="FL1195" s="2"/>
      <c r="FN1195" s="2"/>
    </row>
    <row r="1196" spans="153:170" x14ac:dyDescent="0.35">
      <c r="EW1196" s="48"/>
      <c r="FB1196" s="5"/>
      <c r="FI1196" s="5"/>
      <c r="FJ1196" s="164"/>
      <c r="FL1196" s="2"/>
      <c r="FN1196" s="2"/>
    </row>
    <row r="1197" spans="153:170" x14ac:dyDescent="0.35">
      <c r="EW1197" s="48"/>
      <c r="FB1197" s="5"/>
      <c r="FI1197" s="5"/>
      <c r="FJ1197" s="164"/>
      <c r="FL1197" s="2"/>
      <c r="FN1197" s="2"/>
    </row>
    <row r="1198" spans="153:170" x14ac:dyDescent="0.35">
      <c r="EW1198" s="48"/>
      <c r="FB1198" s="5"/>
      <c r="FI1198" s="5"/>
      <c r="FJ1198" s="164"/>
      <c r="FL1198" s="2"/>
      <c r="FN1198" s="2"/>
    </row>
    <row r="1199" spans="153:170" x14ac:dyDescent="0.35">
      <c r="EW1199" s="48"/>
      <c r="FB1199" s="5"/>
      <c r="FI1199" s="5"/>
      <c r="FJ1199" s="164"/>
      <c r="FL1199" s="2"/>
      <c r="FN1199" s="2"/>
    </row>
    <row r="1200" spans="153:170" x14ac:dyDescent="0.35">
      <c r="EW1200" s="48"/>
      <c r="FB1200" s="5"/>
      <c r="FI1200" s="5"/>
      <c r="FJ1200" s="164"/>
      <c r="FL1200" s="2"/>
      <c r="FN1200" s="2"/>
    </row>
    <row r="1201" spans="153:170" x14ac:dyDescent="0.35">
      <c r="EW1201" s="48"/>
      <c r="FB1201" s="5"/>
      <c r="FI1201" s="5"/>
      <c r="FJ1201" s="164"/>
      <c r="FL1201" s="2"/>
      <c r="FN1201" s="2"/>
    </row>
    <row r="1202" spans="153:170" x14ac:dyDescent="0.35">
      <c r="EW1202" s="48"/>
      <c r="FB1202" s="5"/>
      <c r="FI1202" s="5"/>
      <c r="FJ1202" s="164"/>
      <c r="FL1202" s="2"/>
      <c r="FN1202" s="2"/>
    </row>
    <row r="1203" spans="153:170" x14ac:dyDescent="0.35">
      <c r="EW1203" s="48"/>
      <c r="FB1203" s="5"/>
      <c r="FI1203" s="5"/>
      <c r="FJ1203" s="164"/>
      <c r="FL1203" s="2"/>
      <c r="FN1203" s="2"/>
    </row>
    <row r="1204" spans="153:170" x14ac:dyDescent="0.35">
      <c r="EW1204" s="48"/>
      <c r="FB1204" s="5"/>
      <c r="FI1204" s="5"/>
      <c r="FJ1204" s="164"/>
      <c r="FL1204" s="2"/>
      <c r="FN1204" s="2"/>
    </row>
    <row r="1205" spans="153:170" x14ac:dyDescent="0.35">
      <c r="EW1205" s="48"/>
      <c r="FB1205" s="5"/>
      <c r="FI1205" s="5"/>
      <c r="FJ1205" s="164"/>
      <c r="FL1205" s="2"/>
      <c r="FN1205" s="2"/>
    </row>
    <row r="1206" spans="153:170" x14ac:dyDescent="0.35">
      <c r="EW1206" s="48"/>
      <c r="FB1206" s="5"/>
      <c r="FI1206" s="5"/>
      <c r="FJ1206" s="164"/>
      <c r="FL1206" s="2"/>
      <c r="FN1206" s="2"/>
    </row>
    <row r="1207" spans="153:170" x14ac:dyDescent="0.35">
      <c r="EW1207" s="48"/>
      <c r="FB1207" s="5"/>
      <c r="FI1207" s="5"/>
      <c r="FJ1207" s="164"/>
      <c r="FL1207" s="2"/>
      <c r="FN1207" s="2"/>
    </row>
    <row r="1208" spans="153:170" x14ac:dyDescent="0.35">
      <c r="EW1208" s="48"/>
      <c r="FB1208" s="5"/>
      <c r="FI1208" s="5"/>
      <c r="FJ1208" s="164"/>
      <c r="FL1208" s="2"/>
      <c r="FN1208" s="2"/>
    </row>
    <row r="1209" spans="153:170" x14ac:dyDescent="0.35">
      <c r="EW1209" s="48"/>
      <c r="FB1209" s="5"/>
      <c r="FI1209" s="5"/>
      <c r="FJ1209" s="164"/>
      <c r="FL1209" s="2"/>
      <c r="FN1209" s="2"/>
    </row>
    <row r="1210" spans="153:170" x14ac:dyDescent="0.35">
      <c r="EW1210" s="48"/>
      <c r="FB1210" s="5"/>
      <c r="FI1210" s="5"/>
      <c r="FJ1210" s="164"/>
      <c r="FL1210" s="2"/>
      <c r="FN1210" s="2"/>
    </row>
    <row r="1211" spans="153:170" x14ac:dyDescent="0.35">
      <c r="EW1211" s="48"/>
      <c r="FB1211" s="5"/>
      <c r="FI1211" s="5"/>
      <c r="FJ1211" s="164"/>
      <c r="FL1211" s="2"/>
      <c r="FN1211" s="2"/>
    </row>
    <row r="1212" spans="153:170" x14ac:dyDescent="0.35">
      <c r="EW1212" s="48"/>
      <c r="FB1212" s="5"/>
      <c r="FI1212" s="5"/>
      <c r="FJ1212" s="164"/>
      <c r="FL1212" s="2"/>
      <c r="FN1212" s="2"/>
    </row>
    <row r="1213" spans="153:170" x14ac:dyDescent="0.35">
      <c r="EW1213" s="48"/>
      <c r="FB1213" s="5"/>
      <c r="FI1213" s="5"/>
      <c r="FJ1213" s="164"/>
      <c r="FL1213" s="2"/>
      <c r="FN1213" s="2"/>
    </row>
    <row r="1214" spans="153:170" x14ac:dyDescent="0.35">
      <c r="EW1214" s="48"/>
      <c r="FB1214" s="5"/>
      <c r="FI1214" s="5"/>
      <c r="FJ1214" s="164"/>
      <c r="FL1214" s="2"/>
      <c r="FN1214" s="2"/>
    </row>
    <row r="1215" spans="153:170" x14ac:dyDescent="0.35">
      <c r="EW1215" s="48"/>
      <c r="FB1215" s="5"/>
      <c r="FI1215" s="5"/>
      <c r="FJ1215" s="164"/>
      <c r="FL1215" s="2"/>
      <c r="FN1215" s="2"/>
    </row>
    <row r="1216" spans="153:170" x14ac:dyDescent="0.35">
      <c r="EW1216" s="48"/>
      <c r="FB1216" s="5"/>
      <c r="FI1216" s="5"/>
      <c r="FJ1216" s="164"/>
      <c r="FL1216" s="2"/>
      <c r="FN1216" s="2"/>
    </row>
    <row r="1217" spans="153:170" x14ac:dyDescent="0.35">
      <c r="EW1217" s="48"/>
      <c r="FB1217" s="5"/>
      <c r="FI1217" s="5"/>
      <c r="FJ1217" s="164"/>
      <c r="FL1217" s="2"/>
      <c r="FN1217" s="2"/>
    </row>
    <row r="1218" spans="153:170" x14ac:dyDescent="0.35">
      <c r="EW1218" s="48"/>
      <c r="FB1218" s="5"/>
      <c r="FI1218" s="5"/>
      <c r="FJ1218" s="164"/>
      <c r="FL1218" s="2"/>
      <c r="FN1218" s="2"/>
    </row>
    <row r="1219" spans="153:170" x14ac:dyDescent="0.35">
      <c r="EW1219" s="48"/>
      <c r="FB1219" s="5"/>
      <c r="FI1219" s="5"/>
      <c r="FJ1219" s="164"/>
      <c r="FL1219" s="2"/>
      <c r="FN1219" s="2"/>
    </row>
    <row r="1220" spans="153:170" x14ac:dyDescent="0.35">
      <c r="EW1220" s="48"/>
      <c r="FB1220" s="5"/>
      <c r="FI1220" s="5"/>
      <c r="FJ1220" s="164"/>
      <c r="FL1220" s="2"/>
      <c r="FN1220" s="2"/>
    </row>
    <row r="1221" spans="153:170" x14ac:dyDescent="0.35">
      <c r="EW1221" s="48"/>
      <c r="FB1221" s="5"/>
      <c r="FI1221" s="5"/>
      <c r="FJ1221" s="164"/>
      <c r="FL1221" s="2"/>
      <c r="FN1221" s="2"/>
    </row>
    <row r="1222" spans="153:170" x14ac:dyDescent="0.35">
      <c r="EW1222" s="48"/>
      <c r="FB1222" s="5"/>
      <c r="FI1222" s="5"/>
      <c r="FJ1222" s="164"/>
      <c r="FL1222" s="2"/>
      <c r="FN1222" s="2"/>
    </row>
    <row r="1223" spans="153:170" x14ac:dyDescent="0.35">
      <c r="EW1223" s="48"/>
      <c r="FB1223" s="5"/>
      <c r="FI1223" s="5"/>
      <c r="FJ1223" s="164"/>
      <c r="FL1223" s="2"/>
      <c r="FN1223" s="2"/>
    </row>
    <row r="1224" spans="153:170" x14ac:dyDescent="0.35">
      <c r="EW1224" s="48"/>
      <c r="FB1224" s="5"/>
      <c r="FI1224" s="5"/>
      <c r="FJ1224" s="164"/>
      <c r="FL1224" s="2"/>
      <c r="FN1224" s="2"/>
    </row>
    <row r="1225" spans="153:170" x14ac:dyDescent="0.35">
      <c r="EW1225" s="48"/>
      <c r="FB1225" s="5"/>
      <c r="FI1225" s="5"/>
      <c r="FJ1225" s="164"/>
      <c r="FL1225" s="2"/>
      <c r="FN1225" s="2"/>
    </row>
    <row r="1226" spans="153:170" x14ac:dyDescent="0.35">
      <c r="EW1226" s="48"/>
      <c r="FB1226" s="5"/>
      <c r="FI1226" s="5"/>
      <c r="FJ1226" s="164"/>
      <c r="FL1226" s="2"/>
      <c r="FN1226" s="2"/>
    </row>
    <row r="1227" spans="153:170" x14ac:dyDescent="0.35">
      <c r="EW1227" s="48"/>
      <c r="FB1227" s="5"/>
      <c r="FI1227" s="5"/>
      <c r="FJ1227" s="164"/>
      <c r="FL1227" s="2"/>
      <c r="FN1227" s="2"/>
    </row>
    <row r="1228" spans="153:170" x14ac:dyDescent="0.35">
      <c r="EW1228" s="48"/>
      <c r="FB1228" s="5"/>
      <c r="FI1228" s="5"/>
      <c r="FJ1228" s="164"/>
      <c r="FL1228" s="2"/>
      <c r="FN1228" s="2"/>
    </row>
    <row r="1229" spans="153:170" x14ac:dyDescent="0.35">
      <c r="EW1229" s="48"/>
      <c r="FB1229" s="5"/>
      <c r="FI1229" s="5"/>
      <c r="FJ1229" s="164"/>
      <c r="FL1229" s="2"/>
      <c r="FN1229" s="2"/>
    </row>
    <row r="1230" spans="153:170" x14ac:dyDescent="0.35">
      <c r="EW1230" s="48"/>
      <c r="FB1230" s="5"/>
      <c r="FI1230" s="5"/>
      <c r="FJ1230" s="164"/>
      <c r="FL1230" s="2"/>
      <c r="FN1230" s="2"/>
    </row>
    <row r="1231" spans="153:170" x14ac:dyDescent="0.35">
      <c r="EW1231" s="48"/>
      <c r="FB1231" s="5"/>
      <c r="FI1231" s="5"/>
      <c r="FJ1231" s="164"/>
      <c r="FL1231" s="2"/>
      <c r="FN1231" s="2"/>
    </row>
    <row r="1232" spans="153:170" x14ac:dyDescent="0.35">
      <c r="EW1232" s="48"/>
      <c r="FB1232" s="5"/>
      <c r="FI1232" s="5"/>
      <c r="FJ1232" s="164"/>
      <c r="FL1232" s="2"/>
      <c r="FN1232" s="2"/>
    </row>
    <row r="1233" spans="153:170" x14ac:dyDescent="0.35">
      <c r="EW1233" s="48"/>
      <c r="FB1233" s="5"/>
      <c r="FI1233" s="5"/>
      <c r="FJ1233" s="164"/>
      <c r="FL1233" s="2"/>
      <c r="FN1233" s="2"/>
    </row>
    <row r="1234" spans="153:170" x14ac:dyDescent="0.35">
      <c r="EW1234" s="48"/>
      <c r="FB1234" s="5"/>
      <c r="FI1234" s="5"/>
      <c r="FJ1234" s="164"/>
      <c r="FL1234" s="2"/>
      <c r="FN1234" s="2"/>
    </row>
    <row r="1235" spans="153:170" x14ac:dyDescent="0.35">
      <c r="EW1235" s="48"/>
      <c r="FB1235" s="5"/>
      <c r="FI1235" s="5"/>
      <c r="FJ1235" s="164"/>
      <c r="FL1235" s="2"/>
      <c r="FN1235" s="2"/>
    </row>
    <row r="1236" spans="153:170" x14ac:dyDescent="0.35">
      <c r="EW1236" s="48"/>
      <c r="FB1236" s="5"/>
      <c r="FI1236" s="5"/>
      <c r="FJ1236" s="164"/>
      <c r="FL1236" s="2"/>
      <c r="FN1236" s="2"/>
    </row>
    <row r="1237" spans="153:170" x14ac:dyDescent="0.35">
      <c r="EW1237" s="48"/>
      <c r="FB1237" s="5"/>
      <c r="FI1237" s="5"/>
      <c r="FJ1237" s="164"/>
      <c r="FL1237" s="2"/>
      <c r="FN1237" s="2"/>
    </row>
    <row r="1238" spans="153:170" x14ac:dyDescent="0.35">
      <c r="EW1238" s="48"/>
      <c r="FB1238" s="5"/>
      <c r="FI1238" s="5"/>
      <c r="FJ1238" s="164"/>
      <c r="FL1238" s="2"/>
      <c r="FN1238" s="2"/>
    </row>
    <row r="1239" spans="153:170" x14ac:dyDescent="0.35">
      <c r="EW1239" s="48"/>
      <c r="FB1239" s="5"/>
      <c r="FI1239" s="5"/>
      <c r="FJ1239" s="164"/>
      <c r="FL1239" s="2"/>
      <c r="FN1239" s="2"/>
    </row>
    <row r="1240" spans="153:170" x14ac:dyDescent="0.35">
      <c r="EW1240" s="48"/>
      <c r="FB1240" s="5"/>
      <c r="FI1240" s="5"/>
      <c r="FJ1240" s="164"/>
      <c r="FL1240" s="2"/>
      <c r="FN1240" s="2"/>
    </row>
    <row r="1241" spans="153:170" x14ac:dyDescent="0.35">
      <c r="EW1241" s="48"/>
      <c r="FB1241" s="5"/>
      <c r="FI1241" s="5"/>
      <c r="FJ1241" s="164"/>
      <c r="FL1241" s="2"/>
      <c r="FN1241" s="2"/>
    </row>
    <row r="1242" spans="153:170" x14ac:dyDescent="0.35">
      <c r="EW1242" s="48"/>
      <c r="FB1242" s="5"/>
      <c r="FI1242" s="5"/>
      <c r="FJ1242" s="164"/>
      <c r="FL1242" s="2"/>
      <c r="FN1242" s="2"/>
    </row>
    <row r="1243" spans="153:170" x14ac:dyDescent="0.35">
      <c r="EW1243" s="48"/>
      <c r="FB1243" s="5"/>
      <c r="FI1243" s="5"/>
      <c r="FJ1243" s="164"/>
      <c r="FL1243" s="2"/>
      <c r="FN1243" s="2"/>
    </row>
    <row r="1244" spans="153:170" x14ac:dyDescent="0.35">
      <c r="EW1244" s="48"/>
      <c r="FB1244" s="5"/>
      <c r="FI1244" s="5"/>
      <c r="FJ1244" s="164"/>
      <c r="FL1244" s="2"/>
      <c r="FN1244" s="2"/>
    </row>
    <row r="1245" spans="153:170" x14ac:dyDescent="0.35">
      <c r="EW1245" s="48"/>
      <c r="FB1245" s="5"/>
      <c r="FI1245" s="5"/>
      <c r="FJ1245" s="164"/>
      <c r="FL1245" s="2"/>
      <c r="FN1245" s="2"/>
    </row>
    <row r="1246" spans="153:170" x14ac:dyDescent="0.35">
      <c r="EW1246" s="48"/>
      <c r="FB1246" s="5"/>
      <c r="FI1246" s="5"/>
      <c r="FJ1246" s="164"/>
      <c r="FL1246" s="2"/>
      <c r="FN1246" s="2"/>
    </row>
    <row r="1247" spans="153:170" x14ac:dyDescent="0.35">
      <c r="EW1247" s="48"/>
      <c r="FB1247" s="5"/>
      <c r="FI1247" s="5"/>
      <c r="FJ1247" s="164"/>
      <c r="FL1247" s="2"/>
      <c r="FN1247" s="2"/>
    </row>
    <row r="1248" spans="153:170" x14ac:dyDescent="0.35">
      <c r="EW1248" s="48"/>
      <c r="FB1248" s="5"/>
      <c r="FI1248" s="5"/>
      <c r="FJ1248" s="164"/>
      <c r="FL1248" s="2"/>
      <c r="FN1248" s="2"/>
    </row>
    <row r="1249" spans="153:170" x14ac:dyDescent="0.35">
      <c r="EW1249" s="48"/>
      <c r="FB1249" s="5"/>
      <c r="FI1249" s="5"/>
      <c r="FJ1249" s="164"/>
      <c r="FL1249" s="2"/>
      <c r="FN1249" s="2"/>
    </row>
    <row r="1250" spans="153:170" x14ac:dyDescent="0.35">
      <c r="EW1250" s="48"/>
      <c r="FB1250" s="5"/>
      <c r="FI1250" s="5"/>
      <c r="FJ1250" s="164"/>
      <c r="FL1250" s="2"/>
      <c r="FN1250" s="2"/>
    </row>
    <row r="1251" spans="153:170" x14ac:dyDescent="0.35">
      <c r="EW1251" s="48"/>
      <c r="FB1251" s="5"/>
      <c r="FI1251" s="5"/>
      <c r="FJ1251" s="164"/>
      <c r="FL1251" s="2"/>
      <c r="FN1251" s="2"/>
    </row>
    <row r="1252" spans="153:170" x14ac:dyDescent="0.35">
      <c r="EW1252" s="48"/>
      <c r="FB1252" s="5"/>
      <c r="FI1252" s="5"/>
      <c r="FJ1252" s="164"/>
      <c r="FL1252" s="2"/>
      <c r="FN1252" s="2"/>
    </row>
    <row r="1253" spans="153:170" x14ac:dyDescent="0.35">
      <c r="EW1253" s="48"/>
      <c r="FB1253" s="5"/>
      <c r="FI1253" s="5"/>
      <c r="FJ1253" s="164"/>
      <c r="FL1253" s="2"/>
      <c r="FN1253" s="2"/>
    </row>
    <row r="1254" spans="153:170" x14ac:dyDescent="0.35">
      <c r="EW1254" s="48"/>
      <c r="FB1254" s="5"/>
      <c r="FI1254" s="5"/>
      <c r="FJ1254" s="164"/>
      <c r="FL1254" s="2"/>
      <c r="FN1254" s="2"/>
    </row>
    <row r="1255" spans="153:170" x14ac:dyDescent="0.35">
      <c r="EW1255" s="48"/>
      <c r="FB1255" s="5"/>
      <c r="FI1255" s="5"/>
      <c r="FJ1255" s="164"/>
      <c r="FL1255" s="2"/>
      <c r="FN1255" s="2"/>
    </row>
    <row r="1256" spans="153:170" x14ac:dyDescent="0.35">
      <c r="EW1256" s="48"/>
      <c r="FB1256" s="5"/>
      <c r="FI1256" s="5"/>
      <c r="FJ1256" s="164"/>
      <c r="FL1256" s="2"/>
      <c r="FN1256" s="2"/>
    </row>
    <row r="1257" spans="153:170" x14ac:dyDescent="0.35">
      <c r="EW1257" s="48"/>
      <c r="FB1257" s="5"/>
      <c r="FI1257" s="5"/>
      <c r="FJ1257" s="164"/>
      <c r="FL1257" s="2"/>
      <c r="FN1257" s="2"/>
    </row>
    <row r="1258" spans="153:170" x14ac:dyDescent="0.35">
      <c r="EW1258" s="48"/>
      <c r="FB1258" s="5"/>
      <c r="FI1258" s="5"/>
      <c r="FJ1258" s="164"/>
      <c r="FL1258" s="2"/>
      <c r="FN1258" s="2"/>
    </row>
    <row r="1259" spans="153:170" x14ac:dyDescent="0.35">
      <c r="EW1259" s="48"/>
      <c r="FB1259" s="5"/>
      <c r="FI1259" s="5"/>
      <c r="FJ1259" s="164"/>
      <c r="FL1259" s="2"/>
      <c r="FN1259" s="2"/>
    </row>
    <row r="1260" spans="153:170" x14ac:dyDescent="0.35">
      <c r="EW1260" s="48"/>
      <c r="FB1260" s="5"/>
      <c r="FI1260" s="5"/>
      <c r="FJ1260" s="164"/>
      <c r="FL1260" s="2"/>
      <c r="FN1260" s="2"/>
    </row>
    <row r="1261" spans="153:170" x14ac:dyDescent="0.35">
      <c r="EW1261" s="48"/>
      <c r="FB1261" s="5"/>
      <c r="FI1261" s="5"/>
      <c r="FJ1261" s="164"/>
      <c r="FL1261" s="2"/>
      <c r="FN1261" s="2"/>
    </row>
    <row r="1262" spans="153:170" x14ac:dyDescent="0.35">
      <c r="EW1262" s="48"/>
      <c r="FB1262" s="5"/>
      <c r="FI1262" s="5"/>
      <c r="FJ1262" s="164"/>
      <c r="FL1262" s="2"/>
      <c r="FN1262" s="2"/>
    </row>
    <row r="1263" spans="153:170" x14ac:dyDescent="0.35">
      <c r="EW1263" s="48"/>
      <c r="FB1263" s="5"/>
      <c r="FI1263" s="5"/>
      <c r="FJ1263" s="164"/>
      <c r="FL1263" s="2"/>
      <c r="FN1263" s="2"/>
    </row>
    <row r="1264" spans="153:170" x14ac:dyDescent="0.35">
      <c r="EW1264" s="48"/>
      <c r="FB1264" s="5"/>
      <c r="FI1264" s="5"/>
      <c r="FJ1264" s="164"/>
      <c r="FL1264" s="2"/>
      <c r="FN1264" s="2"/>
    </row>
    <row r="1265" spans="153:170" x14ac:dyDescent="0.35">
      <c r="EW1265" s="48"/>
      <c r="FB1265" s="5"/>
      <c r="FI1265" s="5"/>
      <c r="FJ1265" s="164"/>
      <c r="FL1265" s="2"/>
      <c r="FN1265" s="2"/>
    </row>
    <row r="1266" spans="153:170" x14ac:dyDescent="0.35">
      <c r="EW1266" s="48"/>
      <c r="FB1266" s="5"/>
      <c r="FI1266" s="5"/>
      <c r="FJ1266" s="164"/>
      <c r="FL1266" s="2"/>
      <c r="FN1266" s="2"/>
    </row>
    <row r="1267" spans="153:170" x14ac:dyDescent="0.35">
      <c r="EW1267" s="48"/>
      <c r="FB1267" s="5"/>
      <c r="FI1267" s="5"/>
      <c r="FJ1267" s="164"/>
      <c r="FL1267" s="2"/>
      <c r="FN1267" s="2"/>
    </row>
    <row r="1268" spans="153:170" x14ac:dyDescent="0.35">
      <c r="EW1268" s="48"/>
      <c r="FB1268" s="5"/>
      <c r="FI1268" s="5"/>
      <c r="FJ1268" s="164"/>
      <c r="FL1268" s="2"/>
      <c r="FN1268" s="2"/>
    </row>
    <row r="1269" spans="153:170" x14ac:dyDescent="0.35">
      <c r="EW1269" s="48"/>
      <c r="FB1269" s="5"/>
      <c r="FI1269" s="5"/>
      <c r="FJ1269" s="164"/>
      <c r="FL1269" s="2"/>
      <c r="FN1269" s="2"/>
    </row>
    <row r="1270" spans="153:170" x14ac:dyDescent="0.35">
      <c r="EW1270" s="48"/>
      <c r="FB1270" s="5"/>
      <c r="FI1270" s="5"/>
      <c r="FJ1270" s="164"/>
      <c r="FL1270" s="2"/>
      <c r="FN1270" s="2"/>
    </row>
    <row r="1271" spans="153:170" x14ac:dyDescent="0.35">
      <c r="EW1271" s="48"/>
      <c r="FB1271" s="5"/>
      <c r="FI1271" s="5"/>
      <c r="FJ1271" s="164"/>
      <c r="FL1271" s="2"/>
      <c r="FN1271" s="2"/>
    </row>
    <row r="1272" spans="153:170" x14ac:dyDescent="0.35">
      <c r="EW1272" s="48"/>
      <c r="FB1272" s="5"/>
      <c r="FI1272" s="5"/>
      <c r="FJ1272" s="164"/>
      <c r="FL1272" s="2"/>
      <c r="FN1272" s="2"/>
    </row>
    <row r="1273" spans="153:170" x14ac:dyDescent="0.35">
      <c r="EW1273" s="48"/>
      <c r="FB1273" s="5"/>
      <c r="FI1273" s="5"/>
      <c r="FJ1273" s="164"/>
      <c r="FL1273" s="2"/>
      <c r="FN1273" s="2"/>
    </row>
    <row r="1274" spans="153:170" x14ac:dyDescent="0.35">
      <c r="EW1274" s="48"/>
      <c r="FB1274" s="5"/>
      <c r="FI1274" s="5"/>
      <c r="FJ1274" s="164"/>
      <c r="FL1274" s="2"/>
      <c r="FN1274" s="2"/>
    </row>
    <row r="1275" spans="153:170" x14ac:dyDescent="0.35">
      <c r="EW1275" s="48"/>
      <c r="FB1275" s="5"/>
      <c r="FI1275" s="5"/>
      <c r="FJ1275" s="164"/>
      <c r="FL1275" s="2"/>
      <c r="FN1275" s="2"/>
    </row>
    <row r="1276" spans="153:170" x14ac:dyDescent="0.35">
      <c r="EW1276" s="48"/>
      <c r="FB1276" s="5"/>
      <c r="FI1276" s="5"/>
      <c r="FJ1276" s="164"/>
      <c r="FL1276" s="2"/>
      <c r="FN1276" s="2"/>
    </row>
    <row r="1277" spans="153:170" x14ac:dyDescent="0.35">
      <c r="EW1277" s="48"/>
      <c r="FB1277" s="5"/>
      <c r="FI1277" s="5"/>
      <c r="FJ1277" s="164"/>
      <c r="FL1277" s="2"/>
      <c r="FN1277" s="2"/>
    </row>
    <row r="1278" spans="153:170" x14ac:dyDescent="0.35">
      <c r="EW1278" s="48"/>
      <c r="FB1278" s="5"/>
      <c r="FI1278" s="5"/>
      <c r="FJ1278" s="164"/>
      <c r="FL1278" s="2"/>
      <c r="FN1278" s="2"/>
    </row>
    <row r="1279" spans="153:170" x14ac:dyDescent="0.35">
      <c r="EW1279" s="48"/>
      <c r="FB1279" s="5"/>
      <c r="FI1279" s="5"/>
      <c r="FJ1279" s="164"/>
      <c r="FL1279" s="2"/>
      <c r="FN1279" s="2"/>
    </row>
    <row r="1280" spans="153:170" x14ac:dyDescent="0.35">
      <c r="EW1280" s="48"/>
      <c r="FB1280" s="5"/>
      <c r="FI1280" s="5"/>
      <c r="FJ1280" s="164"/>
      <c r="FL1280" s="2"/>
      <c r="FN1280" s="2"/>
    </row>
    <row r="1281" spans="153:170" x14ac:dyDescent="0.35">
      <c r="EW1281" s="48"/>
      <c r="FB1281" s="5"/>
      <c r="FI1281" s="5"/>
      <c r="FJ1281" s="164"/>
      <c r="FL1281" s="2"/>
      <c r="FN1281" s="2"/>
    </row>
    <row r="1282" spans="153:170" x14ac:dyDescent="0.35">
      <c r="EW1282" s="48"/>
      <c r="FB1282" s="5"/>
      <c r="FI1282" s="5"/>
      <c r="FJ1282" s="164"/>
      <c r="FL1282" s="2"/>
      <c r="FN1282" s="2"/>
    </row>
    <row r="1283" spans="153:170" x14ac:dyDescent="0.35">
      <c r="EW1283" s="48"/>
      <c r="FB1283" s="5"/>
      <c r="FI1283" s="5"/>
      <c r="FJ1283" s="164"/>
      <c r="FL1283" s="2"/>
      <c r="FN1283" s="2"/>
    </row>
    <row r="1284" spans="153:170" x14ac:dyDescent="0.35">
      <c r="EW1284" s="48"/>
      <c r="FB1284" s="5"/>
      <c r="FI1284" s="5"/>
      <c r="FJ1284" s="164"/>
      <c r="FL1284" s="2"/>
      <c r="FN1284" s="2"/>
    </row>
    <row r="1285" spans="153:170" x14ac:dyDescent="0.35">
      <c r="EW1285" s="48"/>
      <c r="FB1285" s="5"/>
      <c r="FI1285" s="5"/>
      <c r="FJ1285" s="164"/>
      <c r="FL1285" s="2"/>
      <c r="FN1285" s="2"/>
    </row>
    <row r="1286" spans="153:170" x14ac:dyDescent="0.35">
      <c r="EW1286" s="48"/>
      <c r="FB1286" s="5"/>
      <c r="FI1286" s="5"/>
      <c r="FJ1286" s="164"/>
      <c r="FL1286" s="2"/>
      <c r="FN1286" s="2"/>
    </row>
    <row r="1287" spans="153:170" x14ac:dyDescent="0.35">
      <c r="EW1287" s="48"/>
      <c r="FB1287" s="5"/>
      <c r="FI1287" s="5"/>
      <c r="FJ1287" s="164"/>
      <c r="FL1287" s="2"/>
      <c r="FN1287" s="2"/>
    </row>
    <row r="1288" spans="153:170" x14ac:dyDescent="0.35">
      <c r="EW1288" s="48"/>
      <c r="FB1288" s="5"/>
      <c r="FI1288" s="5"/>
      <c r="FJ1288" s="164"/>
      <c r="FL1288" s="2"/>
      <c r="FN1288" s="2"/>
    </row>
    <row r="1289" spans="153:170" x14ac:dyDescent="0.35">
      <c r="EW1289" s="48"/>
      <c r="FB1289" s="5"/>
      <c r="FI1289" s="5"/>
      <c r="FJ1289" s="164"/>
      <c r="FL1289" s="2"/>
      <c r="FN1289" s="2"/>
    </row>
    <row r="1290" spans="153:170" x14ac:dyDescent="0.35">
      <c r="EW1290" s="48"/>
      <c r="FB1290" s="5"/>
      <c r="FI1290" s="5"/>
      <c r="FJ1290" s="164"/>
      <c r="FL1290" s="2"/>
      <c r="FN1290" s="2"/>
    </row>
    <row r="1291" spans="153:170" x14ac:dyDescent="0.35">
      <c r="EW1291" s="48"/>
      <c r="FB1291" s="5"/>
      <c r="FI1291" s="5"/>
      <c r="FJ1291" s="164"/>
      <c r="FL1291" s="2"/>
      <c r="FN1291" s="2"/>
    </row>
    <row r="1292" spans="153:170" x14ac:dyDescent="0.35">
      <c r="EW1292" s="48"/>
      <c r="FB1292" s="5"/>
      <c r="FI1292" s="5"/>
      <c r="FJ1292" s="164"/>
      <c r="FL1292" s="2"/>
      <c r="FN1292" s="2"/>
    </row>
    <row r="1293" spans="153:170" x14ac:dyDescent="0.35">
      <c r="EW1293" s="48"/>
      <c r="FB1293" s="5"/>
      <c r="FI1293" s="5"/>
      <c r="FJ1293" s="164"/>
      <c r="FL1293" s="2"/>
      <c r="FN1293" s="2"/>
    </row>
    <row r="1294" spans="153:170" x14ac:dyDescent="0.35">
      <c r="EW1294" s="48"/>
      <c r="FB1294" s="5"/>
      <c r="FI1294" s="5"/>
      <c r="FJ1294" s="164"/>
      <c r="FL1294" s="2"/>
      <c r="FN1294" s="2"/>
    </row>
    <row r="1295" spans="153:170" x14ac:dyDescent="0.35">
      <c r="EW1295" s="48"/>
      <c r="FB1295" s="5"/>
      <c r="FI1295" s="5"/>
      <c r="FJ1295" s="164"/>
      <c r="FL1295" s="2"/>
      <c r="FN1295" s="2"/>
    </row>
    <row r="1296" spans="153:170" x14ac:dyDescent="0.35">
      <c r="EW1296" s="48"/>
      <c r="FB1296" s="5"/>
      <c r="FI1296" s="5"/>
      <c r="FJ1296" s="164"/>
      <c r="FL1296" s="2"/>
      <c r="FN1296" s="2"/>
    </row>
    <row r="1297" spans="153:170" x14ac:dyDescent="0.35">
      <c r="EW1297" s="48"/>
      <c r="FB1297" s="5"/>
      <c r="FI1297" s="5"/>
      <c r="FJ1297" s="164"/>
      <c r="FL1297" s="2"/>
      <c r="FN1297" s="2"/>
    </row>
    <row r="1298" spans="153:170" x14ac:dyDescent="0.35">
      <c r="EW1298" s="48"/>
      <c r="FB1298" s="5"/>
      <c r="FI1298" s="5"/>
      <c r="FJ1298" s="164"/>
      <c r="FL1298" s="2"/>
      <c r="FN1298" s="2"/>
    </row>
    <row r="1299" spans="153:170" x14ac:dyDescent="0.35">
      <c r="EW1299" s="48"/>
      <c r="FB1299" s="5"/>
      <c r="FI1299" s="5"/>
      <c r="FJ1299" s="164"/>
      <c r="FL1299" s="2"/>
      <c r="FN1299" s="2"/>
    </row>
    <row r="1300" spans="153:170" x14ac:dyDescent="0.35">
      <c r="EW1300" s="48"/>
      <c r="FB1300" s="5"/>
      <c r="FI1300" s="5"/>
      <c r="FJ1300" s="164"/>
      <c r="FL1300" s="2"/>
      <c r="FN1300" s="2"/>
    </row>
    <row r="1301" spans="153:170" x14ac:dyDescent="0.35">
      <c r="EW1301" s="48"/>
      <c r="FB1301" s="5"/>
      <c r="FI1301" s="5"/>
      <c r="FJ1301" s="164"/>
      <c r="FL1301" s="2"/>
      <c r="FN1301" s="2"/>
    </row>
    <row r="1302" spans="153:170" x14ac:dyDescent="0.35">
      <c r="EW1302" s="48"/>
      <c r="FB1302" s="5"/>
      <c r="FI1302" s="5"/>
      <c r="FJ1302" s="164"/>
      <c r="FL1302" s="2"/>
      <c r="FN1302" s="2"/>
    </row>
    <row r="1303" spans="153:170" x14ac:dyDescent="0.35">
      <c r="EW1303" s="48"/>
      <c r="FB1303" s="5"/>
      <c r="FI1303" s="5"/>
      <c r="FJ1303" s="164"/>
      <c r="FL1303" s="2"/>
      <c r="FN1303" s="2"/>
    </row>
    <row r="1304" spans="153:170" x14ac:dyDescent="0.35">
      <c r="EW1304" s="48"/>
      <c r="FB1304" s="5"/>
      <c r="FI1304" s="5"/>
      <c r="FJ1304" s="164"/>
      <c r="FL1304" s="2"/>
      <c r="FN1304" s="2"/>
    </row>
    <row r="1305" spans="153:170" x14ac:dyDescent="0.35">
      <c r="EW1305" s="48"/>
      <c r="FB1305" s="5"/>
      <c r="FI1305" s="5"/>
      <c r="FJ1305" s="164"/>
      <c r="FL1305" s="2"/>
      <c r="FN1305" s="2"/>
    </row>
    <row r="1306" spans="153:170" x14ac:dyDescent="0.35">
      <c r="EW1306" s="48"/>
      <c r="FB1306" s="5"/>
      <c r="FI1306" s="5"/>
      <c r="FJ1306" s="164"/>
      <c r="FL1306" s="2"/>
      <c r="FN1306" s="2"/>
    </row>
    <row r="1307" spans="153:170" x14ac:dyDescent="0.35">
      <c r="EW1307" s="48"/>
      <c r="FB1307" s="5"/>
      <c r="FI1307" s="5"/>
      <c r="FJ1307" s="164"/>
      <c r="FL1307" s="2"/>
      <c r="FN1307" s="2"/>
    </row>
    <row r="1308" spans="153:170" x14ac:dyDescent="0.35">
      <c r="EW1308" s="48"/>
      <c r="FB1308" s="5"/>
      <c r="FI1308" s="5"/>
      <c r="FJ1308" s="164"/>
      <c r="FL1308" s="2"/>
      <c r="FN1308" s="2"/>
    </row>
    <row r="1309" spans="153:170" x14ac:dyDescent="0.35">
      <c r="EW1309" s="48"/>
      <c r="FB1309" s="5"/>
      <c r="FI1309" s="5"/>
      <c r="FJ1309" s="164"/>
      <c r="FL1309" s="2"/>
      <c r="FN1309" s="2"/>
    </row>
    <row r="1310" spans="153:170" x14ac:dyDescent="0.35">
      <c r="EW1310" s="48"/>
      <c r="FB1310" s="5"/>
      <c r="FI1310" s="5"/>
      <c r="FJ1310" s="164"/>
      <c r="FL1310" s="2"/>
      <c r="FN1310" s="2"/>
    </row>
    <row r="1311" spans="153:170" x14ac:dyDescent="0.35">
      <c r="EW1311" s="48"/>
      <c r="FB1311" s="5"/>
      <c r="FI1311" s="5"/>
      <c r="FJ1311" s="164"/>
      <c r="FL1311" s="2"/>
      <c r="FN1311" s="2"/>
    </row>
    <row r="1312" spans="153:170" x14ac:dyDescent="0.35">
      <c r="EW1312" s="48"/>
      <c r="FB1312" s="5"/>
      <c r="FI1312" s="5"/>
      <c r="FJ1312" s="164"/>
      <c r="FL1312" s="2"/>
      <c r="FN1312" s="2"/>
    </row>
    <row r="1313" spans="153:170" x14ac:dyDescent="0.35">
      <c r="EW1313" s="48"/>
      <c r="FB1313" s="5"/>
      <c r="FI1313" s="5"/>
      <c r="FJ1313" s="164"/>
      <c r="FL1313" s="2"/>
      <c r="FN1313" s="2"/>
    </row>
    <row r="1314" spans="153:170" x14ac:dyDescent="0.35">
      <c r="EW1314" s="48"/>
      <c r="FB1314" s="5"/>
      <c r="FI1314" s="5"/>
      <c r="FJ1314" s="164"/>
      <c r="FL1314" s="2"/>
      <c r="FN1314" s="2"/>
    </row>
    <row r="1315" spans="153:170" x14ac:dyDescent="0.35">
      <c r="EW1315" s="48"/>
      <c r="FB1315" s="5"/>
      <c r="FI1315" s="5"/>
      <c r="FJ1315" s="164"/>
      <c r="FL1315" s="2"/>
      <c r="FN1315" s="2"/>
    </row>
    <row r="1316" spans="153:170" x14ac:dyDescent="0.35">
      <c r="EW1316" s="48"/>
      <c r="FB1316" s="5"/>
      <c r="FI1316" s="5"/>
      <c r="FJ1316" s="164"/>
      <c r="FL1316" s="2"/>
      <c r="FN1316" s="2"/>
    </row>
    <row r="1317" spans="153:170" x14ac:dyDescent="0.35">
      <c r="EW1317" s="48"/>
      <c r="FB1317" s="5"/>
      <c r="FI1317" s="5"/>
      <c r="FJ1317" s="164"/>
      <c r="FL1317" s="2"/>
      <c r="FN1317" s="2"/>
    </row>
    <row r="1318" spans="153:170" x14ac:dyDescent="0.35">
      <c r="EW1318" s="48"/>
      <c r="FB1318" s="5"/>
      <c r="FI1318" s="5"/>
      <c r="FJ1318" s="164"/>
      <c r="FL1318" s="2"/>
      <c r="FN1318" s="2"/>
    </row>
    <row r="1319" spans="153:170" x14ac:dyDescent="0.35">
      <c r="EW1319" s="48"/>
      <c r="FB1319" s="5"/>
      <c r="FI1319" s="5"/>
      <c r="FJ1319" s="164"/>
      <c r="FL1319" s="2"/>
      <c r="FN1319" s="2"/>
    </row>
    <row r="1320" spans="153:170" x14ac:dyDescent="0.35">
      <c r="EW1320" s="48"/>
      <c r="FB1320" s="5"/>
      <c r="FI1320" s="5"/>
      <c r="FJ1320" s="164"/>
      <c r="FL1320" s="2"/>
      <c r="FN1320" s="2"/>
    </row>
    <row r="1321" spans="153:170" x14ac:dyDescent="0.35">
      <c r="EW1321" s="48"/>
      <c r="FB1321" s="5"/>
      <c r="FI1321" s="5"/>
      <c r="FJ1321" s="164"/>
      <c r="FL1321" s="2"/>
      <c r="FN1321" s="2"/>
    </row>
    <row r="1322" spans="153:170" x14ac:dyDescent="0.35">
      <c r="EW1322" s="48"/>
      <c r="FB1322" s="5"/>
      <c r="FI1322" s="5"/>
      <c r="FJ1322" s="164"/>
      <c r="FL1322" s="2"/>
      <c r="FN1322" s="2"/>
    </row>
    <row r="1323" spans="153:170" x14ac:dyDescent="0.35">
      <c r="EW1323" s="48"/>
      <c r="FB1323" s="5"/>
      <c r="FI1323" s="5"/>
      <c r="FJ1323" s="164"/>
      <c r="FL1323" s="2"/>
      <c r="FN1323" s="2"/>
    </row>
    <row r="1324" spans="153:170" x14ac:dyDescent="0.35">
      <c r="EW1324" s="48"/>
      <c r="FB1324" s="5"/>
      <c r="FI1324" s="5"/>
      <c r="FJ1324" s="164"/>
      <c r="FL1324" s="2"/>
      <c r="FN1324" s="2"/>
    </row>
    <row r="1325" spans="153:170" x14ac:dyDescent="0.35">
      <c r="EW1325" s="48"/>
      <c r="FB1325" s="5"/>
      <c r="FI1325" s="5"/>
      <c r="FJ1325" s="164"/>
      <c r="FL1325" s="2"/>
      <c r="FN1325" s="2"/>
    </row>
    <row r="1326" spans="153:170" x14ac:dyDescent="0.35">
      <c r="EW1326" s="48"/>
      <c r="FB1326" s="5"/>
      <c r="FI1326" s="5"/>
      <c r="FJ1326" s="164"/>
      <c r="FL1326" s="2"/>
      <c r="FN1326" s="2"/>
    </row>
    <row r="1327" spans="153:170" x14ac:dyDescent="0.35">
      <c r="EW1327" s="48"/>
      <c r="FB1327" s="5"/>
      <c r="FI1327" s="5"/>
      <c r="FJ1327" s="164"/>
      <c r="FL1327" s="2"/>
      <c r="FN1327" s="2"/>
    </row>
    <row r="1328" spans="153:170" x14ac:dyDescent="0.35">
      <c r="EW1328" s="48"/>
      <c r="FB1328" s="5"/>
      <c r="FI1328" s="5"/>
      <c r="FJ1328" s="164"/>
      <c r="FL1328" s="2"/>
      <c r="FN1328" s="2"/>
    </row>
    <row r="1329" spans="153:170" x14ac:dyDescent="0.35">
      <c r="EW1329" s="48"/>
      <c r="FB1329" s="5"/>
      <c r="FI1329" s="5"/>
      <c r="FJ1329" s="164"/>
      <c r="FL1329" s="2"/>
      <c r="FN1329" s="2"/>
    </row>
    <row r="1330" spans="153:170" x14ac:dyDescent="0.35">
      <c r="EW1330" s="48"/>
      <c r="FB1330" s="5"/>
      <c r="FI1330" s="5"/>
      <c r="FJ1330" s="164"/>
      <c r="FL1330" s="2"/>
      <c r="FN1330" s="2"/>
    </row>
    <row r="1331" spans="153:170" x14ac:dyDescent="0.35">
      <c r="EW1331" s="48"/>
      <c r="FB1331" s="5"/>
      <c r="FI1331" s="5"/>
      <c r="FJ1331" s="164"/>
      <c r="FL1331" s="2"/>
      <c r="FN1331" s="2"/>
    </row>
    <row r="1332" spans="153:170" x14ac:dyDescent="0.35">
      <c r="EW1332" s="48"/>
      <c r="FB1332" s="5"/>
      <c r="FI1332" s="5"/>
      <c r="FJ1332" s="164"/>
      <c r="FL1332" s="2"/>
      <c r="FN1332" s="2"/>
    </row>
    <row r="1333" spans="153:170" x14ac:dyDescent="0.35">
      <c r="EW1333" s="48"/>
      <c r="FB1333" s="5"/>
      <c r="FI1333" s="5"/>
      <c r="FJ1333" s="164"/>
      <c r="FL1333" s="2"/>
      <c r="FN1333" s="2"/>
    </row>
    <row r="1334" spans="153:170" x14ac:dyDescent="0.35">
      <c r="EW1334" s="48"/>
      <c r="FB1334" s="5"/>
      <c r="FI1334" s="5"/>
      <c r="FJ1334" s="164"/>
      <c r="FL1334" s="2"/>
      <c r="FN1334" s="2"/>
    </row>
    <row r="1335" spans="153:170" x14ac:dyDescent="0.35">
      <c r="EW1335" s="48"/>
      <c r="FB1335" s="5"/>
      <c r="FI1335" s="5"/>
      <c r="FJ1335" s="164"/>
      <c r="FL1335" s="2"/>
      <c r="FN1335" s="2"/>
    </row>
    <row r="1336" spans="153:170" x14ac:dyDescent="0.35">
      <c r="EW1336" s="48"/>
      <c r="FB1336" s="5"/>
      <c r="FI1336" s="5"/>
      <c r="FJ1336" s="164"/>
      <c r="FL1336" s="2"/>
      <c r="FN1336" s="2"/>
    </row>
    <row r="1337" spans="153:170" x14ac:dyDescent="0.35">
      <c r="EW1337" s="48"/>
      <c r="FB1337" s="5"/>
      <c r="FI1337" s="5"/>
      <c r="FJ1337" s="164"/>
      <c r="FL1337" s="2"/>
      <c r="FN1337" s="2"/>
    </row>
    <row r="1338" spans="153:170" x14ac:dyDescent="0.35">
      <c r="EW1338" s="48"/>
      <c r="FB1338" s="5"/>
      <c r="FI1338" s="5"/>
      <c r="FJ1338" s="164"/>
      <c r="FL1338" s="2"/>
      <c r="FN1338" s="2"/>
    </row>
    <row r="1339" spans="153:170" x14ac:dyDescent="0.35">
      <c r="EW1339" s="48"/>
      <c r="FB1339" s="5"/>
      <c r="FI1339" s="5"/>
      <c r="FJ1339" s="164"/>
      <c r="FL1339" s="2"/>
      <c r="FN1339" s="2"/>
    </row>
    <row r="1340" spans="153:170" x14ac:dyDescent="0.35">
      <c r="EW1340" s="48"/>
      <c r="FB1340" s="5"/>
      <c r="FI1340" s="5"/>
      <c r="FJ1340" s="164"/>
      <c r="FL1340" s="2"/>
      <c r="FN1340" s="2"/>
    </row>
    <row r="1341" spans="153:170" x14ac:dyDescent="0.35">
      <c r="EW1341" s="48"/>
      <c r="FB1341" s="5"/>
      <c r="FI1341" s="5"/>
      <c r="FJ1341" s="164"/>
      <c r="FL1341" s="2"/>
      <c r="FN1341" s="2"/>
    </row>
    <row r="1342" spans="153:170" x14ac:dyDescent="0.35">
      <c r="EW1342" s="48"/>
      <c r="FB1342" s="5"/>
      <c r="FI1342" s="5"/>
      <c r="FJ1342" s="164"/>
      <c r="FL1342" s="2"/>
      <c r="FN1342" s="2"/>
    </row>
    <row r="1343" spans="153:170" x14ac:dyDescent="0.35">
      <c r="EW1343" s="48"/>
      <c r="FB1343" s="5"/>
      <c r="FI1343" s="5"/>
      <c r="FJ1343" s="164"/>
      <c r="FL1343" s="2"/>
      <c r="FN1343" s="2"/>
    </row>
    <row r="1344" spans="153:170" x14ac:dyDescent="0.35">
      <c r="EW1344" s="48"/>
      <c r="FB1344" s="5"/>
      <c r="FI1344" s="5"/>
      <c r="FJ1344" s="164"/>
      <c r="FL1344" s="2"/>
      <c r="FN1344" s="2"/>
    </row>
    <row r="1345" spans="153:170" x14ac:dyDescent="0.35">
      <c r="EW1345" s="48"/>
      <c r="FB1345" s="5"/>
      <c r="FI1345" s="5"/>
      <c r="FJ1345" s="164"/>
      <c r="FL1345" s="2"/>
      <c r="FN1345" s="2"/>
    </row>
    <row r="1346" spans="153:170" x14ac:dyDescent="0.35">
      <c r="EW1346" s="48"/>
      <c r="FB1346" s="5"/>
      <c r="FI1346" s="5"/>
      <c r="FJ1346" s="164"/>
      <c r="FL1346" s="2"/>
      <c r="FN1346" s="2"/>
    </row>
    <row r="1347" spans="153:170" x14ac:dyDescent="0.35">
      <c r="EW1347" s="48"/>
      <c r="FB1347" s="5"/>
      <c r="FI1347" s="5"/>
      <c r="FJ1347" s="164"/>
      <c r="FL1347" s="2"/>
      <c r="FN1347" s="2"/>
    </row>
    <row r="1348" spans="153:170" x14ac:dyDescent="0.35">
      <c r="EW1348" s="48"/>
      <c r="FB1348" s="5"/>
      <c r="FI1348" s="5"/>
      <c r="FJ1348" s="164"/>
      <c r="FL1348" s="2"/>
      <c r="FN1348" s="2"/>
    </row>
    <row r="1349" spans="153:170" x14ac:dyDescent="0.35">
      <c r="EW1349" s="48"/>
      <c r="FB1349" s="5"/>
      <c r="FI1349" s="5"/>
      <c r="FJ1349" s="164"/>
      <c r="FL1349" s="2"/>
      <c r="FN1349" s="2"/>
    </row>
    <row r="1350" spans="153:170" x14ac:dyDescent="0.35">
      <c r="EW1350" s="48"/>
      <c r="FB1350" s="5"/>
      <c r="FI1350" s="5"/>
      <c r="FJ1350" s="164"/>
      <c r="FL1350" s="2"/>
      <c r="FN1350" s="2"/>
    </row>
    <row r="1351" spans="153:170" x14ac:dyDescent="0.35">
      <c r="EW1351" s="48"/>
      <c r="FB1351" s="5"/>
      <c r="FI1351" s="5"/>
      <c r="FJ1351" s="164"/>
      <c r="FL1351" s="2"/>
      <c r="FN1351" s="2"/>
    </row>
    <row r="1352" spans="153:170" x14ac:dyDescent="0.35">
      <c r="EW1352" s="48"/>
      <c r="FB1352" s="5"/>
      <c r="FI1352" s="5"/>
      <c r="FJ1352" s="164"/>
      <c r="FL1352" s="2"/>
      <c r="FN1352" s="2"/>
    </row>
    <row r="1353" spans="153:170" x14ac:dyDescent="0.35">
      <c r="EW1353" s="48"/>
      <c r="FB1353" s="5"/>
      <c r="FI1353" s="5"/>
      <c r="FJ1353" s="164"/>
      <c r="FL1353" s="2"/>
      <c r="FN1353" s="2"/>
    </row>
    <row r="1354" spans="153:170" x14ac:dyDescent="0.35">
      <c r="EW1354" s="48"/>
      <c r="FB1354" s="5"/>
      <c r="FI1354" s="5"/>
      <c r="FJ1354" s="164"/>
      <c r="FL1354" s="2"/>
      <c r="FN1354" s="2"/>
    </row>
    <row r="1355" spans="153:170" x14ac:dyDescent="0.35">
      <c r="EW1355" s="48"/>
      <c r="FB1355" s="5"/>
      <c r="FI1355" s="5"/>
      <c r="FJ1355" s="164"/>
      <c r="FL1355" s="2"/>
      <c r="FN1355" s="2"/>
    </row>
    <row r="1356" spans="153:170" x14ac:dyDescent="0.35">
      <c r="EW1356" s="48"/>
      <c r="FB1356" s="5"/>
      <c r="FI1356" s="5"/>
      <c r="FJ1356" s="164"/>
      <c r="FL1356" s="2"/>
      <c r="FN1356" s="2"/>
    </row>
    <row r="1357" spans="153:170" x14ac:dyDescent="0.35">
      <c r="EW1357" s="48"/>
      <c r="FB1357" s="5"/>
      <c r="FI1357" s="5"/>
      <c r="FJ1357" s="164"/>
      <c r="FL1357" s="2"/>
      <c r="FN1357" s="2"/>
    </row>
    <row r="1358" spans="153:170" x14ac:dyDescent="0.35">
      <c r="EW1358" s="48"/>
      <c r="FB1358" s="5"/>
      <c r="FI1358" s="5"/>
      <c r="FJ1358" s="164"/>
      <c r="FL1358" s="2"/>
      <c r="FN1358" s="2"/>
    </row>
    <row r="1359" spans="153:170" x14ac:dyDescent="0.35">
      <c r="EW1359" s="48"/>
      <c r="FB1359" s="5"/>
      <c r="FI1359" s="5"/>
      <c r="FJ1359" s="164"/>
      <c r="FL1359" s="2"/>
      <c r="FN1359" s="2"/>
    </row>
    <row r="1360" spans="153:170" x14ac:dyDescent="0.35">
      <c r="EW1360" s="48"/>
      <c r="FB1360" s="5"/>
      <c r="FI1360" s="5"/>
      <c r="FJ1360" s="164"/>
      <c r="FL1360" s="2"/>
      <c r="FN1360" s="2"/>
    </row>
    <row r="1361" spans="153:170" x14ac:dyDescent="0.35">
      <c r="EW1361" s="48"/>
      <c r="FB1361" s="5"/>
      <c r="FI1361" s="5"/>
      <c r="FJ1361" s="164"/>
      <c r="FL1361" s="2"/>
      <c r="FN1361" s="2"/>
    </row>
    <row r="1362" spans="153:170" x14ac:dyDescent="0.35">
      <c r="EW1362" s="48"/>
      <c r="FB1362" s="5"/>
      <c r="FI1362" s="5"/>
      <c r="FJ1362" s="164"/>
      <c r="FL1362" s="2"/>
      <c r="FN1362" s="2"/>
    </row>
    <row r="1363" spans="153:170" x14ac:dyDescent="0.35">
      <c r="EW1363" s="48"/>
      <c r="FB1363" s="5"/>
      <c r="FI1363" s="5"/>
      <c r="FJ1363" s="164"/>
      <c r="FL1363" s="2"/>
      <c r="FN1363" s="2"/>
    </row>
    <row r="1364" spans="153:170" x14ac:dyDescent="0.35">
      <c r="EW1364" s="48"/>
      <c r="FB1364" s="5"/>
      <c r="FI1364" s="5"/>
      <c r="FJ1364" s="164"/>
      <c r="FL1364" s="2"/>
      <c r="FN1364" s="2"/>
    </row>
    <row r="1365" spans="153:170" x14ac:dyDescent="0.35">
      <c r="EW1365" s="48"/>
      <c r="FB1365" s="5"/>
      <c r="FI1365" s="5"/>
      <c r="FJ1365" s="164"/>
      <c r="FL1365" s="2"/>
      <c r="FN1365" s="2"/>
    </row>
    <row r="1366" spans="153:170" x14ac:dyDescent="0.35">
      <c r="EW1366" s="48"/>
      <c r="FB1366" s="5"/>
      <c r="FI1366" s="5"/>
      <c r="FJ1366" s="164"/>
      <c r="FL1366" s="2"/>
      <c r="FN1366" s="2"/>
    </row>
    <row r="1367" spans="153:170" x14ac:dyDescent="0.35">
      <c r="EW1367" s="48"/>
      <c r="FB1367" s="5"/>
      <c r="FI1367" s="5"/>
      <c r="FJ1367" s="164"/>
      <c r="FL1367" s="2"/>
      <c r="FN1367" s="2"/>
    </row>
    <row r="1368" spans="153:170" x14ac:dyDescent="0.35">
      <c r="EW1368" s="48"/>
      <c r="FB1368" s="5"/>
      <c r="FI1368" s="5"/>
      <c r="FJ1368" s="164"/>
      <c r="FL1368" s="2"/>
      <c r="FN1368" s="2"/>
    </row>
    <row r="1369" spans="153:170" x14ac:dyDescent="0.35">
      <c r="EW1369" s="48"/>
      <c r="FB1369" s="5"/>
      <c r="FI1369" s="5"/>
      <c r="FJ1369" s="164"/>
      <c r="FL1369" s="2"/>
      <c r="FN1369" s="2"/>
    </row>
    <row r="1370" spans="153:170" x14ac:dyDescent="0.35">
      <c r="EW1370" s="48"/>
      <c r="FB1370" s="5"/>
      <c r="FI1370" s="5"/>
      <c r="FJ1370" s="164"/>
      <c r="FL1370" s="2"/>
      <c r="FN1370" s="2"/>
    </row>
    <row r="1371" spans="153:170" x14ac:dyDescent="0.35">
      <c r="EW1371" s="48"/>
      <c r="FB1371" s="5"/>
      <c r="FI1371" s="5"/>
      <c r="FJ1371" s="164"/>
      <c r="FL1371" s="2"/>
      <c r="FN1371" s="2"/>
    </row>
    <row r="1372" spans="153:170" x14ac:dyDescent="0.35">
      <c r="EW1372" s="48"/>
      <c r="FB1372" s="5"/>
      <c r="FI1372" s="5"/>
      <c r="FJ1372" s="164"/>
      <c r="FL1372" s="2"/>
      <c r="FN1372" s="2"/>
    </row>
    <row r="1373" spans="153:170" x14ac:dyDescent="0.35">
      <c r="EW1373" s="48"/>
      <c r="FB1373" s="5"/>
      <c r="FI1373" s="5"/>
      <c r="FJ1373" s="164"/>
      <c r="FL1373" s="2"/>
      <c r="FN1373" s="2"/>
    </row>
    <row r="1374" spans="153:170" x14ac:dyDescent="0.35">
      <c r="EW1374" s="48"/>
      <c r="FB1374" s="5"/>
      <c r="FI1374" s="5"/>
      <c r="FJ1374" s="164"/>
      <c r="FL1374" s="2"/>
      <c r="FN1374" s="2"/>
    </row>
    <row r="1375" spans="153:170" x14ac:dyDescent="0.35">
      <c r="EW1375" s="48"/>
      <c r="FB1375" s="5"/>
      <c r="FI1375" s="5"/>
      <c r="FJ1375" s="164"/>
      <c r="FL1375" s="2"/>
      <c r="FN1375" s="2"/>
    </row>
    <row r="1376" spans="153:170" x14ac:dyDescent="0.35">
      <c r="EW1376" s="48"/>
      <c r="FB1376" s="5"/>
      <c r="FI1376" s="5"/>
      <c r="FJ1376" s="164"/>
      <c r="FL1376" s="2"/>
      <c r="FN1376" s="2"/>
    </row>
    <row r="1377" spans="153:170" x14ac:dyDescent="0.35">
      <c r="EW1377" s="48"/>
      <c r="FB1377" s="5"/>
      <c r="FI1377" s="5"/>
      <c r="FJ1377" s="164"/>
      <c r="FL1377" s="2"/>
      <c r="FN1377" s="2"/>
    </row>
    <row r="1378" spans="153:170" x14ac:dyDescent="0.35">
      <c r="EW1378" s="48"/>
      <c r="FB1378" s="5"/>
      <c r="FI1378" s="5"/>
      <c r="FJ1378" s="164"/>
      <c r="FL1378" s="2"/>
      <c r="FN1378" s="2"/>
    </row>
    <row r="1379" spans="153:170" x14ac:dyDescent="0.35">
      <c r="EW1379" s="48"/>
      <c r="FB1379" s="5"/>
      <c r="FI1379" s="5"/>
      <c r="FJ1379" s="164"/>
      <c r="FL1379" s="2"/>
      <c r="FN1379" s="2"/>
    </row>
    <row r="1380" spans="153:170" x14ac:dyDescent="0.35">
      <c r="EW1380" s="48"/>
      <c r="FB1380" s="5"/>
      <c r="FI1380" s="5"/>
      <c r="FJ1380" s="164"/>
      <c r="FL1380" s="2"/>
      <c r="FN1380" s="2"/>
    </row>
    <row r="1381" spans="153:170" x14ac:dyDescent="0.35">
      <c r="EW1381" s="48"/>
      <c r="FB1381" s="5"/>
      <c r="FI1381" s="5"/>
      <c r="FJ1381" s="164"/>
      <c r="FL1381" s="2"/>
      <c r="FN1381" s="2"/>
    </row>
    <row r="1382" spans="153:170" x14ac:dyDescent="0.35">
      <c r="EW1382" s="48"/>
      <c r="FB1382" s="5"/>
      <c r="FI1382" s="5"/>
      <c r="FJ1382" s="164"/>
      <c r="FL1382" s="2"/>
      <c r="FN1382" s="2"/>
    </row>
    <row r="1383" spans="153:170" x14ac:dyDescent="0.35">
      <c r="EW1383" s="48"/>
      <c r="FB1383" s="5"/>
      <c r="FI1383" s="5"/>
      <c r="FJ1383" s="164"/>
      <c r="FL1383" s="2"/>
      <c r="FN1383" s="2"/>
    </row>
    <row r="1384" spans="153:170" x14ac:dyDescent="0.35">
      <c r="EW1384" s="48"/>
      <c r="FB1384" s="5"/>
      <c r="FI1384" s="5"/>
      <c r="FJ1384" s="164"/>
      <c r="FL1384" s="2"/>
      <c r="FN1384" s="2"/>
    </row>
    <row r="1385" spans="153:170" x14ac:dyDescent="0.35">
      <c r="EW1385" s="48"/>
      <c r="FB1385" s="5"/>
      <c r="FI1385" s="5"/>
      <c r="FJ1385" s="164"/>
      <c r="FL1385" s="2"/>
      <c r="FN1385" s="2"/>
    </row>
    <row r="1386" spans="153:170" x14ac:dyDescent="0.35">
      <c r="EW1386" s="48"/>
      <c r="FB1386" s="5"/>
      <c r="FI1386" s="5"/>
      <c r="FJ1386" s="164"/>
      <c r="FL1386" s="2"/>
      <c r="FN1386" s="2"/>
    </row>
    <row r="1387" spans="153:170" x14ac:dyDescent="0.35">
      <c r="EW1387" s="48"/>
      <c r="FB1387" s="5"/>
      <c r="FI1387" s="5"/>
      <c r="FJ1387" s="164"/>
      <c r="FL1387" s="2"/>
      <c r="FN1387" s="2"/>
    </row>
    <row r="1388" spans="153:170" x14ac:dyDescent="0.35">
      <c r="EW1388" s="48"/>
      <c r="FB1388" s="5"/>
      <c r="FI1388" s="5"/>
      <c r="FJ1388" s="164"/>
      <c r="FL1388" s="2"/>
      <c r="FN1388" s="2"/>
    </row>
    <row r="1389" spans="153:170" x14ac:dyDescent="0.35">
      <c r="EW1389" s="48"/>
      <c r="FB1389" s="5"/>
      <c r="FI1389" s="5"/>
      <c r="FJ1389" s="164"/>
      <c r="FL1389" s="2"/>
      <c r="FN1389" s="2"/>
    </row>
    <row r="1390" spans="153:170" x14ac:dyDescent="0.35">
      <c r="EW1390" s="48"/>
      <c r="FB1390" s="5"/>
      <c r="FI1390" s="5"/>
      <c r="FJ1390" s="164"/>
      <c r="FL1390" s="2"/>
      <c r="FN1390" s="2"/>
    </row>
    <row r="1391" spans="153:170" x14ac:dyDescent="0.35">
      <c r="EW1391" s="48"/>
      <c r="FB1391" s="5"/>
      <c r="FI1391" s="5"/>
      <c r="FJ1391" s="164"/>
      <c r="FL1391" s="2"/>
      <c r="FN1391" s="2"/>
    </row>
    <row r="1392" spans="153:170" x14ac:dyDescent="0.35">
      <c r="EW1392" s="48"/>
      <c r="FB1392" s="5"/>
      <c r="FI1392" s="5"/>
      <c r="FJ1392" s="164"/>
      <c r="FL1392" s="2"/>
      <c r="FN1392" s="2"/>
    </row>
    <row r="1393" spans="153:170" x14ac:dyDescent="0.35">
      <c r="EW1393" s="48"/>
      <c r="FB1393" s="5"/>
      <c r="FI1393" s="5"/>
      <c r="FJ1393" s="164"/>
      <c r="FL1393" s="2"/>
      <c r="FN1393" s="2"/>
    </row>
    <row r="1394" spans="153:170" x14ac:dyDescent="0.35">
      <c r="EW1394" s="48"/>
      <c r="FB1394" s="5"/>
      <c r="FI1394" s="5"/>
      <c r="FJ1394" s="164"/>
      <c r="FL1394" s="2"/>
      <c r="FN1394" s="2"/>
    </row>
    <row r="1395" spans="153:170" x14ac:dyDescent="0.35">
      <c r="EW1395" s="48"/>
      <c r="FB1395" s="5"/>
      <c r="FI1395" s="5"/>
      <c r="FJ1395" s="164"/>
      <c r="FL1395" s="2"/>
      <c r="FN1395" s="2"/>
    </row>
    <row r="1396" spans="153:170" x14ac:dyDescent="0.35">
      <c r="EW1396" s="48"/>
      <c r="FB1396" s="5"/>
      <c r="FI1396" s="5"/>
      <c r="FJ1396" s="164"/>
      <c r="FL1396" s="2"/>
      <c r="FN1396" s="2"/>
    </row>
    <row r="1397" spans="153:170" x14ac:dyDescent="0.35">
      <c r="EW1397" s="48"/>
      <c r="FB1397" s="5"/>
      <c r="FI1397" s="5"/>
      <c r="FJ1397" s="164"/>
      <c r="FL1397" s="2"/>
      <c r="FN1397" s="2"/>
    </row>
    <row r="1398" spans="153:170" x14ac:dyDescent="0.35">
      <c r="EW1398" s="48"/>
      <c r="FB1398" s="5"/>
      <c r="FI1398" s="5"/>
      <c r="FJ1398" s="164"/>
      <c r="FL1398" s="2"/>
      <c r="FN1398" s="2"/>
    </row>
    <row r="1399" spans="153:170" x14ac:dyDescent="0.35">
      <c r="EW1399" s="48"/>
      <c r="FB1399" s="5"/>
      <c r="FI1399" s="5"/>
      <c r="FJ1399" s="164"/>
      <c r="FL1399" s="2"/>
      <c r="FN1399" s="2"/>
    </row>
    <row r="1400" spans="153:170" x14ac:dyDescent="0.35">
      <c r="EW1400" s="48"/>
      <c r="FB1400" s="5"/>
      <c r="FI1400" s="5"/>
      <c r="FJ1400" s="164"/>
      <c r="FL1400" s="2"/>
      <c r="FN1400" s="2"/>
    </row>
    <row r="1401" spans="153:170" x14ac:dyDescent="0.35">
      <c r="EW1401" s="48"/>
      <c r="FB1401" s="5"/>
      <c r="FI1401" s="5"/>
      <c r="FJ1401" s="164"/>
      <c r="FL1401" s="2"/>
      <c r="FN1401" s="2"/>
    </row>
    <row r="1402" spans="153:170" x14ac:dyDescent="0.35">
      <c r="EW1402" s="48"/>
      <c r="FB1402" s="5"/>
      <c r="FI1402" s="5"/>
      <c r="FJ1402" s="164"/>
      <c r="FL1402" s="2"/>
      <c r="FN1402" s="2"/>
    </row>
    <row r="1403" spans="153:170" x14ac:dyDescent="0.35">
      <c r="EW1403" s="48"/>
      <c r="FB1403" s="5"/>
      <c r="FI1403" s="5"/>
      <c r="FJ1403" s="164"/>
      <c r="FL1403" s="2"/>
      <c r="FN1403" s="2"/>
    </row>
    <row r="1404" spans="153:170" x14ac:dyDescent="0.35">
      <c r="EW1404" s="48"/>
      <c r="FB1404" s="5"/>
      <c r="FI1404" s="5"/>
      <c r="FJ1404" s="164"/>
      <c r="FL1404" s="2"/>
      <c r="FN1404" s="2"/>
    </row>
    <row r="1405" spans="153:170" x14ac:dyDescent="0.35">
      <c r="EW1405" s="48"/>
      <c r="FB1405" s="5"/>
      <c r="FI1405" s="5"/>
      <c r="FJ1405" s="164"/>
      <c r="FL1405" s="2"/>
      <c r="FN1405" s="2"/>
    </row>
    <row r="1406" spans="153:170" x14ac:dyDescent="0.35">
      <c r="EW1406" s="48"/>
      <c r="FB1406" s="5"/>
      <c r="FI1406" s="5"/>
      <c r="FJ1406" s="164"/>
      <c r="FL1406" s="2"/>
      <c r="FN1406" s="2"/>
    </row>
    <row r="1407" spans="153:170" x14ac:dyDescent="0.35">
      <c r="EW1407" s="48"/>
      <c r="FB1407" s="5"/>
      <c r="FI1407" s="5"/>
      <c r="FJ1407" s="164"/>
      <c r="FL1407" s="2"/>
      <c r="FN1407" s="2"/>
    </row>
    <row r="1408" spans="153:170" x14ac:dyDescent="0.35">
      <c r="EW1408" s="48"/>
      <c r="FB1408" s="5"/>
      <c r="FI1408" s="5"/>
      <c r="FJ1408" s="164"/>
      <c r="FL1408" s="2"/>
      <c r="FN1408" s="2"/>
    </row>
    <row r="1409" spans="153:170" x14ac:dyDescent="0.35">
      <c r="EW1409" s="48"/>
      <c r="FB1409" s="5"/>
      <c r="FI1409" s="5"/>
      <c r="FJ1409" s="164"/>
      <c r="FL1409" s="2"/>
      <c r="FN1409" s="2"/>
    </row>
    <row r="1410" spans="153:170" x14ac:dyDescent="0.35">
      <c r="EW1410" s="48"/>
      <c r="FB1410" s="5"/>
      <c r="FI1410" s="5"/>
      <c r="FJ1410" s="164"/>
      <c r="FL1410" s="2"/>
      <c r="FN1410" s="2"/>
    </row>
    <row r="1411" spans="153:170" x14ac:dyDescent="0.35">
      <c r="EW1411" s="48"/>
      <c r="FB1411" s="5"/>
      <c r="FI1411" s="5"/>
      <c r="FJ1411" s="164"/>
      <c r="FL1411" s="2"/>
      <c r="FN1411" s="2"/>
    </row>
    <row r="1412" spans="153:170" x14ac:dyDescent="0.35">
      <c r="EW1412" s="48"/>
      <c r="FB1412" s="5"/>
      <c r="FI1412" s="5"/>
      <c r="FJ1412" s="164"/>
      <c r="FL1412" s="2"/>
      <c r="FN1412" s="2"/>
    </row>
    <row r="1413" spans="153:170" x14ac:dyDescent="0.35">
      <c r="EW1413" s="48"/>
      <c r="FB1413" s="5"/>
      <c r="FI1413" s="5"/>
      <c r="FJ1413" s="164"/>
      <c r="FL1413" s="2"/>
      <c r="FN1413" s="2"/>
    </row>
    <row r="1414" spans="153:170" x14ac:dyDescent="0.35">
      <c r="EW1414" s="48"/>
      <c r="FB1414" s="5"/>
      <c r="FI1414" s="5"/>
      <c r="FJ1414" s="164"/>
      <c r="FL1414" s="2"/>
      <c r="FN1414" s="2"/>
    </row>
    <row r="1415" spans="153:170" x14ac:dyDescent="0.35">
      <c r="EW1415" s="48"/>
      <c r="FB1415" s="5"/>
      <c r="FI1415" s="5"/>
      <c r="FJ1415" s="164"/>
      <c r="FL1415" s="2"/>
      <c r="FN1415" s="2"/>
    </row>
    <row r="1416" spans="153:170" x14ac:dyDescent="0.35">
      <c r="EW1416" s="48"/>
      <c r="FB1416" s="5"/>
      <c r="FI1416" s="5"/>
      <c r="FJ1416" s="164"/>
      <c r="FL1416" s="2"/>
      <c r="FN1416" s="2"/>
    </row>
    <row r="1417" spans="153:170" x14ac:dyDescent="0.35">
      <c r="EW1417" s="48"/>
      <c r="FB1417" s="5"/>
      <c r="FI1417" s="5"/>
      <c r="FJ1417" s="164"/>
      <c r="FL1417" s="2"/>
      <c r="FN1417" s="2"/>
    </row>
    <row r="1418" spans="153:170" x14ac:dyDescent="0.35">
      <c r="EW1418" s="48"/>
      <c r="FB1418" s="5"/>
      <c r="FI1418" s="5"/>
      <c r="FJ1418" s="164"/>
      <c r="FL1418" s="2"/>
      <c r="FN1418" s="2"/>
    </row>
    <row r="1419" spans="153:170" x14ac:dyDescent="0.35">
      <c r="EW1419" s="48"/>
      <c r="FB1419" s="5"/>
      <c r="FI1419" s="5"/>
      <c r="FJ1419" s="164"/>
      <c r="FL1419" s="2"/>
      <c r="FN1419" s="2"/>
    </row>
    <row r="1420" spans="153:170" x14ac:dyDescent="0.35">
      <c r="EW1420" s="48"/>
      <c r="FB1420" s="5"/>
      <c r="FI1420" s="5"/>
      <c r="FJ1420" s="164"/>
      <c r="FL1420" s="2"/>
      <c r="FN1420" s="2"/>
    </row>
    <row r="1421" spans="153:170" x14ac:dyDescent="0.35">
      <c r="EW1421" s="48"/>
      <c r="FB1421" s="5"/>
      <c r="FI1421" s="5"/>
      <c r="FJ1421" s="164"/>
      <c r="FL1421" s="2"/>
      <c r="FN1421" s="2"/>
    </row>
    <row r="1422" spans="153:170" x14ac:dyDescent="0.35">
      <c r="EW1422" s="48"/>
      <c r="FB1422" s="5"/>
      <c r="FI1422" s="5"/>
      <c r="FJ1422" s="164"/>
      <c r="FL1422" s="2"/>
      <c r="FN1422" s="2"/>
    </row>
    <row r="1423" spans="153:170" x14ac:dyDescent="0.35">
      <c r="EW1423" s="48"/>
      <c r="FB1423" s="5"/>
      <c r="FI1423" s="5"/>
      <c r="FJ1423" s="164"/>
      <c r="FL1423" s="2"/>
      <c r="FN1423" s="2"/>
    </row>
    <row r="1424" spans="153:170" x14ac:dyDescent="0.35">
      <c r="EW1424" s="48"/>
      <c r="FB1424" s="5"/>
      <c r="FI1424" s="5"/>
      <c r="FJ1424" s="164"/>
      <c r="FL1424" s="2"/>
      <c r="FN1424" s="2"/>
    </row>
    <row r="1425" spans="153:170" x14ac:dyDescent="0.35">
      <c r="EW1425" s="48"/>
      <c r="FB1425" s="5"/>
      <c r="FI1425" s="5"/>
      <c r="FJ1425" s="164"/>
      <c r="FL1425" s="2"/>
      <c r="FN1425" s="2"/>
    </row>
    <row r="1426" spans="153:170" x14ac:dyDescent="0.35">
      <c r="EW1426" s="48"/>
      <c r="FB1426" s="5"/>
      <c r="FI1426" s="5"/>
      <c r="FJ1426" s="164"/>
      <c r="FL1426" s="2"/>
      <c r="FN1426" s="2"/>
    </row>
    <row r="1427" spans="153:170" x14ac:dyDescent="0.35">
      <c r="EW1427" s="48"/>
      <c r="FB1427" s="5"/>
      <c r="FI1427" s="5"/>
      <c r="FJ1427" s="164"/>
      <c r="FL1427" s="2"/>
      <c r="FN1427" s="2"/>
    </row>
    <row r="1428" spans="153:170" x14ac:dyDescent="0.35">
      <c r="EW1428" s="48"/>
      <c r="FB1428" s="5"/>
      <c r="FI1428" s="5"/>
      <c r="FJ1428" s="164"/>
      <c r="FL1428" s="2"/>
      <c r="FN1428" s="2"/>
    </row>
    <row r="1429" spans="153:170" x14ac:dyDescent="0.35">
      <c r="EW1429" s="48"/>
      <c r="FB1429" s="5"/>
      <c r="FI1429" s="5"/>
      <c r="FJ1429" s="164"/>
      <c r="FL1429" s="2"/>
      <c r="FN1429" s="2"/>
    </row>
    <row r="1430" spans="153:170" x14ac:dyDescent="0.35">
      <c r="EW1430" s="48"/>
      <c r="FB1430" s="5"/>
      <c r="FI1430" s="5"/>
      <c r="FJ1430" s="164"/>
      <c r="FL1430" s="2"/>
      <c r="FN1430" s="2"/>
    </row>
    <row r="1431" spans="153:170" x14ac:dyDescent="0.35">
      <c r="EW1431" s="48"/>
      <c r="FB1431" s="5"/>
      <c r="FI1431" s="5"/>
      <c r="FJ1431" s="164"/>
      <c r="FL1431" s="2"/>
      <c r="FN1431" s="2"/>
    </row>
    <row r="1432" spans="153:170" x14ac:dyDescent="0.35">
      <c r="EW1432" s="48"/>
      <c r="FB1432" s="5"/>
      <c r="FI1432" s="5"/>
      <c r="FJ1432" s="164"/>
      <c r="FL1432" s="2"/>
      <c r="FN1432" s="2"/>
    </row>
    <row r="1433" spans="153:170" x14ac:dyDescent="0.35">
      <c r="EW1433" s="48"/>
      <c r="FB1433" s="5"/>
      <c r="FI1433" s="5"/>
      <c r="FJ1433" s="164"/>
      <c r="FL1433" s="2"/>
      <c r="FN1433" s="2"/>
    </row>
    <row r="1434" spans="153:170" x14ac:dyDescent="0.35">
      <c r="EW1434" s="48"/>
      <c r="FB1434" s="5"/>
      <c r="FI1434" s="5"/>
      <c r="FJ1434" s="164"/>
      <c r="FL1434" s="2"/>
      <c r="FN1434" s="2"/>
    </row>
    <row r="1435" spans="153:170" x14ac:dyDescent="0.35">
      <c r="EW1435" s="48"/>
      <c r="FB1435" s="5"/>
      <c r="FI1435" s="5"/>
      <c r="FJ1435" s="164"/>
      <c r="FL1435" s="2"/>
      <c r="FN1435" s="2"/>
    </row>
    <row r="1436" spans="153:170" x14ac:dyDescent="0.35">
      <c r="EW1436" s="48"/>
      <c r="FB1436" s="5"/>
      <c r="FI1436" s="5"/>
      <c r="FJ1436" s="164"/>
      <c r="FL1436" s="2"/>
      <c r="FN1436" s="2"/>
    </row>
    <row r="1437" spans="153:170" x14ac:dyDescent="0.35">
      <c r="EW1437" s="48"/>
      <c r="FB1437" s="5"/>
      <c r="FI1437" s="5"/>
      <c r="FJ1437" s="164"/>
      <c r="FL1437" s="2"/>
      <c r="FN1437" s="2"/>
    </row>
    <row r="1438" spans="153:170" x14ac:dyDescent="0.35">
      <c r="EW1438" s="48"/>
      <c r="FB1438" s="5"/>
      <c r="FI1438" s="5"/>
      <c r="FJ1438" s="164"/>
      <c r="FL1438" s="2"/>
      <c r="FN1438" s="2"/>
    </row>
    <row r="1439" spans="153:170" x14ac:dyDescent="0.35">
      <c r="EW1439" s="48"/>
      <c r="FB1439" s="5"/>
      <c r="FI1439" s="5"/>
      <c r="FJ1439" s="164"/>
      <c r="FL1439" s="2"/>
      <c r="FN1439" s="2"/>
    </row>
    <row r="1440" spans="153:170" x14ac:dyDescent="0.35">
      <c r="EW1440" s="48"/>
      <c r="FB1440" s="5"/>
      <c r="FI1440" s="5"/>
      <c r="FJ1440" s="164"/>
      <c r="FL1440" s="2"/>
      <c r="FN1440" s="2"/>
    </row>
    <row r="1441" spans="153:170" x14ac:dyDescent="0.35">
      <c r="EW1441" s="48"/>
      <c r="FB1441" s="5"/>
      <c r="FI1441" s="5"/>
      <c r="FJ1441" s="164"/>
      <c r="FL1441" s="2"/>
      <c r="FN1441" s="2"/>
    </row>
    <row r="1442" spans="153:170" x14ac:dyDescent="0.35">
      <c r="EW1442" s="48"/>
      <c r="FB1442" s="5"/>
      <c r="FI1442" s="5"/>
      <c r="FJ1442" s="164"/>
      <c r="FL1442" s="2"/>
      <c r="FN1442" s="2"/>
    </row>
    <row r="1443" spans="153:170" x14ac:dyDescent="0.35">
      <c r="EW1443" s="48"/>
      <c r="FB1443" s="5"/>
      <c r="FI1443" s="5"/>
      <c r="FJ1443" s="164"/>
      <c r="FL1443" s="2"/>
      <c r="FN1443" s="2"/>
    </row>
    <row r="1444" spans="153:170" x14ac:dyDescent="0.35">
      <c r="EW1444" s="48"/>
      <c r="FB1444" s="5"/>
      <c r="FI1444" s="5"/>
      <c r="FJ1444" s="164"/>
      <c r="FL1444" s="2"/>
      <c r="FN1444" s="2"/>
    </row>
    <row r="1445" spans="153:170" x14ac:dyDescent="0.35">
      <c r="EW1445" s="48"/>
      <c r="FB1445" s="5"/>
      <c r="FI1445" s="5"/>
      <c r="FJ1445" s="164"/>
      <c r="FL1445" s="2"/>
      <c r="FN1445" s="2"/>
    </row>
    <row r="1446" spans="153:170" x14ac:dyDescent="0.35">
      <c r="EW1446" s="48"/>
      <c r="FB1446" s="5"/>
      <c r="FI1446" s="5"/>
      <c r="FJ1446" s="164"/>
      <c r="FL1446" s="2"/>
      <c r="FN1446" s="2"/>
    </row>
    <row r="1447" spans="153:170" x14ac:dyDescent="0.35">
      <c r="EW1447" s="48"/>
      <c r="FB1447" s="5"/>
      <c r="FI1447" s="5"/>
      <c r="FJ1447" s="164"/>
      <c r="FL1447" s="2"/>
      <c r="FN1447" s="2"/>
    </row>
    <row r="1448" spans="153:170" x14ac:dyDescent="0.35">
      <c r="EW1448" s="48"/>
      <c r="FB1448" s="5"/>
      <c r="FI1448" s="5"/>
      <c r="FJ1448" s="164"/>
      <c r="FL1448" s="2"/>
      <c r="FN1448" s="2"/>
    </row>
    <row r="1449" spans="153:170" x14ac:dyDescent="0.35">
      <c r="EW1449" s="48"/>
      <c r="FB1449" s="5"/>
      <c r="FI1449" s="5"/>
      <c r="FJ1449" s="164"/>
      <c r="FL1449" s="2"/>
      <c r="FN1449" s="2"/>
    </row>
    <row r="1450" spans="153:170" x14ac:dyDescent="0.35">
      <c r="EW1450" s="48"/>
      <c r="FB1450" s="5"/>
      <c r="FI1450" s="5"/>
      <c r="FJ1450" s="164"/>
      <c r="FL1450" s="2"/>
      <c r="FN1450" s="2"/>
    </row>
    <row r="1451" spans="153:170" x14ac:dyDescent="0.35">
      <c r="EW1451" s="48"/>
      <c r="FB1451" s="5"/>
      <c r="FI1451" s="5"/>
      <c r="FJ1451" s="164"/>
      <c r="FL1451" s="2"/>
      <c r="FN1451" s="2"/>
    </row>
    <row r="1452" spans="153:170" x14ac:dyDescent="0.35">
      <c r="EW1452" s="48"/>
      <c r="FB1452" s="5"/>
      <c r="FI1452" s="5"/>
      <c r="FJ1452" s="164"/>
      <c r="FL1452" s="2"/>
      <c r="FN1452" s="2"/>
    </row>
    <row r="1453" spans="153:170" x14ac:dyDescent="0.35">
      <c r="EW1453" s="48"/>
      <c r="FB1453" s="5"/>
      <c r="FI1453" s="5"/>
      <c r="FJ1453" s="164"/>
      <c r="FL1453" s="2"/>
      <c r="FN1453" s="2"/>
    </row>
    <row r="1454" spans="153:170" x14ac:dyDescent="0.35">
      <c r="EW1454" s="48"/>
      <c r="FB1454" s="5"/>
      <c r="FI1454" s="5"/>
      <c r="FJ1454" s="164"/>
      <c r="FL1454" s="2"/>
      <c r="FN1454" s="2"/>
    </row>
    <row r="1455" spans="153:170" x14ac:dyDescent="0.35">
      <c r="EW1455" s="48"/>
      <c r="FB1455" s="5"/>
      <c r="FI1455" s="5"/>
      <c r="FJ1455" s="164"/>
      <c r="FL1455" s="2"/>
      <c r="FN1455" s="2"/>
    </row>
    <row r="1456" spans="153:170" x14ac:dyDescent="0.35">
      <c r="EW1456" s="48"/>
      <c r="FB1456" s="5"/>
      <c r="FI1456" s="5"/>
      <c r="FJ1456" s="164"/>
      <c r="FL1456" s="2"/>
      <c r="FN1456" s="2"/>
    </row>
    <row r="1457" spans="153:170" x14ac:dyDescent="0.35">
      <c r="EW1457" s="48"/>
      <c r="FB1457" s="5"/>
      <c r="FI1457" s="5"/>
      <c r="FJ1457" s="164"/>
      <c r="FL1457" s="2"/>
      <c r="FN1457" s="2"/>
    </row>
    <row r="1458" spans="153:170" x14ac:dyDescent="0.35">
      <c r="EW1458" s="48"/>
      <c r="FB1458" s="5"/>
      <c r="FI1458" s="5"/>
      <c r="FJ1458" s="164"/>
      <c r="FL1458" s="2"/>
      <c r="FN1458" s="2"/>
    </row>
    <row r="1459" spans="153:170" x14ac:dyDescent="0.35">
      <c r="EW1459" s="48"/>
      <c r="FB1459" s="5"/>
      <c r="FI1459" s="5"/>
      <c r="FJ1459" s="164"/>
      <c r="FL1459" s="2"/>
      <c r="FN1459" s="2"/>
    </row>
    <row r="1460" spans="153:170" x14ac:dyDescent="0.35">
      <c r="EW1460" s="48"/>
      <c r="FB1460" s="5"/>
      <c r="FI1460" s="5"/>
      <c r="FJ1460" s="164"/>
      <c r="FL1460" s="2"/>
      <c r="FN1460" s="2"/>
    </row>
    <row r="1461" spans="153:170" x14ac:dyDescent="0.35">
      <c r="EW1461" s="48"/>
      <c r="FB1461" s="5"/>
      <c r="FI1461" s="5"/>
      <c r="FJ1461" s="164"/>
      <c r="FL1461" s="2"/>
      <c r="FN1461" s="2"/>
    </row>
    <row r="1462" spans="153:170" x14ac:dyDescent="0.35">
      <c r="EW1462" s="48"/>
      <c r="FB1462" s="5"/>
      <c r="FI1462" s="5"/>
      <c r="FJ1462" s="164"/>
      <c r="FL1462" s="2"/>
      <c r="FN1462" s="2"/>
    </row>
    <row r="1463" spans="153:170" x14ac:dyDescent="0.35">
      <c r="EW1463" s="48"/>
      <c r="FB1463" s="5"/>
      <c r="FI1463" s="5"/>
      <c r="FJ1463" s="164"/>
      <c r="FL1463" s="2"/>
      <c r="FN1463" s="2"/>
    </row>
    <row r="1464" spans="153:170" x14ac:dyDescent="0.35">
      <c r="EW1464" s="48"/>
      <c r="FB1464" s="5"/>
      <c r="FI1464" s="5"/>
      <c r="FJ1464" s="164"/>
      <c r="FL1464" s="2"/>
      <c r="FN1464" s="2"/>
    </row>
    <row r="1465" spans="153:170" x14ac:dyDescent="0.35">
      <c r="EW1465" s="48"/>
      <c r="FB1465" s="5"/>
      <c r="FI1465" s="5"/>
      <c r="FJ1465" s="164"/>
      <c r="FL1465" s="2"/>
      <c r="FN1465" s="2"/>
    </row>
    <row r="1466" spans="153:170" x14ac:dyDescent="0.35">
      <c r="EW1466" s="48"/>
      <c r="FB1466" s="5"/>
      <c r="FI1466" s="5"/>
      <c r="FJ1466" s="164"/>
      <c r="FL1466" s="2"/>
      <c r="FN1466" s="2"/>
    </row>
    <row r="1467" spans="153:170" x14ac:dyDescent="0.35">
      <c r="EW1467" s="48"/>
      <c r="FB1467" s="5"/>
      <c r="FI1467" s="5"/>
      <c r="FJ1467" s="164"/>
      <c r="FL1467" s="2"/>
      <c r="FN1467" s="2"/>
    </row>
    <row r="1468" spans="153:170" x14ac:dyDescent="0.35">
      <c r="EW1468" s="48"/>
      <c r="FB1468" s="5"/>
      <c r="FI1468" s="5"/>
      <c r="FJ1468" s="164"/>
      <c r="FL1468" s="2"/>
      <c r="FN1468" s="2"/>
    </row>
    <row r="1469" spans="153:170" x14ac:dyDescent="0.35">
      <c r="EW1469" s="48"/>
      <c r="FB1469" s="5"/>
      <c r="FI1469" s="5"/>
      <c r="FJ1469" s="164"/>
      <c r="FL1469" s="2"/>
      <c r="FN1469" s="2"/>
    </row>
    <row r="1470" spans="153:170" x14ac:dyDescent="0.35">
      <c r="EW1470" s="48"/>
      <c r="FB1470" s="5"/>
      <c r="FI1470" s="5"/>
      <c r="FJ1470" s="164"/>
      <c r="FL1470" s="2"/>
      <c r="FN1470" s="2"/>
    </row>
    <row r="1471" spans="153:170" x14ac:dyDescent="0.35">
      <c r="EW1471" s="48"/>
      <c r="FB1471" s="5"/>
      <c r="FI1471" s="5"/>
      <c r="FJ1471" s="164"/>
      <c r="FL1471" s="2"/>
      <c r="FN1471" s="2"/>
    </row>
    <row r="1472" spans="153:170" x14ac:dyDescent="0.35">
      <c r="EW1472" s="48"/>
      <c r="FB1472" s="5"/>
      <c r="FI1472" s="5"/>
      <c r="FJ1472" s="164"/>
      <c r="FL1472" s="2"/>
      <c r="FN1472" s="2"/>
    </row>
    <row r="1473" spans="153:170" x14ac:dyDescent="0.35">
      <c r="EW1473" s="48"/>
      <c r="FB1473" s="5"/>
      <c r="FI1473" s="5"/>
      <c r="FJ1473" s="164"/>
      <c r="FL1473" s="2"/>
      <c r="FN1473" s="2"/>
    </row>
    <row r="1474" spans="153:170" x14ac:dyDescent="0.35">
      <c r="EW1474" s="48"/>
      <c r="FB1474" s="5"/>
      <c r="FI1474" s="5"/>
      <c r="FJ1474" s="164"/>
      <c r="FL1474" s="2"/>
      <c r="FN1474" s="2"/>
    </row>
    <row r="1475" spans="153:170" x14ac:dyDescent="0.35">
      <c r="EW1475" s="48"/>
      <c r="FB1475" s="5"/>
      <c r="FI1475" s="5"/>
      <c r="FJ1475" s="164"/>
      <c r="FL1475" s="2"/>
      <c r="FN1475" s="2"/>
    </row>
    <row r="1476" spans="153:170" x14ac:dyDescent="0.35">
      <c r="EW1476" s="48"/>
      <c r="FB1476" s="5"/>
      <c r="FI1476" s="5"/>
      <c r="FJ1476" s="164"/>
      <c r="FL1476" s="2"/>
      <c r="FN1476" s="2"/>
    </row>
    <row r="1477" spans="153:170" x14ac:dyDescent="0.35">
      <c r="EW1477" s="48"/>
      <c r="FB1477" s="5"/>
      <c r="FI1477" s="5"/>
      <c r="FJ1477" s="164"/>
      <c r="FL1477" s="2"/>
      <c r="FN1477" s="2"/>
    </row>
    <row r="1478" spans="153:170" x14ac:dyDescent="0.35">
      <c r="EW1478" s="48"/>
      <c r="FB1478" s="5"/>
      <c r="FI1478" s="5"/>
      <c r="FJ1478" s="164"/>
      <c r="FL1478" s="2"/>
      <c r="FN1478" s="2"/>
    </row>
    <row r="1479" spans="153:170" x14ac:dyDescent="0.35">
      <c r="EW1479" s="48"/>
      <c r="FB1479" s="5"/>
      <c r="FI1479" s="5"/>
      <c r="FJ1479" s="164"/>
      <c r="FL1479" s="2"/>
      <c r="FN1479" s="2"/>
    </row>
    <row r="1480" spans="153:170" x14ac:dyDescent="0.35">
      <c r="EW1480" s="48"/>
      <c r="FB1480" s="5"/>
      <c r="FI1480" s="5"/>
      <c r="FJ1480" s="164"/>
      <c r="FL1480" s="2"/>
      <c r="FN1480" s="2"/>
    </row>
    <row r="1481" spans="153:170" x14ac:dyDescent="0.35">
      <c r="EW1481" s="48"/>
      <c r="FB1481" s="5"/>
      <c r="FI1481" s="5"/>
      <c r="FJ1481" s="164"/>
      <c r="FL1481" s="2"/>
      <c r="FN1481" s="2"/>
    </row>
    <row r="1482" spans="153:170" x14ac:dyDescent="0.35">
      <c r="EW1482" s="48"/>
      <c r="FB1482" s="5"/>
      <c r="FI1482" s="5"/>
      <c r="FJ1482" s="164"/>
      <c r="FL1482" s="2"/>
      <c r="FN1482" s="2"/>
    </row>
    <row r="1483" spans="153:170" x14ac:dyDescent="0.35">
      <c r="EW1483" s="48"/>
      <c r="FB1483" s="5"/>
      <c r="FI1483" s="5"/>
      <c r="FJ1483" s="164"/>
      <c r="FL1483" s="2"/>
      <c r="FN1483" s="2"/>
    </row>
    <row r="1484" spans="153:170" x14ac:dyDescent="0.35">
      <c r="EW1484" s="48"/>
      <c r="FB1484" s="5"/>
      <c r="FI1484" s="5"/>
      <c r="FJ1484" s="164"/>
      <c r="FL1484" s="2"/>
      <c r="FN1484" s="2"/>
    </row>
    <row r="1485" spans="153:170" x14ac:dyDescent="0.35">
      <c r="EW1485" s="48"/>
      <c r="FB1485" s="5"/>
      <c r="FI1485" s="5"/>
      <c r="FJ1485" s="164"/>
      <c r="FL1485" s="2"/>
      <c r="FN1485" s="2"/>
    </row>
    <row r="1486" spans="153:170" x14ac:dyDescent="0.35">
      <c r="EW1486" s="48"/>
      <c r="FB1486" s="5"/>
      <c r="FI1486" s="5"/>
      <c r="FJ1486" s="164"/>
      <c r="FL1486" s="2"/>
      <c r="FN1486" s="2"/>
    </row>
    <row r="1487" spans="153:170" x14ac:dyDescent="0.35">
      <c r="EW1487" s="48"/>
      <c r="FB1487" s="5"/>
      <c r="FI1487" s="5"/>
      <c r="FJ1487" s="164"/>
      <c r="FL1487" s="2"/>
      <c r="FN1487" s="2"/>
    </row>
    <row r="1488" spans="153:170" x14ac:dyDescent="0.35">
      <c r="EW1488" s="48"/>
      <c r="FB1488" s="5"/>
      <c r="FI1488" s="5"/>
      <c r="FJ1488" s="164"/>
      <c r="FL1488" s="2"/>
      <c r="FN1488" s="2"/>
    </row>
    <row r="1489" spans="153:170" x14ac:dyDescent="0.35">
      <c r="EW1489" s="48"/>
      <c r="FB1489" s="5"/>
      <c r="FI1489" s="5"/>
      <c r="FJ1489" s="164"/>
      <c r="FL1489" s="2"/>
      <c r="FN1489" s="2"/>
    </row>
    <row r="1490" spans="153:170" x14ac:dyDescent="0.35">
      <c r="EW1490" s="48"/>
      <c r="FB1490" s="5"/>
      <c r="FI1490" s="5"/>
      <c r="FJ1490" s="164"/>
      <c r="FL1490" s="2"/>
      <c r="FN1490" s="2"/>
    </row>
    <row r="1491" spans="153:170" x14ac:dyDescent="0.35">
      <c r="EW1491" s="48"/>
      <c r="FB1491" s="5"/>
      <c r="FI1491" s="5"/>
      <c r="FJ1491" s="164"/>
      <c r="FL1491" s="2"/>
      <c r="FN1491" s="2"/>
    </row>
    <row r="1492" spans="153:170" x14ac:dyDescent="0.35">
      <c r="EW1492" s="48"/>
      <c r="FB1492" s="5"/>
      <c r="FI1492" s="5"/>
      <c r="FJ1492" s="164"/>
      <c r="FL1492" s="2"/>
      <c r="FN1492" s="2"/>
    </row>
    <row r="1493" spans="153:170" x14ac:dyDescent="0.35">
      <c r="EW1493" s="48"/>
      <c r="FB1493" s="5"/>
      <c r="FI1493" s="5"/>
      <c r="FJ1493" s="164"/>
      <c r="FL1493" s="2"/>
      <c r="FN1493" s="2"/>
    </row>
    <row r="1494" spans="153:170" x14ac:dyDescent="0.35">
      <c r="EW1494" s="48"/>
      <c r="FB1494" s="5"/>
      <c r="FI1494" s="5"/>
      <c r="FJ1494" s="164"/>
      <c r="FL1494" s="2"/>
      <c r="FN1494" s="2"/>
    </row>
    <row r="1495" spans="153:170" x14ac:dyDescent="0.35">
      <c r="EW1495" s="48"/>
      <c r="FB1495" s="5"/>
      <c r="FI1495" s="5"/>
      <c r="FJ1495" s="164"/>
      <c r="FL1495" s="2"/>
      <c r="FN1495" s="2"/>
    </row>
    <row r="1496" spans="153:170" x14ac:dyDescent="0.35">
      <c r="EW1496" s="48"/>
      <c r="FB1496" s="5"/>
      <c r="FI1496" s="5"/>
      <c r="FJ1496" s="164"/>
      <c r="FL1496" s="2"/>
      <c r="FN1496" s="2"/>
    </row>
    <row r="1497" spans="153:170" x14ac:dyDescent="0.35">
      <c r="EW1497" s="48"/>
      <c r="FB1497" s="5"/>
      <c r="FI1497" s="5"/>
      <c r="FJ1497" s="164"/>
      <c r="FL1497" s="2"/>
      <c r="FN1497" s="2"/>
    </row>
    <row r="1498" spans="153:170" x14ac:dyDescent="0.35">
      <c r="EW1498" s="48"/>
      <c r="FB1498" s="5"/>
      <c r="FI1498" s="5"/>
      <c r="FJ1498" s="164"/>
      <c r="FL1498" s="2"/>
      <c r="FN1498" s="2"/>
    </row>
    <row r="1499" spans="153:170" x14ac:dyDescent="0.35">
      <c r="EW1499" s="48"/>
      <c r="FB1499" s="5"/>
      <c r="FI1499" s="5"/>
      <c r="FJ1499" s="164"/>
      <c r="FL1499" s="2"/>
      <c r="FN1499" s="2"/>
    </row>
    <row r="1500" spans="153:170" x14ac:dyDescent="0.35">
      <c r="EW1500" s="48"/>
      <c r="FB1500" s="5"/>
      <c r="FI1500" s="5"/>
      <c r="FJ1500" s="164"/>
      <c r="FL1500" s="2"/>
      <c r="FN1500" s="2"/>
    </row>
    <row r="1501" spans="153:170" x14ac:dyDescent="0.35">
      <c r="EW1501" s="48"/>
      <c r="FB1501" s="5"/>
      <c r="FI1501" s="5"/>
      <c r="FJ1501" s="164"/>
      <c r="FL1501" s="2"/>
      <c r="FN1501" s="2"/>
    </row>
    <row r="1502" spans="153:170" x14ac:dyDescent="0.35">
      <c r="EW1502" s="48"/>
      <c r="FB1502" s="5"/>
      <c r="FI1502" s="5"/>
      <c r="FJ1502" s="164"/>
      <c r="FL1502" s="2"/>
      <c r="FN1502" s="2"/>
    </row>
    <row r="1503" spans="153:170" x14ac:dyDescent="0.35">
      <c r="EW1503" s="48"/>
      <c r="FB1503" s="5"/>
      <c r="FI1503" s="5"/>
      <c r="FJ1503" s="164"/>
      <c r="FL1503" s="2"/>
      <c r="FN1503" s="2"/>
    </row>
    <row r="1504" spans="153:170" x14ac:dyDescent="0.35">
      <c r="EW1504" s="48"/>
      <c r="FB1504" s="5"/>
      <c r="FI1504" s="5"/>
      <c r="FJ1504" s="164"/>
      <c r="FL1504" s="2"/>
      <c r="FN1504" s="2"/>
    </row>
    <row r="1505" spans="153:170" x14ac:dyDescent="0.35">
      <c r="EW1505" s="48"/>
      <c r="FB1505" s="5"/>
      <c r="FI1505" s="5"/>
      <c r="FJ1505" s="164"/>
      <c r="FL1505" s="2"/>
      <c r="FN1505" s="2"/>
    </row>
    <row r="1506" spans="153:170" x14ac:dyDescent="0.35">
      <c r="EW1506" s="48"/>
      <c r="FB1506" s="5"/>
      <c r="FI1506" s="5"/>
      <c r="FJ1506" s="164"/>
      <c r="FL1506" s="2"/>
      <c r="FN1506" s="2"/>
    </row>
    <row r="1507" spans="153:170" x14ac:dyDescent="0.35">
      <c r="EW1507" s="48"/>
      <c r="FB1507" s="5"/>
      <c r="FI1507" s="5"/>
      <c r="FJ1507" s="164"/>
      <c r="FL1507" s="2"/>
      <c r="FN1507" s="2"/>
    </row>
    <row r="1508" spans="153:170" x14ac:dyDescent="0.35">
      <c r="EW1508" s="48"/>
      <c r="FB1508" s="5"/>
      <c r="FI1508" s="5"/>
      <c r="FJ1508" s="164"/>
      <c r="FL1508" s="2"/>
      <c r="FN1508" s="2"/>
    </row>
    <row r="1509" spans="153:170" x14ac:dyDescent="0.35">
      <c r="EW1509" s="48"/>
      <c r="FB1509" s="5"/>
      <c r="FI1509" s="5"/>
      <c r="FJ1509" s="164"/>
      <c r="FL1509" s="2"/>
      <c r="FN1509" s="2"/>
    </row>
    <row r="1510" spans="153:170" x14ac:dyDescent="0.35">
      <c r="EW1510" s="48"/>
      <c r="FB1510" s="5"/>
      <c r="FI1510" s="5"/>
      <c r="FJ1510" s="164"/>
      <c r="FL1510" s="2"/>
      <c r="FN1510" s="2"/>
    </row>
    <row r="1511" spans="153:170" x14ac:dyDescent="0.35">
      <c r="EW1511" s="48"/>
      <c r="FB1511" s="5"/>
      <c r="FI1511" s="5"/>
      <c r="FJ1511" s="164"/>
      <c r="FL1511" s="2"/>
      <c r="FN1511" s="2"/>
    </row>
    <row r="1512" spans="153:170" x14ac:dyDescent="0.35">
      <c r="EW1512" s="48"/>
      <c r="FB1512" s="5"/>
      <c r="FI1512" s="5"/>
      <c r="FJ1512" s="164"/>
      <c r="FL1512" s="2"/>
      <c r="FN1512" s="2"/>
    </row>
    <row r="1513" spans="153:170" x14ac:dyDescent="0.35">
      <c r="EW1513" s="48"/>
      <c r="FB1513" s="5"/>
      <c r="FI1513" s="5"/>
      <c r="FJ1513" s="164"/>
      <c r="FL1513" s="2"/>
      <c r="FN1513" s="2"/>
    </row>
    <row r="1514" spans="153:170" x14ac:dyDescent="0.35">
      <c r="EW1514" s="48"/>
      <c r="FB1514" s="5"/>
      <c r="FI1514" s="5"/>
      <c r="FJ1514" s="164"/>
      <c r="FL1514" s="2"/>
      <c r="FN1514" s="2"/>
    </row>
    <row r="1515" spans="153:170" x14ac:dyDescent="0.35">
      <c r="EW1515" s="48"/>
      <c r="FB1515" s="5"/>
      <c r="FI1515" s="5"/>
      <c r="FJ1515" s="164"/>
      <c r="FL1515" s="2"/>
      <c r="FN1515" s="2"/>
    </row>
    <row r="1516" spans="153:170" x14ac:dyDescent="0.35">
      <c r="EW1516" s="48"/>
      <c r="FB1516" s="5"/>
      <c r="FI1516" s="5"/>
      <c r="FJ1516" s="164"/>
      <c r="FL1516" s="2"/>
      <c r="FN1516" s="2"/>
    </row>
    <row r="1517" spans="153:170" x14ac:dyDescent="0.35">
      <c r="EW1517" s="48"/>
      <c r="FB1517" s="5"/>
      <c r="FI1517" s="5"/>
      <c r="FJ1517" s="164"/>
      <c r="FL1517" s="2"/>
      <c r="FN1517" s="2"/>
    </row>
    <row r="1518" spans="153:170" x14ac:dyDescent="0.35">
      <c r="EW1518" s="48"/>
      <c r="FB1518" s="5"/>
      <c r="FI1518" s="5"/>
      <c r="FJ1518" s="164"/>
      <c r="FL1518" s="2"/>
      <c r="FN1518" s="2"/>
    </row>
    <row r="1519" spans="153:170" x14ac:dyDescent="0.35">
      <c r="EW1519" s="48"/>
      <c r="FB1519" s="5"/>
      <c r="FI1519" s="5"/>
      <c r="FJ1519" s="164"/>
      <c r="FL1519" s="2"/>
      <c r="FN1519" s="2"/>
    </row>
    <row r="1520" spans="153:170" x14ac:dyDescent="0.35">
      <c r="EW1520" s="48"/>
      <c r="FB1520" s="5"/>
      <c r="FI1520" s="5"/>
      <c r="FJ1520" s="164"/>
      <c r="FL1520" s="2"/>
      <c r="FN1520" s="2"/>
    </row>
    <row r="1521" spans="153:170" x14ac:dyDescent="0.35">
      <c r="EW1521" s="48"/>
      <c r="FB1521" s="5"/>
      <c r="FI1521" s="5"/>
      <c r="FJ1521" s="164"/>
      <c r="FL1521" s="2"/>
      <c r="FN1521" s="2"/>
    </row>
    <row r="1522" spans="153:170" x14ac:dyDescent="0.35">
      <c r="EW1522" s="48"/>
      <c r="FB1522" s="5"/>
      <c r="FI1522" s="5"/>
      <c r="FJ1522" s="164"/>
      <c r="FL1522" s="2"/>
      <c r="FN1522" s="2"/>
    </row>
    <row r="1523" spans="153:170" x14ac:dyDescent="0.35">
      <c r="EW1523" s="48"/>
      <c r="FB1523" s="5"/>
      <c r="FI1523" s="5"/>
      <c r="FJ1523" s="164"/>
      <c r="FL1523" s="2"/>
      <c r="FN1523" s="2"/>
    </row>
    <row r="1524" spans="153:170" x14ac:dyDescent="0.35">
      <c r="EW1524" s="48"/>
      <c r="FB1524" s="5"/>
      <c r="FI1524" s="5"/>
      <c r="FJ1524" s="164"/>
      <c r="FL1524" s="2"/>
      <c r="FN1524" s="2"/>
    </row>
    <row r="1525" spans="153:170" x14ac:dyDescent="0.35">
      <c r="EW1525" s="48"/>
      <c r="FB1525" s="5"/>
      <c r="FI1525" s="5"/>
      <c r="FJ1525" s="164"/>
      <c r="FL1525" s="2"/>
      <c r="FN1525" s="2"/>
    </row>
    <row r="1526" spans="153:170" x14ac:dyDescent="0.35">
      <c r="EW1526" s="48"/>
      <c r="FB1526" s="5"/>
      <c r="FI1526" s="5"/>
      <c r="FJ1526" s="164"/>
      <c r="FL1526" s="2"/>
      <c r="FN1526" s="2"/>
    </row>
    <row r="1527" spans="153:170" x14ac:dyDescent="0.35">
      <c r="EW1527" s="48"/>
      <c r="FB1527" s="5"/>
      <c r="FI1527" s="5"/>
      <c r="FJ1527" s="164"/>
      <c r="FL1527" s="2"/>
      <c r="FN1527" s="2"/>
    </row>
    <row r="1528" spans="153:170" x14ac:dyDescent="0.35">
      <c r="EW1528" s="48"/>
      <c r="FB1528" s="5"/>
      <c r="FI1528" s="5"/>
      <c r="FJ1528" s="164"/>
      <c r="FL1528" s="2"/>
      <c r="FN1528" s="2"/>
    </row>
    <row r="1529" spans="153:170" x14ac:dyDescent="0.35">
      <c r="EW1529" s="48"/>
      <c r="FB1529" s="5"/>
      <c r="FI1529" s="5"/>
      <c r="FJ1529" s="164"/>
      <c r="FL1529" s="2"/>
      <c r="FN1529" s="2"/>
    </row>
    <row r="1530" spans="153:170" x14ac:dyDescent="0.35">
      <c r="EW1530" s="48"/>
      <c r="FB1530" s="5"/>
      <c r="FI1530" s="5"/>
      <c r="FJ1530" s="164"/>
      <c r="FL1530" s="2"/>
      <c r="FN1530" s="2"/>
    </row>
    <row r="1531" spans="153:170" x14ac:dyDescent="0.35">
      <c r="EW1531" s="48"/>
      <c r="FB1531" s="5"/>
      <c r="FI1531" s="5"/>
      <c r="FJ1531" s="164"/>
      <c r="FL1531" s="2"/>
      <c r="FN1531" s="2"/>
    </row>
    <row r="1532" spans="153:170" x14ac:dyDescent="0.35">
      <c r="EW1532" s="48"/>
      <c r="FB1532" s="5"/>
      <c r="FI1532" s="5"/>
      <c r="FJ1532" s="164"/>
      <c r="FL1532" s="2"/>
      <c r="FN1532" s="2"/>
    </row>
    <row r="1533" spans="153:170" x14ac:dyDescent="0.35">
      <c r="EW1533" s="48"/>
      <c r="FB1533" s="5"/>
      <c r="FI1533" s="5"/>
      <c r="FJ1533" s="164"/>
      <c r="FL1533" s="2"/>
      <c r="FN1533" s="2"/>
    </row>
    <row r="1534" spans="153:170" x14ac:dyDescent="0.35">
      <c r="EW1534" s="48"/>
      <c r="FB1534" s="5"/>
      <c r="FI1534" s="5"/>
      <c r="FJ1534" s="164"/>
      <c r="FL1534" s="2"/>
      <c r="FN1534" s="2"/>
    </row>
    <row r="1535" spans="153:170" x14ac:dyDescent="0.35">
      <c r="EW1535" s="48"/>
      <c r="FB1535" s="5"/>
      <c r="FI1535" s="5"/>
      <c r="FJ1535" s="164"/>
      <c r="FL1535" s="2"/>
      <c r="FN1535" s="2"/>
    </row>
    <row r="1536" spans="153:170" x14ac:dyDescent="0.35">
      <c r="EW1536" s="48"/>
      <c r="FB1536" s="5"/>
      <c r="FI1536" s="5"/>
      <c r="FJ1536" s="164"/>
      <c r="FL1536" s="2"/>
      <c r="FN1536" s="2"/>
    </row>
    <row r="1537" spans="153:170" x14ac:dyDescent="0.35">
      <c r="EW1537" s="48"/>
      <c r="FB1537" s="5"/>
      <c r="FI1537" s="5"/>
      <c r="FJ1537" s="164"/>
      <c r="FL1537" s="2"/>
      <c r="FN1537" s="2"/>
    </row>
    <row r="1538" spans="153:170" x14ac:dyDescent="0.35">
      <c r="EW1538" s="48"/>
      <c r="FB1538" s="5"/>
      <c r="FI1538" s="5"/>
      <c r="FJ1538" s="164"/>
      <c r="FL1538" s="2"/>
      <c r="FN1538" s="2"/>
    </row>
    <row r="1539" spans="153:170" x14ac:dyDescent="0.35">
      <c r="EW1539" s="48"/>
      <c r="FB1539" s="5"/>
      <c r="FI1539" s="5"/>
      <c r="FJ1539" s="164"/>
      <c r="FL1539" s="2"/>
      <c r="FN1539" s="2"/>
    </row>
    <row r="1540" spans="153:170" x14ac:dyDescent="0.35">
      <c r="EW1540" s="48"/>
      <c r="FB1540" s="5"/>
      <c r="FI1540" s="5"/>
      <c r="FJ1540" s="164"/>
      <c r="FL1540" s="2"/>
      <c r="FN1540" s="2"/>
    </row>
    <row r="1541" spans="153:170" x14ac:dyDescent="0.35">
      <c r="EW1541" s="48"/>
      <c r="FB1541" s="5"/>
      <c r="FI1541" s="5"/>
      <c r="FJ1541" s="164"/>
      <c r="FL1541" s="2"/>
      <c r="FN1541" s="2"/>
    </row>
    <row r="1542" spans="153:170" x14ac:dyDescent="0.35">
      <c r="EW1542" s="48"/>
      <c r="FB1542" s="5"/>
      <c r="FI1542" s="5"/>
      <c r="FJ1542" s="164"/>
      <c r="FL1542" s="2"/>
      <c r="FN1542" s="2"/>
    </row>
    <row r="1543" spans="153:170" x14ac:dyDescent="0.35">
      <c r="EW1543" s="48"/>
      <c r="FB1543" s="5"/>
      <c r="FI1543" s="5"/>
      <c r="FJ1543" s="164"/>
      <c r="FL1543" s="2"/>
      <c r="FN1543" s="2"/>
    </row>
    <row r="1544" spans="153:170" x14ac:dyDescent="0.35">
      <c r="EW1544" s="48"/>
      <c r="FB1544" s="5"/>
      <c r="FI1544" s="5"/>
      <c r="FJ1544" s="164"/>
      <c r="FL1544" s="2"/>
      <c r="FN1544" s="2"/>
    </row>
    <row r="1545" spans="153:170" x14ac:dyDescent="0.35">
      <c r="EW1545" s="48"/>
      <c r="FB1545" s="5"/>
      <c r="FI1545" s="5"/>
      <c r="FJ1545" s="164"/>
      <c r="FL1545" s="2"/>
      <c r="FN1545" s="2"/>
    </row>
    <row r="1546" spans="153:170" x14ac:dyDescent="0.35">
      <c r="EW1546" s="48"/>
      <c r="FB1546" s="5"/>
      <c r="FI1546" s="5"/>
      <c r="FJ1546" s="164"/>
      <c r="FL1546" s="2"/>
      <c r="FN1546" s="2"/>
    </row>
    <row r="1547" spans="153:170" x14ac:dyDescent="0.35">
      <c r="EW1547" s="48"/>
      <c r="FB1547" s="5"/>
      <c r="FI1547" s="5"/>
      <c r="FJ1547" s="164"/>
      <c r="FL1547" s="2"/>
      <c r="FN1547" s="2"/>
    </row>
    <row r="1548" spans="153:170" x14ac:dyDescent="0.35">
      <c r="EW1548" s="48"/>
      <c r="FB1548" s="5"/>
      <c r="FI1548" s="5"/>
      <c r="FJ1548" s="164"/>
      <c r="FL1548" s="2"/>
      <c r="FN1548" s="2"/>
    </row>
    <row r="1549" spans="153:170" x14ac:dyDescent="0.35">
      <c r="EW1549" s="48"/>
      <c r="FB1549" s="5"/>
      <c r="FI1549" s="5"/>
      <c r="FJ1549" s="164"/>
      <c r="FL1549" s="2"/>
      <c r="FN1549" s="2"/>
    </row>
    <row r="1550" spans="153:170" x14ac:dyDescent="0.35">
      <c r="EW1550" s="48"/>
      <c r="FB1550" s="5"/>
      <c r="FI1550" s="5"/>
      <c r="FJ1550" s="164"/>
      <c r="FL1550" s="2"/>
      <c r="FN1550" s="2"/>
    </row>
    <row r="1551" spans="153:170" x14ac:dyDescent="0.35">
      <c r="EW1551" s="48"/>
      <c r="FB1551" s="5"/>
      <c r="FI1551" s="5"/>
      <c r="FJ1551" s="164"/>
      <c r="FL1551" s="2"/>
      <c r="FN1551" s="2"/>
    </row>
    <row r="1552" spans="153:170" x14ac:dyDescent="0.35">
      <c r="EW1552" s="48"/>
      <c r="FB1552" s="5"/>
      <c r="FI1552" s="5"/>
      <c r="FJ1552" s="164"/>
      <c r="FL1552" s="2"/>
      <c r="FN1552" s="2"/>
    </row>
    <row r="1553" spans="153:170" x14ac:dyDescent="0.35">
      <c r="EW1553" s="48"/>
      <c r="FB1553" s="5"/>
      <c r="FI1553" s="5"/>
      <c r="FJ1553" s="164"/>
      <c r="FL1553" s="2"/>
      <c r="FN1553" s="2"/>
    </row>
    <row r="1554" spans="153:170" x14ac:dyDescent="0.35">
      <c r="EW1554" s="48"/>
      <c r="FB1554" s="5"/>
      <c r="FI1554" s="5"/>
      <c r="FJ1554" s="164"/>
      <c r="FL1554" s="2"/>
      <c r="FN1554" s="2"/>
    </row>
    <row r="1555" spans="153:170" x14ac:dyDescent="0.35">
      <c r="EW1555" s="48"/>
      <c r="FB1555" s="5"/>
      <c r="FI1555" s="5"/>
      <c r="FJ1555" s="164"/>
      <c r="FL1555" s="2"/>
      <c r="FN1555" s="2"/>
    </row>
    <row r="1556" spans="153:170" x14ac:dyDescent="0.35">
      <c r="EW1556" s="48"/>
      <c r="FB1556" s="5"/>
      <c r="FI1556" s="5"/>
      <c r="FJ1556" s="164"/>
      <c r="FL1556" s="2"/>
      <c r="FN1556" s="2"/>
    </row>
    <row r="1557" spans="153:170" x14ac:dyDescent="0.35">
      <c r="EW1557" s="48"/>
      <c r="FB1557" s="5"/>
      <c r="FI1557" s="5"/>
      <c r="FJ1557" s="164"/>
      <c r="FL1557" s="2"/>
      <c r="FN1557" s="2"/>
    </row>
    <row r="1558" spans="153:170" x14ac:dyDescent="0.35">
      <c r="EW1558" s="48"/>
      <c r="FB1558" s="5"/>
      <c r="FI1558" s="5"/>
      <c r="FJ1558" s="164"/>
      <c r="FL1558" s="2"/>
      <c r="FN1558" s="2"/>
    </row>
    <row r="1559" spans="153:170" x14ac:dyDescent="0.35">
      <c r="EW1559" s="48"/>
      <c r="FB1559" s="5"/>
      <c r="FI1559" s="5"/>
      <c r="FJ1559" s="164"/>
      <c r="FL1559" s="2"/>
      <c r="FN1559" s="2"/>
    </row>
    <row r="1560" spans="153:170" x14ac:dyDescent="0.35">
      <c r="EW1560" s="48"/>
      <c r="FB1560" s="5"/>
      <c r="FI1560" s="5"/>
      <c r="FJ1560" s="164"/>
      <c r="FL1560" s="2"/>
      <c r="FN1560" s="2"/>
    </row>
    <row r="1561" spans="153:170" x14ac:dyDescent="0.35">
      <c r="EW1561" s="48"/>
      <c r="FB1561" s="5"/>
      <c r="FI1561" s="5"/>
      <c r="FJ1561" s="164"/>
      <c r="FL1561" s="2"/>
      <c r="FN1561" s="2"/>
    </row>
    <row r="1562" spans="153:170" x14ac:dyDescent="0.35">
      <c r="EW1562" s="48"/>
      <c r="FB1562" s="5"/>
      <c r="FI1562" s="5"/>
      <c r="FJ1562" s="164"/>
      <c r="FL1562" s="2"/>
      <c r="FN1562" s="2"/>
    </row>
    <row r="1563" spans="153:170" x14ac:dyDescent="0.35">
      <c r="EW1563" s="48"/>
      <c r="FB1563" s="5"/>
      <c r="FI1563" s="5"/>
      <c r="FJ1563" s="164"/>
      <c r="FL1563" s="2"/>
      <c r="FN1563" s="2"/>
    </row>
    <row r="1564" spans="153:170" x14ac:dyDescent="0.35">
      <c r="EW1564" s="48"/>
      <c r="FB1564" s="5"/>
      <c r="FI1564" s="5"/>
      <c r="FJ1564" s="164"/>
      <c r="FL1564" s="2"/>
      <c r="FN1564" s="2"/>
    </row>
    <row r="1565" spans="153:170" x14ac:dyDescent="0.35">
      <c r="EW1565" s="48"/>
      <c r="FB1565" s="5"/>
      <c r="FI1565" s="5"/>
      <c r="FJ1565" s="164"/>
      <c r="FL1565" s="2"/>
      <c r="FN1565" s="2"/>
    </row>
    <row r="1566" spans="153:170" x14ac:dyDescent="0.35">
      <c r="EW1566" s="48"/>
      <c r="FB1566" s="5"/>
      <c r="FI1566" s="5"/>
      <c r="FJ1566" s="164"/>
      <c r="FL1566" s="2"/>
      <c r="FN1566" s="2"/>
    </row>
    <row r="1567" spans="153:170" x14ac:dyDescent="0.35">
      <c r="EW1567" s="48"/>
      <c r="FB1567" s="5"/>
      <c r="FI1567" s="5"/>
      <c r="FJ1567" s="164"/>
      <c r="FL1567" s="2"/>
      <c r="FN1567" s="2"/>
    </row>
    <row r="1568" spans="153:170" x14ac:dyDescent="0.35">
      <c r="EW1568" s="48"/>
      <c r="FB1568" s="5"/>
      <c r="FI1568" s="5"/>
      <c r="FJ1568" s="164"/>
      <c r="FL1568" s="2"/>
      <c r="FN1568" s="2"/>
    </row>
    <row r="1569" spans="153:170" x14ac:dyDescent="0.35">
      <c r="EW1569" s="48"/>
      <c r="FB1569" s="5"/>
      <c r="FI1569" s="5"/>
      <c r="FJ1569" s="164"/>
      <c r="FL1569" s="2"/>
      <c r="FN1569" s="2"/>
    </row>
    <row r="1570" spans="153:170" x14ac:dyDescent="0.35">
      <c r="EW1570" s="48"/>
      <c r="FB1570" s="5"/>
      <c r="FI1570" s="5"/>
      <c r="FJ1570" s="164"/>
      <c r="FL1570" s="2"/>
      <c r="FN1570" s="2"/>
    </row>
    <row r="1571" spans="153:170" x14ac:dyDescent="0.35">
      <c r="EW1571" s="48"/>
      <c r="FB1571" s="5"/>
      <c r="FI1571" s="5"/>
      <c r="FJ1571" s="164"/>
      <c r="FL1571" s="2"/>
      <c r="FN1571" s="2"/>
    </row>
    <row r="1572" spans="153:170" x14ac:dyDescent="0.35">
      <c r="EW1572" s="48"/>
      <c r="FB1572" s="5"/>
      <c r="FI1572" s="5"/>
      <c r="FJ1572" s="164"/>
      <c r="FL1572" s="2"/>
      <c r="FN1572" s="2"/>
    </row>
    <row r="1573" spans="153:170" x14ac:dyDescent="0.35">
      <c r="EW1573" s="48"/>
      <c r="FB1573" s="5"/>
      <c r="FI1573" s="5"/>
      <c r="FJ1573" s="164"/>
      <c r="FL1573" s="2"/>
      <c r="FN1573" s="2"/>
    </row>
    <row r="1574" spans="153:170" x14ac:dyDescent="0.35">
      <c r="EW1574" s="48"/>
      <c r="FB1574" s="5"/>
      <c r="FI1574" s="5"/>
      <c r="FJ1574" s="164"/>
      <c r="FL1574" s="2"/>
      <c r="FN1574" s="2"/>
    </row>
    <row r="1575" spans="153:170" x14ac:dyDescent="0.35">
      <c r="EW1575" s="48"/>
      <c r="FB1575" s="5"/>
      <c r="FI1575" s="5"/>
      <c r="FJ1575" s="164"/>
      <c r="FL1575" s="2"/>
      <c r="FN1575" s="2"/>
    </row>
    <row r="1576" spans="153:170" x14ac:dyDescent="0.35">
      <c r="EW1576" s="48"/>
      <c r="FB1576" s="5"/>
      <c r="FI1576" s="5"/>
      <c r="FJ1576" s="164"/>
      <c r="FL1576" s="2"/>
      <c r="FN1576" s="2"/>
    </row>
    <row r="1577" spans="153:170" x14ac:dyDescent="0.35">
      <c r="EW1577" s="48"/>
      <c r="FB1577" s="5"/>
      <c r="FI1577" s="5"/>
      <c r="FJ1577" s="164"/>
      <c r="FL1577" s="2"/>
      <c r="FN1577" s="2"/>
    </row>
    <row r="1578" spans="153:170" x14ac:dyDescent="0.35">
      <c r="EW1578" s="48"/>
      <c r="FB1578" s="5"/>
      <c r="FI1578" s="5"/>
      <c r="FJ1578" s="164"/>
      <c r="FL1578" s="2"/>
      <c r="FN1578" s="2"/>
    </row>
    <row r="1579" spans="153:170" x14ac:dyDescent="0.35">
      <c r="EW1579" s="48"/>
      <c r="FB1579" s="5"/>
      <c r="FI1579" s="5"/>
      <c r="FJ1579" s="164"/>
      <c r="FL1579" s="2"/>
      <c r="FN1579" s="2"/>
    </row>
    <row r="1580" spans="153:170" x14ac:dyDescent="0.35">
      <c r="EW1580" s="48"/>
      <c r="FB1580" s="5"/>
      <c r="FI1580" s="5"/>
      <c r="FJ1580" s="164"/>
      <c r="FL1580" s="2"/>
      <c r="FN1580" s="2"/>
    </row>
    <row r="1581" spans="153:170" x14ac:dyDescent="0.35">
      <c r="EW1581" s="48"/>
      <c r="FB1581" s="5"/>
      <c r="FI1581" s="5"/>
      <c r="FJ1581" s="164"/>
      <c r="FL1581" s="2"/>
      <c r="FN1581" s="2"/>
    </row>
    <row r="1582" spans="153:170" x14ac:dyDescent="0.35">
      <c r="EW1582" s="48"/>
      <c r="FB1582" s="5"/>
      <c r="FI1582" s="5"/>
      <c r="FJ1582" s="164"/>
      <c r="FL1582" s="2"/>
      <c r="FN1582" s="2"/>
    </row>
    <row r="1583" spans="153:170" x14ac:dyDescent="0.35">
      <c r="EW1583" s="48"/>
      <c r="FB1583" s="5"/>
      <c r="FI1583" s="5"/>
      <c r="FJ1583" s="164"/>
      <c r="FL1583" s="2"/>
      <c r="FN1583" s="2"/>
    </row>
    <row r="1584" spans="153:170" x14ac:dyDescent="0.35">
      <c r="EW1584" s="48"/>
      <c r="FB1584" s="5"/>
      <c r="FI1584" s="5"/>
      <c r="FJ1584" s="164"/>
      <c r="FL1584" s="2"/>
      <c r="FN1584" s="2"/>
    </row>
    <row r="1585" spans="153:170" x14ac:dyDescent="0.35">
      <c r="EW1585" s="48"/>
      <c r="FB1585" s="5"/>
      <c r="FI1585" s="5"/>
      <c r="FJ1585" s="164"/>
      <c r="FL1585" s="2"/>
      <c r="FN1585" s="2"/>
    </row>
    <row r="1586" spans="153:170" x14ac:dyDescent="0.35">
      <c r="EW1586" s="48"/>
      <c r="FB1586" s="5"/>
      <c r="FI1586" s="5"/>
      <c r="FJ1586" s="164"/>
      <c r="FL1586" s="2"/>
      <c r="FN1586" s="2"/>
    </row>
    <row r="1587" spans="153:170" x14ac:dyDescent="0.35">
      <c r="EW1587" s="48"/>
      <c r="FB1587" s="5"/>
      <c r="FI1587" s="5"/>
      <c r="FJ1587" s="164"/>
      <c r="FL1587" s="2"/>
      <c r="FN1587" s="2"/>
    </row>
    <row r="1588" spans="153:170" x14ac:dyDescent="0.35">
      <c r="EW1588" s="48"/>
      <c r="FB1588" s="5"/>
      <c r="FI1588" s="5"/>
      <c r="FJ1588" s="164"/>
      <c r="FL1588" s="2"/>
      <c r="FN1588" s="2"/>
    </row>
    <row r="1589" spans="153:170" x14ac:dyDescent="0.35">
      <c r="EW1589" s="48"/>
      <c r="FB1589" s="5"/>
      <c r="FI1589" s="5"/>
      <c r="FJ1589" s="164"/>
      <c r="FL1589" s="2"/>
      <c r="FN1589" s="2"/>
    </row>
    <row r="1590" spans="153:170" x14ac:dyDescent="0.35">
      <c r="EW1590" s="48"/>
      <c r="FB1590" s="5"/>
      <c r="FI1590" s="5"/>
      <c r="FJ1590" s="164"/>
      <c r="FL1590" s="2"/>
      <c r="FN1590" s="2"/>
    </row>
    <row r="1591" spans="153:170" x14ac:dyDescent="0.35">
      <c r="EW1591" s="48"/>
      <c r="FB1591" s="5"/>
      <c r="FI1591" s="5"/>
      <c r="FJ1591" s="164"/>
      <c r="FL1591" s="2"/>
      <c r="FN1591" s="2"/>
    </row>
    <row r="1592" spans="153:170" x14ac:dyDescent="0.35">
      <c r="EW1592" s="48"/>
      <c r="FB1592" s="5"/>
      <c r="FI1592" s="5"/>
      <c r="FJ1592" s="164"/>
      <c r="FL1592" s="2"/>
      <c r="FN1592" s="2"/>
    </row>
    <row r="1593" spans="153:170" x14ac:dyDescent="0.35">
      <c r="EW1593" s="48"/>
      <c r="FB1593" s="5"/>
      <c r="FI1593" s="5"/>
      <c r="FJ1593" s="164"/>
      <c r="FL1593" s="2"/>
      <c r="FN1593" s="2"/>
    </row>
    <row r="1594" spans="153:170" x14ac:dyDescent="0.35">
      <c r="EW1594" s="48"/>
      <c r="FB1594" s="5"/>
      <c r="FI1594" s="5"/>
      <c r="FJ1594" s="164"/>
      <c r="FL1594" s="2"/>
      <c r="FN1594" s="2"/>
    </row>
    <row r="1595" spans="153:170" x14ac:dyDescent="0.35">
      <c r="EW1595" s="48"/>
      <c r="FB1595" s="5"/>
      <c r="FI1595" s="5"/>
      <c r="FJ1595" s="164"/>
      <c r="FL1595" s="2"/>
      <c r="FN1595" s="2"/>
    </row>
    <row r="1596" spans="153:170" x14ac:dyDescent="0.35">
      <c r="EW1596" s="48"/>
      <c r="FB1596" s="5"/>
      <c r="FI1596" s="5"/>
      <c r="FJ1596" s="164"/>
      <c r="FL1596" s="2"/>
      <c r="FN1596" s="2"/>
    </row>
    <row r="1597" spans="153:170" x14ac:dyDescent="0.35">
      <c r="EW1597" s="48"/>
      <c r="FB1597" s="5"/>
      <c r="FI1597" s="5"/>
      <c r="FJ1597" s="164"/>
      <c r="FL1597" s="2"/>
      <c r="FN1597" s="2"/>
    </row>
    <row r="1598" spans="153:170" x14ac:dyDescent="0.35">
      <c r="EW1598" s="48"/>
      <c r="FB1598" s="5"/>
      <c r="FI1598" s="5"/>
      <c r="FJ1598" s="164"/>
      <c r="FL1598" s="2"/>
      <c r="FN1598" s="2"/>
    </row>
    <row r="1599" spans="153:170" x14ac:dyDescent="0.35">
      <c r="EW1599" s="48"/>
      <c r="FB1599" s="5"/>
      <c r="FI1599" s="5"/>
      <c r="FJ1599" s="164"/>
      <c r="FL1599" s="2"/>
      <c r="FN1599" s="2"/>
    </row>
    <row r="1600" spans="153:170" x14ac:dyDescent="0.35">
      <c r="EW1600" s="48"/>
      <c r="FB1600" s="5"/>
      <c r="FI1600" s="5"/>
      <c r="FJ1600" s="164"/>
      <c r="FL1600" s="2"/>
      <c r="FN1600" s="2"/>
    </row>
    <row r="1601" spans="153:170" x14ac:dyDescent="0.35">
      <c r="EW1601" s="48"/>
      <c r="FB1601" s="5"/>
      <c r="FI1601" s="5"/>
      <c r="FJ1601" s="164"/>
      <c r="FL1601" s="2"/>
      <c r="FN1601" s="2"/>
    </row>
    <row r="1602" spans="153:170" x14ac:dyDescent="0.35">
      <c r="EW1602" s="48"/>
      <c r="FB1602" s="5"/>
      <c r="FI1602" s="5"/>
      <c r="FJ1602" s="164"/>
      <c r="FL1602" s="2"/>
      <c r="FN1602" s="2"/>
    </row>
    <row r="1603" spans="153:170" x14ac:dyDescent="0.35">
      <c r="EW1603" s="48"/>
      <c r="FB1603" s="5"/>
      <c r="FI1603" s="5"/>
      <c r="FJ1603" s="164"/>
      <c r="FL1603" s="2"/>
      <c r="FN1603" s="2"/>
    </row>
    <row r="1604" spans="153:170" x14ac:dyDescent="0.35">
      <c r="EW1604" s="48"/>
      <c r="FB1604" s="5"/>
      <c r="FI1604" s="5"/>
      <c r="FJ1604" s="164"/>
      <c r="FL1604" s="2"/>
      <c r="FN1604" s="2"/>
    </row>
    <row r="1605" spans="153:170" x14ac:dyDescent="0.35">
      <c r="EW1605" s="48"/>
      <c r="FB1605" s="5"/>
      <c r="FI1605" s="5"/>
      <c r="FJ1605" s="164"/>
      <c r="FL1605" s="2"/>
      <c r="FN1605" s="2"/>
    </row>
    <row r="1606" spans="153:170" x14ac:dyDescent="0.35">
      <c r="EW1606" s="48"/>
      <c r="FB1606" s="5"/>
      <c r="FI1606" s="5"/>
      <c r="FJ1606" s="164"/>
      <c r="FL1606" s="2"/>
      <c r="FN1606" s="2"/>
    </row>
    <row r="1607" spans="153:170" x14ac:dyDescent="0.35">
      <c r="EW1607" s="48"/>
      <c r="FB1607" s="5"/>
      <c r="FI1607" s="5"/>
      <c r="FJ1607" s="164"/>
      <c r="FL1607" s="2"/>
      <c r="FN1607" s="2"/>
    </row>
    <row r="1608" spans="153:170" x14ac:dyDescent="0.35">
      <c r="EW1608" s="48"/>
      <c r="FB1608" s="5"/>
      <c r="FI1608" s="5"/>
      <c r="FJ1608" s="164"/>
      <c r="FL1608" s="2"/>
      <c r="FN1608" s="2"/>
    </row>
    <row r="1609" spans="153:170" x14ac:dyDescent="0.35">
      <c r="EW1609" s="48"/>
      <c r="FB1609" s="5"/>
      <c r="FI1609" s="5"/>
      <c r="FJ1609" s="164"/>
      <c r="FL1609" s="2"/>
      <c r="FN1609" s="2"/>
    </row>
    <row r="1610" spans="153:170" x14ac:dyDescent="0.35">
      <c r="EW1610" s="48"/>
      <c r="FB1610" s="5"/>
      <c r="FI1610" s="5"/>
      <c r="FJ1610" s="164"/>
      <c r="FL1610" s="2"/>
      <c r="FN1610" s="2"/>
    </row>
    <row r="1611" spans="153:170" x14ac:dyDescent="0.35">
      <c r="EW1611" s="48"/>
      <c r="FB1611" s="5"/>
      <c r="FI1611" s="5"/>
      <c r="FJ1611" s="164"/>
      <c r="FL1611" s="2"/>
      <c r="FN1611" s="2"/>
    </row>
    <row r="1612" spans="153:170" x14ac:dyDescent="0.35">
      <c r="EW1612" s="48"/>
      <c r="FB1612" s="5"/>
      <c r="FI1612" s="5"/>
      <c r="FJ1612" s="164"/>
      <c r="FL1612" s="2"/>
      <c r="FN1612" s="2"/>
    </row>
    <row r="1613" spans="153:170" x14ac:dyDescent="0.35">
      <c r="EW1613" s="48"/>
      <c r="FB1613" s="5"/>
      <c r="FI1613" s="5"/>
      <c r="FJ1613" s="164"/>
      <c r="FL1613" s="2"/>
      <c r="FN1613" s="2"/>
    </row>
    <row r="1614" spans="153:170" x14ac:dyDescent="0.35">
      <c r="EW1614" s="48"/>
      <c r="FB1614" s="5"/>
      <c r="FI1614" s="5"/>
      <c r="FJ1614" s="164"/>
      <c r="FL1614" s="2"/>
      <c r="FN1614" s="2"/>
    </row>
    <row r="1615" spans="153:170" x14ac:dyDescent="0.35">
      <c r="EW1615" s="48"/>
      <c r="FB1615" s="5"/>
      <c r="FI1615" s="5"/>
      <c r="FJ1615" s="164"/>
      <c r="FL1615" s="2"/>
      <c r="FN1615" s="2"/>
    </row>
    <row r="1616" spans="153:170" x14ac:dyDescent="0.35">
      <c r="EW1616" s="48"/>
      <c r="FB1616" s="5"/>
      <c r="FI1616" s="5"/>
      <c r="FJ1616" s="164"/>
      <c r="FL1616" s="2"/>
      <c r="FN1616" s="2"/>
    </row>
    <row r="1617" spans="153:170" x14ac:dyDescent="0.35">
      <c r="EW1617" s="48"/>
      <c r="FB1617" s="5"/>
      <c r="FI1617" s="5"/>
      <c r="FJ1617" s="164"/>
      <c r="FL1617" s="2"/>
      <c r="FN1617" s="2"/>
    </row>
    <row r="1618" spans="153:170" x14ac:dyDescent="0.35">
      <c r="EW1618" s="48"/>
      <c r="FB1618" s="5"/>
      <c r="FI1618" s="5"/>
      <c r="FJ1618" s="164"/>
      <c r="FL1618" s="2"/>
      <c r="FN1618" s="2"/>
    </row>
    <row r="1619" spans="153:170" x14ac:dyDescent="0.35">
      <c r="EW1619" s="48"/>
      <c r="FB1619" s="5"/>
      <c r="FI1619" s="5"/>
      <c r="FJ1619" s="164"/>
      <c r="FL1619" s="2"/>
      <c r="FN1619" s="2"/>
    </row>
    <row r="1620" spans="153:170" x14ac:dyDescent="0.35">
      <c r="EW1620" s="48"/>
      <c r="FB1620" s="5"/>
      <c r="FI1620" s="5"/>
      <c r="FJ1620" s="164"/>
      <c r="FL1620" s="2"/>
      <c r="FN1620" s="2"/>
    </row>
    <row r="1621" spans="153:170" x14ac:dyDescent="0.35">
      <c r="EW1621" s="48"/>
      <c r="FB1621" s="5"/>
      <c r="FI1621" s="5"/>
      <c r="FJ1621" s="164"/>
      <c r="FL1621" s="2"/>
      <c r="FN1621" s="2"/>
    </row>
    <row r="1622" spans="153:170" x14ac:dyDescent="0.35">
      <c r="EW1622" s="48"/>
      <c r="FB1622" s="5"/>
      <c r="FI1622" s="5"/>
      <c r="FJ1622" s="164"/>
      <c r="FL1622" s="2"/>
      <c r="FN1622" s="2"/>
    </row>
    <row r="1623" spans="153:170" x14ac:dyDescent="0.35">
      <c r="EW1623" s="48"/>
      <c r="FB1623" s="5"/>
      <c r="FI1623" s="5"/>
      <c r="FJ1623" s="164"/>
      <c r="FL1623" s="2"/>
      <c r="FN1623" s="2"/>
    </row>
    <row r="1624" spans="153:170" x14ac:dyDescent="0.35">
      <c r="EW1624" s="48"/>
      <c r="FB1624" s="5"/>
      <c r="FI1624" s="5"/>
      <c r="FJ1624" s="164"/>
      <c r="FL1624" s="2"/>
      <c r="FN1624" s="2"/>
    </row>
    <row r="1625" spans="153:170" x14ac:dyDescent="0.35">
      <c r="EW1625" s="48"/>
      <c r="FB1625" s="5"/>
      <c r="FI1625" s="5"/>
      <c r="FJ1625" s="164"/>
      <c r="FL1625" s="2"/>
      <c r="FN1625" s="2"/>
    </row>
    <row r="1626" spans="153:170" x14ac:dyDescent="0.35">
      <c r="EW1626" s="48"/>
      <c r="FB1626" s="5"/>
      <c r="FI1626" s="5"/>
      <c r="FJ1626" s="164"/>
      <c r="FL1626" s="2"/>
      <c r="FN1626" s="2"/>
    </row>
    <row r="1627" spans="153:170" x14ac:dyDescent="0.35">
      <c r="EW1627" s="48"/>
      <c r="FB1627" s="5"/>
      <c r="FI1627" s="5"/>
      <c r="FJ1627" s="164"/>
      <c r="FL1627" s="2"/>
      <c r="FN1627" s="2"/>
    </row>
    <row r="1628" spans="153:170" x14ac:dyDescent="0.35">
      <c r="EW1628" s="48"/>
      <c r="FB1628" s="5"/>
      <c r="FI1628" s="5"/>
      <c r="FJ1628" s="164"/>
      <c r="FL1628" s="2"/>
      <c r="FN1628" s="2"/>
    </row>
    <row r="1629" spans="153:170" x14ac:dyDescent="0.35">
      <c r="EW1629" s="48"/>
      <c r="FB1629" s="5"/>
      <c r="FI1629" s="5"/>
      <c r="FJ1629" s="164"/>
      <c r="FL1629" s="2"/>
      <c r="FN1629" s="2"/>
    </row>
    <row r="1630" spans="153:170" x14ac:dyDescent="0.35">
      <c r="EW1630" s="48"/>
      <c r="FB1630" s="5"/>
      <c r="FI1630" s="5"/>
      <c r="FJ1630" s="164"/>
      <c r="FL1630" s="2"/>
      <c r="FN1630" s="2"/>
    </row>
    <row r="1631" spans="153:170" x14ac:dyDescent="0.35">
      <c r="EW1631" s="48"/>
      <c r="FB1631" s="5"/>
      <c r="FI1631" s="5"/>
      <c r="FJ1631" s="164"/>
      <c r="FL1631" s="2"/>
      <c r="FN1631" s="2"/>
    </row>
    <row r="1632" spans="153:170" x14ac:dyDescent="0.35">
      <c r="EW1632" s="48"/>
      <c r="FB1632" s="5"/>
      <c r="FI1632" s="5"/>
      <c r="FJ1632" s="164"/>
      <c r="FL1632" s="2"/>
      <c r="FN1632" s="2"/>
    </row>
    <row r="1633" spans="153:170" x14ac:dyDescent="0.35">
      <c r="EW1633" s="48"/>
      <c r="FB1633" s="5"/>
      <c r="FI1633" s="5"/>
      <c r="FJ1633" s="164"/>
      <c r="FL1633" s="2"/>
      <c r="FN1633" s="2"/>
    </row>
    <row r="1634" spans="153:170" x14ac:dyDescent="0.35">
      <c r="EW1634" s="48"/>
      <c r="FB1634" s="5"/>
      <c r="FI1634" s="5"/>
      <c r="FJ1634" s="164"/>
      <c r="FL1634" s="2"/>
      <c r="FN1634" s="2"/>
    </row>
    <row r="1635" spans="153:170" x14ac:dyDescent="0.35">
      <c r="EW1635" s="48"/>
      <c r="FB1635" s="5"/>
      <c r="FI1635" s="5"/>
      <c r="FJ1635" s="164"/>
      <c r="FL1635" s="2"/>
      <c r="FN1635" s="2"/>
    </row>
    <row r="1636" spans="153:170" x14ac:dyDescent="0.35">
      <c r="EW1636" s="48"/>
      <c r="FB1636" s="5"/>
      <c r="FI1636" s="5"/>
      <c r="FJ1636" s="164"/>
      <c r="FL1636" s="2"/>
      <c r="FN1636" s="2"/>
    </row>
    <row r="1637" spans="153:170" x14ac:dyDescent="0.35">
      <c r="EW1637" s="48"/>
      <c r="FB1637" s="5"/>
      <c r="FI1637" s="5"/>
      <c r="FJ1637" s="164"/>
      <c r="FL1637" s="2"/>
      <c r="FN1637" s="2"/>
    </row>
    <row r="1638" spans="153:170" x14ac:dyDescent="0.35">
      <c r="EW1638" s="48"/>
      <c r="FB1638" s="5"/>
      <c r="FI1638" s="5"/>
      <c r="FJ1638" s="164"/>
      <c r="FL1638" s="2"/>
      <c r="FN1638" s="2"/>
    </row>
    <row r="1639" spans="153:170" x14ac:dyDescent="0.35">
      <c r="EW1639" s="48"/>
      <c r="FB1639" s="5"/>
      <c r="FI1639" s="5"/>
      <c r="FJ1639" s="164"/>
      <c r="FL1639" s="2"/>
      <c r="FN1639" s="2"/>
    </row>
    <row r="1640" spans="153:170" x14ac:dyDescent="0.35">
      <c r="EW1640" s="48"/>
      <c r="FB1640" s="5"/>
      <c r="FI1640" s="5"/>
      <c r="FJ1640" s="164"/>
      <c r="FL1640" s="2"/>
      <c r="FN1640" s="2"/>
    </row>
    <row r="1641" spans="153:170" x14ac:dyDescent="0.35">
      <c r="EW1641" s="48"/>
      <c r="FB1641" s="5"/>
      <c r="FI1641" s="5"/>
      <c r="FJ1641" s="164"/>
      <c r="FL1641" s="2"/>
      <c r="FN1641" s="2"/>
    </row>
    <row r="1642" spans="153:170" x14ac:dyDescent="0.35">
      <c r="EW1642" s="48"/>
      <c r="FB1642" s="5"/>
      <c r="FI1642" s="5"/>
      <c r="FJ1642" s="164"/>
      <c r="FL1642" s="2"/>
      <c r="FN1642" s="2"/>
    </row>
    <row r="1643" spans="153:170" x14ac:dyDescent="0.35">
      <c r="EW1643" s="48"/>
      <c r="FB1643" s="5"/>
      <c r="FI1643" s="5"/>
      <c r="FJ1643" s="164"/>
      <c r="FL1643" s="2"/>
      <c r="FN1643" s="2"/>
    </row>
    <row r="1644" spans="153:170" x14ac:dyDescent="0.35">
      <c r="EW1644" s="48"/>
      <c r="FB1644" s="5"/>
      <c r="FI1644" s="5"/>
      <c r="FJ1644" s="164"/>
      <c r="FL1644" s="2"/>
      <c r="FN1644" s="2"/>
    </row>
    <row r="1645" spans="153:170" x14ac:dyDescent="0.35">
      <c r="EW1645" s="48"/>
      <c r="FB1645" s="5"/>
      <c r="FI1645" s="5"/>
      <c r="FJ1645" s="164"/>
      <c r="FL1645" s="2"/>
      <c r="FN1645" s="2"/>
    </row>
    <row r="1646" spans="153:170" x14ac:dyDescent="0.35">
      <c r="EW1646" s="48"/>
      <c r="FB1646" s="5"/>
      <c r="FI1646" s="5"/>
      <c r="FJ1646" s="164"/>
      <c r="FL1646" s="2"/>
      <c r="FN1646" s="2"/>
    </row>
    <row r="1647" spans="153:170" x14ac:dyDescent="0.35">
      <c r="EW1647" s="48"/>
      <c r="FB1647" s="5"/>
      <c r="FI1647" s="5"/>
      <c r="FJ1647" s="164"/>
      <c r="FL1647" s="2"/>
      <c r="FN1647" s="2"/>
    </row>
    <row r="1648" spans="153:170" x14ac:dyDescent="0.35">
      <c r="EW1648" s="48"/>
      <c r="FB1648" s="5"/>
      <c r="FI1648" s="5"/>
      <c r="FJ1648" s="164"/>
      <c r="FL1648" s="2"/>
      <c r="FN1648" s="2"/>
    </row>
    <row r="1649" spans="153:170" x14ac:dyDescent="0.35">
      <c r="EW1649" s="48"/>
      <c r="FB1649" s="5"/>
      <c r="FI1649" s="5"/>
      <c r="FJ1649" s="164"/>
      <c r="FL1649" s="2"/>
      <c r="FN1649" s="2"/>
    </row>
    <row r="1650" spans="153:170" x14ac:dyDescent="0.35">
      <c r="EW1650" s="48"/>
      <c r="FB1650" s="5"/>
      <c r="FI1650" s="5"/>
      <c r="FJ1650" s="164"/>
      <c r="FL1650" s="2"/>
      <c r="FN1650" s="2"/>
    </row>
    <row r="1651" spans="153:170" x14ac:dyDescent="0.35">
      <c r="EW1651" s="48"/>
      <c r="FB1651" s="5"/>
      <c r="FI1651" s="5"/>
      <c r="FJ1651" s="164"/>
      <c r="FL1651" s="2"/>
      <c r="FN1651" s="2"/>
    </row>
    <row r="1652" spans="153:170" x14ac:dyDescent="0.35">
      <c r="EW1652" s="48"/>
      <c r="FB1652" s="5"/>
      <c r="FI1652" s="5"/>
      <c r="FJ1652" s="164"/>
      <c r="FL1652" s="2"/>
      <c r="FN1652" s="2"/>
    </row>
    <row r="1653" spans="153:170" x14ac:dyDescent="0.35">
      <c r="EW1653" s="48"/>
      <c r="FB1653" s="5"/>
      <c r="FI1653" s="5"/>
      <c r="FJ1653" s="164"/>
      <c r="FL1653" s="2"/>
      <c r="FN1653" s="2"/>
    </row>
    <row r="1654" spans="153:170" x14ac:dyDescent="0.35">
      <c r="EW1654" s="48"/>
      <c r="FB1654" s="5"/>
      <c r="FI1654" s="5"/>
      <c r="FJ1654" s="164"/>
      <c r="FL1654" s="2"/>
      <c r="FN1654" s="2"/>
    </row>
    <row r="1655" spans="153:170" x14ac:dyDescent="0.35">
      <c r="EW1655" s="48"/>
      <c r="FB1655" s="5"/>
      <c r="FI1655" s="5"/>
      <c r="FJ1655" s="164"/>
      <c r="FL1655" s="2"/>
      <c r="FN1655" s="2"/>
    </row>
    <row r="1656" spans="153:170" x14ac:dyDescent="0.35">
      <c r="EW1656" s="48"/>
      <c r="FB1656" s="5"/>
      <c r="FI1656" s="5"/>
      <c r="FJ1656" s="164"/>
      <c r="FL1656" s="2"/>
      <c r="FN1656" s="2"/>
    </row>
    <row r="1657" spans="153:170" x14ac:dyDescent="0.35">
      <c r="EW1657" s="48"/>
      <c r="FB1657" s="5"/>
      <c r="FI1657" s="5"/>
      <c r="FJ1657" s="164"/>
      <c r="FL1657" s="2"/>
      <c r="FN1657" s="2"/>
    </row>
    <row r="1658" spans="153:170" x14ac:dyDescent="0.35">
      <c r="EW1658" s="48"/>
      <c r="FB1658" s="5"/>
      <c r="FI1658" s="5"/>
      <c r="FJ1658" s="164"/>
      <c r="FL1658" s="2"/>
      <c r="FN1658" s="2"/>
    </row>
    <row r="1659" spans="153:170" x14ac:dyDescent="0.35">
      <c r="EW1659" s="48"/>
      <c r="FB1659" s="5"/>
      <c r="FI1659" s="5"/>
      <c r="FJ1659" s="164"/>
      <c r="FL1659" s="2"/>
      <c r="FN1659" s="2"/>
    </row>
    <row r="1660" spans="153:170" x14ac:dyDescent="0.35">
      <c r="EW1660" s="48"/>
      <c r="FB1660" s="5"/>
      <c r="FI1660" s="5"/>
      <c r="FJ1660" s="164"/>
      <c r="FL1660" s="2"/>
      <c r="FN1660" s="2"/>
    </row>
    <row r="1661" spans="153:170" x14ac:dyDescent="0.35">
      <c r="EW1661" s="48"/>
      <c r="FB1661" s="5"/>
      <c r="FI1661" s="5"/>
      <c r="FJ1661" s="164"/>
      <c r="FL1661" s="2"/>
      <c r="FN1661" s="2"/>
    </row>
    <row r="1662" spans="153:170" x14ac:dyDescent="0.35">
      <c r="EW1662" s="48"/>
      <c r="FB1662" s="5"/>
      <c r="FI1662" s="5"/>
      <c r="FJ1662" s="164"/>
      <c r="FL1662" s="2"/>
      <c r="FN1662" s="2"/>
    </row>
    <row r="1663" spans="153:170" x14ac:dyDescent="0.35">
      <c r="EW1663" s="48"/>
      <c r="FB1663" s="5"/>
      <c r="FI1663" s="5"/>
      <c r="FJ1663" s="164"/>
      <c r="FL1663" s="2"/>
      <c r="FN1663" s="2"/>
    </row>
    <row r="1664" spans="153:170" x14ac:dyDescent="0.35">
      <c r="EW1664" s="48"/>
      <c r="FB1664" s="5"/>
      <c r="FI1664" s="5"/>
      <c r="FJ1664" s="164"/>
      <c r="FL1664" s="2"/>
      <c r="FN1664" s="2"/>
    </row>
    <row r="1665" spans="153:170" x14ac:dyDescent="0.35">
      <c r="EW1665" s="48"/>
      <c r="FB1665" s="5"/>
      <c r="FI1665" s="5"/>
      <c r="FJ1665" s="164"/>
      <c r="FL1665" s="2"/>
      <c r="FN1665" s="2"/>
    </row>
    <row r="1666" spans="153:170" x14ac:dyDescent="0.35">
      <c r="EW1666" s="48"/>
      <c r="FB1666" s="5"/>
      <c r="FI1666" s="5"/>
      <c r="FJ1666" s="164"/>
      <c r="FL1666" s="2"/>
      <c r="FN1666" s="2"/>
    </row>
    <row r="1667" spans="153:170" x14ac:dyDescent="0.35">
      <c r="EW1667" s="48"/>
      <c r="FB1667" s="5"/>
      <c r="FI1667" s="5"/>
      <c r="FJ1667" s="164"/>
      <c r="FL1667" s="2"/>
      <c r="FN1667" s="2"/>
    </row>
    <row r="1668" spans="153:170" x14ac:dyDescent="0.35">
      <c r="EW1668" s="48"/>
      <c r="FB1668" s="5"/>
      <c r="FI1668" s="5"/>
      <c r="FJ1668" s="164"/>
      <c r="FL1668" s="2"/>
      <c r="FN1668" s="2"/>
    </row>
    <row r="1669" spans="153:170" x14ac:dyDescent="0.35">
      <c r="EW1669" s="48"/>
      <c r="FB1669" s="5"/>
      <c r="FI1669" s="5"/>
      <c r="FJ1669" s="164"/>
      <c r="FL1669" s="2"/>
      <c r="FN1669" s="2"/>
    </row>
    <row r="1670" spans="153:170" x14ac:dyDescent="0.35">
      <c r="EW1670" s="48"/>
      <c r="FB1670" s="5"/>
      <c r="FI1670" s="5"/>
      <c r="FJ1670" s="164"/>
      <c r="FL1670" s="2"/>
      <c r="FN1670" s="2"/>
    </row>
    <row r="1671" spans="153:170" x14ac:dyDescent="0.35">
      <c r="EW1671" s="48"/>
      <c r="FB1671" s="5"/>
      <c r="FI1671" s="5"/>
      <c r="FJ1671" s="164"/>
      <c r="FL1671" s="2"/>
      <c r="FN1671" s="2"/>
    </row>
    <row r="1672" spans="153:170" x14ac:dyDescent="0.35">
      <c r="EW1672" s="48"/>
      <c r="FB1672" s="5"/>
      <c r="FI1672" s="5"/>
      <c r="FJ1672" s="164"/>
      <c r="FL1672" s="2"/>
      <c r="FN1672" s="2"/>
    </row>
    <row r="1673" spans="153:170" x14ac:dyDescent="0.35">
      <c r="EW1673" s="48"/>
      <c r="FB1673" s="5"/>
      <c r="FI1673" s="5"/>
      <c r="FJ1673" s="164"/>
      <c r="FL1673" s="2"/>
      <c r="FN1673" s="2"/>
    </row>
    <row r="1674" spans="153:170" x14ac:dyDescent="0.35">
      <c r="EW1674" s="48"/>
      <c r="FB1674" s="5"/>
      <c r="FI1674" s="5"/>
      <c r="FJ1674" s="164"/>
      <c r="FL1674" s="2"/>
      <c r="FN1674" s="2"/>
    </row>
    <row r="1675" spans="153:170" x14ac:dyDescent="0.35">
      <c r="EW1675" s="48"/>
      <c r="FB1675" s="5"/>
      <c r="FI1675" s="5"/>
      <c r="FJ1675" s="164"/>
      <c r="FL1675" s="2"/>
      <c r="FN1675" s="2"/>
    </row>
    <row r="1676" spans="153:170" x14ac:dyDescent="0.35">
      <c r="EW1676" s="48"/>
      <c r="FB1676" s="5"/>
      <c r="FI1676" s="5"/>
      <c r="FJ1676" s="164"/>
      <c r="FL1676" s="2"/>
      <c r="FN1676" s="2"/>
    </row>
    <row r="1677" spans="153:170" x14ac:dyDescent="0.35">
      <c r="EW1677" s="48"/>
      <c r="FB1677" s="5"/>
      <c r="FI1677" s="5"/>
      <c r="FJ1677" s="164"/>
      <c r="FL1677" s="2"/>
      <c r="FN1677" s="2"/>
    </row>
    <row r="1678" spans="153:170" x14ac:dyDescent="0.35">
      <c r="EW1678" s="48"/>
      <c r="FB1678" s="5"/>
      <c r="FI1678" s="5"/>
      <c r="FJ1678" s="164"/>
      <c r="FL1678" s="2"/>
      <c r="FN1678" s="2"/>
    </row>
    <row r="1679" spans="153:170" x14ac:dyDescent="0.35">
      <c r="EW1679" s="48"/>
      <c r="FB1679" s="5"/>
      <c r="FI1679" s="5"/>
      <c r="FJ1679" s="164"/>
      <c r="FL1679" s="2"/>
      <c r="FN1679" s="2"/>
    </row>
    <row r="1680" spans="153:170" x14ac:dyDescent="0.35">
      <c r="EW1680" s="48"/>
      <c r="FB1680" s="5"/>
      <c r="FI1680" s="5"/>
      <c r="FJ1680" s="164"/>
      <c r="FL1680" s="2"/>
      <c r="FN1680" s="2"/>
    </row>
    <row r="1681" spans="153:170" x14ac:dyDescent="0.35">
      <c r="EW1681" s="48"/>
      <c r="FB1681" s="5"/>
      <c r="FI1681" s="5"/>
      <c r="FJ1681" s="164"/>
      <c r="FL1681" s="2"/>
      <c r="FN1681" s="2"/>
    </row>
    <row r="1682" spans="153:170" x14ac:dyDescent="0.35">
      <c r="EW1682" s="48"/>
      <c r="FB1682" s="5"/>
      <c r="FI1682" s="5"/>
      <c r="FJ1682" s="164"/>
      <c r="FL1682" s="2"/>
      <c r="FN1682" s="2"/>
    </row>
    <row r="1683" spans="153:170" x14ac:dyDescent="0.35">
      <c r="EW1683" s="48"/>
      <c r="FB1683" s="5"/>
      <c r="FI1683" s="5"/>
      <c r="FJ1683" s="164"/>
      <c r="FL1683" s="2"/>
      <c r="FN1683" s="2"/>
    </row>
    <row r="1684" spans="153:170" x14ac:dyDescent="0.35">
      <c r="EW1684" s="48"/>
      <c r="FB1684" s="5"/>
      <c r="FI1684" s="5"/>
      <c r="FJ1684" s="164"/>
      <c r="FL1684" s="2"/>
      <c r="FN1684" s="2"/>
    </row>
    <row r="1685" spans="153:170" x14ac:dyDescent="0.35">
      <c r="EW1685" s="48"/>
      <c r="FB1685" s="5"/>
      <c r="FI1685" s="5"/>
      <c r="FJ1685" s="164"/>
      <c r="FL1685" s="2"/>
      <c r="FN1685" s="2"/>
    </row>
    <row r="1686" spans="153:170" x14ac:dyDescent="0.35">
      <c r="EW1686" s="48"/>
      <c r="FB1686" s="5"/>
      <c r="FI1686" s="5"/>
      <c r="FJ1686" s="164"/>
      <c r="FL1686" s="2"/>
      <c r="FN1686" s="2"/>
    </row>
    <row r="1687" spans="153:170" x14ac:dyDescent="0.35">
      <c r="EW1687" s="48"/>
      <c r="FB1687" s="5"/>
      <c r="FI1687" s="5"/>
      <c r="FJ1687" s="164"/>
      <c r="FL1687" s="2"/>
      <c r="FN1687" s="2"/>
    </row>
    <row r="1688" spans="153:170" x14ac:dyDescent="0.35">
      <c r="EW1688" s="48"/>
      <c r="FB1688" s="5"/>
      <c r="FI1688" s="5"/>
      <c r="FJ1688" s="164"/>
      <c r="FL1688" s="2"/>
      <c r="FN1688" s="2"/>
    </row>
    <row r="1689" spans="153:170" x14ac:dyDescent="0.35">
      <c r="EW1689" s="48"/>
      <c r="FB1689" s="5"/>
      <c r="FI1689" s="5"/>
      <c r="FJ1689" s="164"/>
      <c r="FL1689" s="2"/>
      <c r="FN1689" s="2"/>
    </row>
    <row r="1690" spans="153:170" x14ac:dyDescent="0.35">
      <c r="EW1690" s="48"/>
      <c r="FB1690" s="5"/>
      <c r="FI1690" s="5"/>
      <c r="FJ1690" s="164"/>
      <c r="FL1690" s="2"/>
      <c r="FN1690" s="2"/>
    </row>
    <row r="1691" spans="153:170" x14ac:dyDescent="0.35">
      <c r="EW1691" s="48"/>
      <c r="FB1691" s="5"/>
      <c r="FI1691" s="5"/>
      <c r="FJ1691" s="164"/>
      <c r="FL1691" s="2"/>
      <c r="FN1691" s="2"/>
    </row>
    <row r="1692" spans="153:170" x14ac:dyDescent="0.35">
      <c r="EW1692" s="48"/>
      <c r="FB1692" s="5"/>
      <c r="FI1692" s="5"/>
      <c r="FJ1692" s="164"/>
      <c r="FL1692" s="2"/>
      <c r="FN1692" s="2"/>
    </row>
    <row r="1693" spans="153:170" x14ac:dyDescent="0.35">
      <c r="EW1693" s="48"/>
      <c r="FB1693" s="5"/>
      <c r="FI1693" s="5"/>
      <c r="FJ1693" s="164"/>
      <c r="FL1693" s="2"/>
      <c r="FN1693" s="2"/>
    </row>
    <row r="1694" spans="153:170" x14ac:dyDescent="0.35">
      <c r="EW1694" s="48"/>
      <c r="FB1694" s="5"/>
      <c r="FI1694" s="5"/>
      <c r="FJ1694" s="164"/>
      <c r="FL1694" s="2"/>
      <c r="FN1694" s="2"/>
    </row>
    <row r="1695" spans="153:170" x14ac:dyDescent="0.35">
      <c r="EW1695" s="48"/>
      <c r="FB1695" s="5"/>
      <c r="FI1695" s="5"/>
      <c r="FJ1695" s="164"/>
      <c r="FL1695" s="2"/>
      <c r="FN1695" s="2"/>
    </row>
    <row r="1696" spans="153:170" x14ac:dyDescent="0.35">
      <c r="EW1696" s="48"/>
      <c r="FB1696" s="5"/>
      <c r="FI1696" s="5"/>
      <c r="FJ1696" s="164"/>
      <c r="FL1696" s="2"/>
      <c r="FN1696" s="2"/>
    </row>
    <row r="1697" spans="153:170" x14ac:dyDescent="0.35">
      <c r="EW1697" s="48"/>
      <c r="FB1697" s="5"/>
      <c r="FI1697" s="5"/>
      <c r="FJ1697" s="164"/>
      <c r="FL1697" s="2"/>
      <c r="FN1697" s="2"/>
    </row>
    <row r="1698" spans="153:170" x14ac:dyDescent="0.35">
      <c r="EW1698" s="48"/>
      <c r="FB1698" s="5"/>
      <c r="FI1698" s="5"/>
      <c r="FJ1698" s="164"/>
      <c r="FL1698" s="2"/>
      <c r="FN1698" s="2"/>
    </row>
    <row r="1699" spans="153:170" x14ac:dyDescent="0.35">
      <c r="EW1699" s="48"/>
      <c r="FB1699" s="5"/>
      <c r="FI1699" s="5"/>
      <c r="FJ1699" s="164"/>
      <c r="FL1699" s="2"/>
      <c r="FN1699" s="2"/>
    </row>
    <row r="1700" spans="153:170" x14ac:dyDescent="0.35">
      <c r="EW1700" s="48"/>
      <c r="FB1700" s="5"/>
      <c r="FI1700" s="5"/>
      <c r="FJ1700" s="164"/>
      <c r="FL1700" s="2"/>
      <c r="FN1700" s="2"/>
    </row>
    <row r="1701" spans="153:170" x14ac:dyDescent="0.35">
      <c r="EW1701" s="48"/>
      <c r="FB1701" s="5"/>
      <c r="FI1701" s="5"/>
      <c r="FJ1701" s="164"/>
      <c r="FL1701" s="2"/>
      <c r="FN1701" s="2"/>
    </row>
    <row r="1702" spans="153:170" x14ac:dyDescent="0.35">
      <c r="EW1702" s="48"/>
      <c r="FB1702" s="5"/>
      <c r="FI1702" s="5"/>
      <c r="FJ1702" s="164"/>
      <c r="FL1702" s="2"/>
      <c r="FN1702" s="2"/>
    </row>
    <row r="1703" spans="153:170" x14ac:dyDescent="0.35">
      <c r="EW1703" s="48"/>
      <c r="FB1703" s="5"/>
      <c r="FI1703" s="5"/>
      <c r="FJ1703" s="164"/>
      <c r="FL1703" s="2"/>
      <c r="FN1703" s="2"/>
    </row>
    <row r="1704" spans="153:170" x14ac:dyDescent="0.35">
      <c r="EW1704" s="48"/>
      <c r="FB1704" s="5"/>
      <c r="FI1704" s="5"/>
      <c r="FJ1704" s="164"/>
      <c r="FL1704" s="2"/>
      <c r="FN1704" s="2"/>
    </row>
    <row r="1705" spans="153:170" x14ac:dyDescent="0.35">
      <c r="EW1705" s="48"/>
      <c r="FB1705" s="5"/>
      <c r="FI1705" s="5"/>
      <c r="FJ1705" s="164"/>
      <c r="FL1705" s="2"/>
      <c r="FN1705" s="2"/>
    </row>
    <row r="1706" spans="153:170" x14ac:dyDescent="0.35">
      <c r="EW1706" s="48"/>
      <c r="FB1706" s="5"/>
      <c r="FI1706" s="5"/>
      <c r="FJ1706" s="164"/>
      <c r="FL1706" s="2"/>
      <c r="FN1706" s="2"/>
    </row>
    <row r="1707" spans="153:170" x14ac:dyDescent="0.35">
      <c r="EW1707" s="48"/>
      <c r="FB1707" s="5"/>
      <c r="FI1707" s="5"/>
      <c r="FJ1707" s="164"/>
      <c r="FL1707" s="2"/>
      <c r="FN1707" s="2"/>
    </row>
    <row r="1708" spans="153:170" x14ac:dyDescent="0.35">
      <c r="EW1708" s="48"/>
      <c r="FB1708" s="5"/>
      <c r="FI1708" s="5"/>
      <c r="FJ1708" s="164"/>
      <c r="FL1708" s="2"/>
      <c r="FN1708" s="2"/>
    </row>
    <row r="1709" spans="153:170" x14ac:dyDescent="0.35">
      <c r="EW1709" s="48"/>
      <c r="FB1709" s="5"/>
      <c r="FI1709" s="5"/>
      <c r="FJ1709" s="164"/>
      <c r="FL1709" s="2"/>
      <c r="FN1709" s="2"/>
    </row>
    <row r="1710" spans="153:170" x14ac:dyDescent="0.35">
      <c r="EW1710" s="48"/>
      <c r="FB1710" s="5"/>
      <c r="FI1710" s="5"/>
      <c r="FJ1710" s="164"/>
      <c r="FL1710" s="2"/>
      <c r="FN1710" s="2"/>
    </row>
    <row r="1711" spans="153:170" x14ac:dyDescent="0.35">
      <c r="EW1711" s="48"/>
      <c r="FB1711" s="5"/>
      <c r="FI1711" s="5"/>
      <c r="FJ1711" s="164"/>
      <c r="FL1711" s="2"/>
      <c r="FN1711" s="2"/>
    </row>
    <row r="1712" spans="153:170" x14ac:dyDescent="0.35">
      <c r="EW1712" s="48"/>
      <c r="FB1712" s="5"/>
      <c r="FI1712" s="5"/>
      <c r="FJ1712" s="164"/>
      <c r="FL1712" s="2"/>
      <c r="FN1712" s="2"/>
    </row>
    <row r="1713" spans="153:170" x14ac:dyDescent="0.35">
      <c r="EW1713" s="48"/>
      <c r="FB1713" s="5"/>
      <c r="FI1713" s="5"/>
      <c r="FJ1713" s="164"/>
      <c r="FL1713" s="2"/>
      <c r="FN1713" s="2"/>
    </row>
    <row r="1714" spans="153:170" x14ac:dyDescent="0.35">
      <c r="EW1714" s="48"/>
      <c r="FB1714" s="5"/>
      <c r="FI1714" s="5"/>
      <c r="FJ1714" s="164"/>
      <c r="FL1714" s="2"/>
      <c r="FN1714" s="2"/>
    </row>
    <row r="1715" spans="153:170" x14ac:dyDescent="0.35">
      <c r="EW1715" s="48"/>
      <c r="FB1715" s="5"/>
      <c r="FI1715" s="5"/>
      <c r="FJ1715" s="164"/>
      <c r="FL1715" s="2"/>
      <c r="FN1715" s="2"/>
    </row>
    <row r="1716" spans="153:170" x14ac:dyDescent="0.35">
      <c r="EW1716" s="48"/>
      <c r="FB1716" s="5"/>
      <c r="FI1716" s="5"/>
      <c r="FJ1716" s="164"/>
      <c r="FL1716" s="2"/>
      <c r="FN1716" s="2"/>
    </row>
    <row r="1717" spans="153:170" x14ac:dyDescent="0.35">
      <c r="EW1717" s="48"/>
      <c r="FB1717" s="5"/>
      <c r="FI1717" s="5"/>
      <c r="FJ1717" s="164"/>
      <c r="FL1717" s="2"/>
      <c r="FN1717" s="2"/>
    </row>
    <row r="1718" spans="153:170" x14ac:dyDescent="0.35">
      <c r="EW1718" s="48"/>
      <c r="FB1718" s="5"/>
      <c r="FI1718" s="5"/>
      <c r="FJ1718" s="164"/>
      <c r="FL1718" s="2"/>
      <c r="FN1718" s="2"/>
    </row>
    <row r="1719" spans="153:170" x14ac:dyDescent="0.35">
      <c r="EW1719" s="48"/>
      <c r="FB1719" s="5"/>
      <c r="FI1719" s="5"/>
      <c r="FJ1719" s="164"/>
      <c r="FL1719" s="2"/>
      <c r="FN1719" s="2"/>
    </row>
    <row r="1720" spans="153:170" x14ac:dyDescent="0.35">
      <c r="EW1720" s="48"/>
      <c r="FB1720" s="5"/>
      <c r="FI1720" s="5"/>
      <c r="FJ1720" s="164"/>
      <c r="FL1720" s="2"/>
      <c r="FN1720" s="2"/>
    </row>
    <row r="1721" spans="153:170" x14ac:dyDescent="0.35">
      <c r="EW1721" s="48"/>
      <c r="FB1721" s="5"/>
      <c r="FI1721" s="5"/>
      <c r="FJ1721" s="164"/>
      <c r="FL1721" s="2"/>
      <c r="FN1721" s="2"/>
    </row>
    <row r="1722" spans="153:170" x14ac:dyDescent="0.35">
      <c r="EW1722" s="48"/>
      <c r="FB1722" s="5"/>
      <c r="FI1722" s="5"/>
      <c r="FJ1722" s="164"/>
      <c r="FL1722" s="2"/>
      <c r="FN1722" s="2"/>
    </row>
    <row r="1723" spans="153:170" x14ac:dyDescent="0.35">
      <c r="EW1723" s="48"/>
      <c r="FB1723" s="5"/>
      <c r="FI1723" s="5"/>
      <c r="FJ1723" s="164"/>
      <c r="FL1723" s="2"/>
      <c r="FN1723" s="2"/>
    </row>
    <row r="1724" spans="153:170" x14ac:dyDescent="0.35">
      <c r="EW1724" s="48"/>
      <c r="FB1724" s="5"/>
      <c r="FI1724" s="5"/>
      <c r="FJ1724" s="164"/>
      <c r="FL1724" s="2"/>
      <c r="FN1724" s="2"/>
    </row>
    <row r="1725" spans="153:170" x14ac:dyDescent="0.35">
      <c r="EW1725" s="48"/>
      <c r="FB1725" s="5"/>
      <c r="FI1725" s="5"/>
      <c r="FJ1725" s="164"/>
      <c r="FL1725" s="2"/>
      <c r="FN1725" s="2"/>
    </row>
    <row r="1726" spans="153:170" x14ac:dyDescent="0.35">
      <c r="EW1726" s="48"/>
      <c r="FB1726" s="5"/>
      <c r="FI1726" s="5"/>
      <c r="FJ1726" s="164"/>
      <c r="FL1726" s="2"/>
      <c r="FN1726" s="2"/>
    </row>
    <row r="1727" spans="153:170" x14ac:dyDescent="0.35">
      <c r="EW1727" s="48"/>
      <c r="FB1727" s="5"/>
      <c r="FI1727" s="5"/>
      <c r="FJ1727" s="164"/>
      <c r="FL1727" s="2"/>
      <c r="FN1727" s="2"/>
    </row>
    <row r="1728" spans="153:170" x14ac:dyDescent="0.35">
      <c r="EW1728" s="48"/>
      <c r="FB1728" s="5"/>
      <c r="FI1728" s="5"/>
      <c r="FJ1728" s="164"/>
      <c r="FL1728" s="2"/>
      <c r="FN1728" s="2"/>
    </row>
    <row r="1729" spans="153:170" x14ac:dyDescent="0.35">
      <c r="EW1729" s="48"/>
      <c r="FB1729" s="5"/>
      <c r="FI1729" s="5"/>
      <c r="FJ1729" s="164"/>
      <c r="FL1729" s="2"/>
      <c r="FN1729" s="2"/>
    </row>
    <row r="1730" spans="153:170" x14ac:dyDescent="0.35">
      <c r="EW1730" s="48"/>
      <c r="FB1730" s="5"/>
      <c r="FI1730" s="5"/>
      <c r="FJ1730" s="164"/>
      <c r="FL1730" s="2"/>
      <c r="FN1730" s="2"/>
    </row>
    <row r="1731" spans="153:170" x14ac:dyDescent="0.35">
      <c r="EW1731" s="48"/>
      <c r="FB1731" s="5"/>
      <c r="FI1731" s="5"/>
      <c r="FJ1731" s="164"/>
      <c r="FL1731" s="2"/>
      <c r="FN1731" s="2"/>
    </row>
    <row r="1732" spans="153:170" x14ac:dyDescent="0.35">
      <c r="EW1732" s="48"/>
      <c r="FB1732" s="5"/>
      <c r="FI1732" s="5"/>
      <c r="FJ1732" s="164"/>
      <c r="FL1732" s="2"/>
      <c r="FN1732" s="2"/>
    </row>
    <row r="1733" spans="153:170" x14ac:dyDescent="0.35">
      <c r="EW1733" s="48"/>
      <c r="FB1733" s="5"/>
      <c r="FI1733" s="5"/>
      <c r="FJ1733" s="164"/>
      <c r="FL1733" s="2"/>
      <c r="FN1733" s="2"/>
    </row>
    <row r="1734" spans="153:170" x14ac:dyDescent="0.35">
      <c r="EW1734" s="48"/>
      <c r="FB1734" s="5"/>
      <c r="FI1734" s="5"/>
      <c r="FJ1734" s="164"/>
      <c r="FL1734" s="2"/>
      <c r="FN1734" s="2"/>
    </row>
    <row r="1735" spans="153:170" x14ac:dyDescent="0.35">
      <c r="EW1735" s="48"/>
      <c r="FB1735" s="5"/>
      <c r="FI1735" s="5"/>
      <c r="FJ1735" s="164"/>
      <c r="FL1735" s="2"/>
      <c r="FN1735" s="2"/>
    </row>
    <row r="1736" spans="153:170" x14ac:dyDescent="0.35">
      <c r="EW1736" s="48"/>
      <c r="FB1736" s="5"/>
      <c r="FI1736" s="5"/>
      <c r="FJ1736" s="164"/>
      <c r="FL1736" s="2"/>
      <c r="FN1736" s="2"/>
    </row>
    <row r="1737" spans="153:170" x14ac:dyDescent="0.35">
      <c r="EW1737" s="48"/>
      <c r="FB1737" s="5"/>
      <c r="FI1737" s="5"/>
      <c r="FJ1737" s="164"/>
      <c r="FL1737" s="2"/>
      <c r="FN1737" s="2"/>
    </row>
    <row r="1738" spans="153:170" x14ac:dyDescent="0.35">
      <c r="EW1738" s="48"/>
      <c r="FB1738" s="5"/>
      <c r="FI1738" s="5"/>
      <c r="FJ1738" s="164"/>
      <c r="FL1738" s="2"/>
      <c r="FN1738" s="2"/>
    </row>
    <row r="1739" spans="153:170" x14ac:dyDescent="0.35">
      <c r="EW1739" s="48"/>
      <c r="FB1739" s="5"/>
      <c r="FI1739" s="5"/>
      <c r="FJ1739" s="164"/>
      <c r="FL1739" s="2"/>
      <c r="FN1739" s="2"/>
    </row>
    <row r="1740" spans="153:170" x14ac:dyDescent="0.35">
      <c r="EW1740" s="48"/>
      <c r="FB1740" s="5"/>
      <c r="FI1740" s="5"/>
      <c r="FJ1740" s="164"/>
      <c r="FL1740" s="2"/>
      <c r="FN1740" s="2"/>
    </row>
    <row r="1741" spans="153:170" x14ac:dyDescent="0.35">
      <c r="EW1741" s="48"/>
      <c r="FB1741" s="5"/>
      <c r="FI1741" s="5"/>
      <c r="FJ1741" s="164"/>
      <c r="FL1741" s="2"/>
      <c r="FN1741" s="2"/>
    </row>
    <row r="1742" spans="153:170" x14ac:dyDescent="0.35">
      <c r="EW1742" s="48"/>
      <c r="FB1742" s="5"/>
      <c r="FI1742" s="5"/>
      <c r="FJ1742" s="164"/>
      <c r="FL1742" s="2"/>
      <c r="FN1742" s="2"/>
    </row>
    <row r="1743" spans="153:170" x14ac:dyDescent="0.35">
      <c r="EW1743" s="48"/>
      <c r="FB1743" s="5"/>
      <c r="FI1743" s="5"/>
      <c r="FJ1743" s="164"/>
      <c r="FL1743" s="2"/>
      <c r="FN1743" s="2"/>
    </row>
    <row r="1744" spans="153:170" x14ac:dyDescent="0.35">
      <c r="EW1744" s="48"/>
      <c r="FB1744" s="5"/>
      <c r="FI1744" s="5"/>
      <c r="FJ1744" s="164"/>
      <c r="FL1744" s="2"/>
      <c r="FN1744" s="2"/>
    </row>
    <row r="1745" spans="153:170" x14ac:dyDescent="0.35">
      <c r="EW1745" s="48"/>
      <c r="FB1745" s="5"/>
      <c r="FI1745" s="5"/>
      <c r="FJ1745" s="164"/>
      <c r="FL1745" s="2"/>
      <c r="FN1745" s="2"/>
    </row>
    <row r="1746" spans="153:170" x14ac:dyDescent="0.35">
      <c r="EW1746" s="48"/>
      <c r="FB1746" s="5"/>
      <c r="FI1746" s="5"/>
      <c r="FJ1746" s="164"/>
      <c r="FL1746" s="2"/>
      <c r="FN1746" s="2"/>
    </row>
    <row r="1747" spans="153:170" x14ac:dyDescent="0.35">
      <c r="EW1747" s="48"/>
      <c r="FB1747" s="5"/>
      <c r="FI1747" s="5"/>
      <c r="FJ1747" s="164"/>
      <c r="FL1747" s="2"/>
      <c r="FN1747" s="2"/>
    </row>
    <row r="1748" spans="153:170" x14ac:dyDescent="0.35">
      <c r="EW1748" s="48"/>
      <c r="FB1748" s="5"/>
      <c r="FI1748" s="5"/>
      <c r="FJ1748" s="164"/>
      <c r="FL1748" s="2"/>
      <c r="FN1748" s="2"/>
    </row>
    <row r="1749" spans="153:170" x14ac:dyDescent="0.35">
      <c r="EW1749" s="48"/>
      <c r="FB1749" s="5"/>
      <c r="FI1749" s="5"/>
      <c r="FJ1749" s="164"/>
      <c r="FL1749" s="2"/>
      <c r="FN1749" s="2"/>
    </row>
    <row r="1750" spans="153:170" x14ac:dyDescent="0.35">
      <c r="EW1750" s="48"/>
      <c r="FB1750" s="5"/>
      <c r="FI1750" s="5"/>
      <c r="FJ1750" s="164"/>
      <c r="FL1750" s="2"/>
      <c r="FN1750" s="2"/>
    </row>
    <row r="1751" spans="153:170" x14ac:dyDescent="0.35">
      <c r="EW1751" s="48"/>
      <c r="FB1751" s="5"/>
      <c r="FI1751" s="5"/>
      <c r="FJ1751" s="164"/>
      <c r="FL1751" s="2"/>
      <c r="FN1751" s="2"/>
    </row>
    <row r="1752" spans="153:170" x14ac:dyDescent="0.35">
      <c r="EW1752" s="48"/>
      <c r="FB1752" s="5"/>
      <c r="FI1752" s="5"/>
      <c r="FJ1752" s="164"/>
      <c r="FL1752" s="2"/>
      <c r="FN1752" s="2"/>
    </row>
    <row r="1753" spans="153:170" x14ac:dyDescent="0.35">
      <c r="EW1753" s="48"/>
      <c r="FB1753" s="5"/>
      <c r="FI1753" s="5"/>
      <c r="FJ1753" s="164"/>
      <c r="FL1753" s="2"/>
      <c r="FN1753" s="2"/>
    </row>
    <row r="1754" spans="153:170" x14ac:dyDescent="0.35">
      <c r="EW1754" s="48"/>
      <c r="FB1754" s="5"/>
      <c r="FI1754" s="5"/>
      <c r="FJ1754" s="164"/>
      <c r="FL1754" s="2"/>
      <c r="FN1754" s="2"/>
    </row>
    <row r="1755" spans="153:170" x14ac:dyDescent="0.35">
      <c r="EW1755" s="48"/>
      <c r="FB1755" s="5"/>
      <c r="FI1755" s="5"/>
      <c r="FJ1755" s="164"/>
      <c r="FL1755" s="2"/>
      <c r="FN1755" s="2"/>
    </row>
    <row r="1756" spans="153:170" x14ac:dyDescent="0.35">
      <c r="EW1756" s="48"/>
      <c r="FB1756" s="5"/>
      <c r="FI1756" s="5"/>
      <c r="FJ1756" s="164"/>
      <c r="FL1756" s="2"/>
      <c r="FN1756" s="2"/>
    </row>
    <row r="1757" spans="153:170" x14ac:dyDescent="0.35">
      <c r="EW1757" s="48"/>
      <c r="FB1757" s="5"/>
      <c r="FI1757" s="5"/>
      <c r="FJ1757" s="164"/>
      <c r="FL1757" s="2"/>
      <c r="FN1757" s="2"/>
    </row>
    <row r="1758" spans="153:170" x14ac:dyDescent="0.35">
      <c r="EW1758" s="48"/>
      <c r="FB1758" s="5"/>
      <c r="FI1758" s="5"/>
      <c r="FJ1758" s="164"/>
      <c r="FL1758" s="2"/>
      <c r="FN1758" s="2"/>
    </row>
    <row r="1759" spans="153:170" x14ac:dyDescent="0.35">
      <c r="EW1759" s="48"/>
      <c r="FB1759" s="5"/>
      <c r="FI1759" s="5"/>
      <c r="FJ1759" s="164"/>
      <c r="FL1759" s="2"/>
      <c r="FN1759" s="2"/>
    </row>
    <row r="1760" spans="153:170" x14ac:dyDescent="0.35">
      <c r="EW1760" s="48"/>
      <c r="FB1760" s="5"/>
      <c r="FI1760" s="5"/>
      <c r="FJ1760" s="164"/>
      <c r="FL1760" s="2"/>
      <c r="FN1760" s="2"/>
    </row>
    <row r="1761" spans="153:170" x14ac:dyDescent="0.35">
      <c r="EW1761" s="48"/>
      <c r="FB1761" s="5"/>
      <c r="FI1761" s="5"/>
      <c r="FJ1761" s="164"/>
      <c r="FL1761" s="2"/>
      <c r="FN1761" s="2"/>
    </row>
    <row r="1762" spans="153:170" x14ac:dyDescent="0.35">
      <c r="EW1762" s="48"/>
      <c r="FB1762" s="5"/>
      <c r="FI1762" s="5"/>
      <c r="FJ1762" s="164"/>
      <c r="FL1762" s="2"/>
      <c r="FN1762" s="2"/>
    </row>
    <row r="1763" spans="153:170" x14ac:dyDescent="0.35">
      <c r="EW1763" s="48"/>
      <c r="FB1763" s="5"/>
      <c r="FI1763" s="5"/>
      <c r="FJ1763" s="164"/>
      <c r="FL1763" s="2"/>
      <c r="FN1763" s="2"/>
    </row>
    <row r="1764" spans="153:170" x14ac:dyDescent="0.35">
      <c r="EW1764" s="48"/>
      <c r="FB1764" s="5"/>
      <c r="FI1764" s="5"/>
      <c r="FJ1764" s="164"/>
      <c r="FL1764" s="2"/>
      <c r="FN1764" s="2"/>
    </row>
    <row r="1765" spans="153:170" x14ac:dyDescent="0.35">
      <c r="EW1765" s="48"/>
      <c r="FB1765" s="5"/>
      <c r="FI1765" s="5"/>
      <c r="FJ1765" s="164"/>
      <c r="FL1765" s="2"/>
      <c r="FN1765" s="2"/>
    </row>
    <row r="1766" spans="153:170" x14ac:dyDescent="0.35">
      <c r="EW1766" s="48"/>
      <c r="FB1766" s="5"/>
      <c r="FI1766" s="5"/>
      <c r="FJ1766" s="164"/>
      <c r="FL1766" s="2"/>
      <c r="FN1766" s="2"/>
    </row>
    <row r="1767" spans="153:170" x14ac:dyDescent="0.35">
      <c r="EW1767" s="48"/>
      <c r="FB1767" s="5"/>
      <c r="FI1767" s="5"/>
      <c r="FJ1767" s="164"/>
      <c r="FL1767" s="2"/>
      <c r="FN1767" s="2"/>
    </row>
    <row r="1768" spans="153:170" x14ac:dyDescent="0.35">
      <c r="EW1768" s="48"/>
      <c r="FB1768" s="5"/>
      <c r="FI1768" s="5"/>
      <c r="FJ1768" s="164"/>
      <c r="FL1768" s="2"/>
      <c r="FN1768" s="2"/>
    </row>
    <row r="1769" spans="153:170" x14ac:dyDescent="0.35">
      <c r="EW1769" s="48"/>
      <c r="FB1769" s="5"/>
      <c r="FI1769" s="5"/>
      <c r="FJ1769" s="164"/>
      <c r="FL1769" s="2"/>
      <c r="FN1769" s="2"/>
    </row>
    <row r="1770" spans="153:170" x14ac:dyDescent="0.35">
      <c r="EW1770" s="48"/>
      <c r="FB1770" s="5"/>
      <c r="FI1770" s="5"/>
      <c r="FJ1770" s="164"/>
      <c r="FL1770" s="2"/>
      <c r="FN1770" s="2"/>
    </row>
    <row r="1771" spans="153:170" x14ac:dyDescent="0.35">
      <c r="EW1771" s="48"/>
      <c r="FB1771" s="5"/>
      <c r="FI1771" s="5"/>
      <c r="FJ1771" s="164"/>
      <c r="FL1771" s="2"/>
      <c r="FN1771" s="2"/>
    </row>
    <row r="1772" spans="153:170" x14ac:dyDescent="0.35">
      <c r="EW1772" s="48"/>
      <c r="FB1772" s="5"/>
      <c r="FI1772" s="5"/>
      <c r="FJ1772" s="164"/>
      <c r="FL1772" s="2"/>
      <c r="FN1772" s="2"/>
    </row>
    <row r="1773" spans="153:170" x14ac:dyDescent="0.35">
      <c r="EW1773" s="48"/>
      <c r="FB1773" s="5"/>
      <c r="FI1773" s="5"/>
      <c r="FJ1773" s="164"/>
      <c r="FL1773" s="2"/>
      <c r="FN1773" s="2"/>
    </row>
    <row r="1774" spans="153:170" x14ac:dyDescent="0.35">
      <c r="EW1774" s="48"/>
      <c r="FB1774" s="5"/>
      <c r="FI1774" s="5"/>
      <c r="FJ1774" s="164"/>
      <c r="FL1774" s="2"/>
      <c r="FN1774" s="2"/>
    </row>
    <row r="1775" spans="153:170" x14ac:dyDescent="0.35">
      <c r="EW1775" s="48"/>
      <c r="FB1775" s="5"/>
      <c r="FI1775" s="5"/>
      <c r="FJ1775" s="164"/>
      <c r="FL1775" s="2"/>
      <c r="FN1775" s="2"/>
    </row>
    <row r="1776" spans="153:170" x14ac:dyDescent="0.35">
      <c r="EW1776" s="48"/>
      <c r="FB1776" s="5"/>
      <c r="FI1776" s="5"/>
      <c r="FJ1776" s="164"/>
      <c r="FL1776" s="2"/>
      <c r="FN1776" s="2"/>
    </row>
    <row r="1777" spans="153:170" x14ac:dyDescent="0.35">
      <c r="EW1777" s="48"/>
      <c r="FB1777" s="5"/>
      <c r="FI1777" s="5"/>
      <c r="FJ1777" s="164"/>
      <c r="FL1777" s="2"/>
      <c r="FN1777" s="2"/>
    </row>
    <row r="1778" spans="153:170" x14ac:dyDescent="0.35">
      <c r="EW1778" s="48"/>
      <c r="FB1778" s="5"/>
      <c r="FI1778" s="5"/>
      <c r="FJ1778" s="164"/>
      <c r="FL1778" s="2"/>
      <c r="FN1778" s="2"/>
    </row>
    <row r="1779" spans="153:170" x14ac:dyDescent="0.35">
      <c r="EW1779" s="48"/>
      <c r="FB1779" s="5"/>
      <c r="FI1779" s="5"/>
      <c r="FJ1779" s="164"/>
      <c r="FL1779" s="2"/>
      <c r="FN1779" s="2"/>
    </row>
    <row r="1780" spans="153:170" x14ac:dyDescent="0.35">
      <c r="EW1780" s="48"/>
      <c r="FB1780" s="5"/>
      <c r="FI1780" s="5"/>
      <c r="FJ1780" s="164"/>
      <c r="FL1780" s="2"/>
      <c r="FN1780" s="2"/>
    </row>
    <row r="1781" spans="153:170" x14ac:dyDescent="0.35">
      <c r="EW1781" s="48"/>
      <c r="FB1781" s="5"/>
      <c r="FI1781" s="5"/>
      <c r="FJ1781" s="164"/>
      <c r="FL1781" s="2"/>
      <c r="FN1781" s="2"/>
    </row>
    <row r="1782" spans="153:170" x14ac:dyDescent="0.35">
      <c r="EW1782" s="48"/>
      <c r="FB1782" s="5"/>
      <c r="FI1782" s="5"/>
      <c r="FJ1782" s="164"/>
      <c r="FL1782" s="2"/>
      <c r="FN1782" s="2"/>
    </row>
    <row r="1783" spans="153:170" x14ac:dyDescent="0.35">
      <c r="EW1783" s="48"/>
      <c r="FB1783" s="5"/>
      <c r="FI1783" s="5"/>
      <c r="FJ1783" s="164"/>
      <c r="FL1783" s="2"/>
      <c r="FN1783" s="2"/>
    </row>
    <row r="1784" spans="153:170" x14ac:dyDescent="0.35">
      <c r="EW1784" s="48"/>
      <c r="FB1784" s="5"/>
      <c r="FI1784" s="5"/>
      <c r="FJ1784" s="164"/>
      <c r="FL1784" s="2"/>
      <c r="FN1784" s="2"/>
    </row>
    <row r="1785" spans="153:170" x14ac:dyDescent="0.35">
      <c r="EW1785" s="48"/>
      <c r="FB1785" s="5"/>
      <c r="FI1785" s="5"/>
      <c r="FJ1785" s="164"/>
      <c r="FL1785" s="2"/>
      <c r="FN1785" s="2"/>
    </row>
    <row r="1786" spans="153:170" x14ac:dyDescent="0.35">
      <c r="EW1786" s="48"/>
      <c r="FB1786" s="5"/>
      <c r="FI1786" s="5"/>
      <c r="FJ1786" s="164"/>
      <c r="FL1786" s="2"/>
      <c r="FN1786" s="2"/>
    </row>
    <row r="1787" spans="153:170" x14ac:dyDescent="0.35">
      <c r="EW1787" s="48"/>
      <c r="FB1787" s="5"/>
      <c r="FI1787" s="5"/>
      <c r="FJ1787" s="164"/>
      <c r="FL1787" s="2"/>
      <c r="FN1787" s="2"/>
    </row>
    <row r="1788" spans="153:170" x14ac:dyDescent="0.35">
      <c r="EW1788" s="48"/>
      <c r="FB1788" s="5"/>
      <c r="FI1788" s="5"/>
      <c r="FJ1788" s="164"/>
      <c r="FL1788" s="2"/>
      <c r="FN1788" s="2"/>
    </row>
    <row r="1789" spans="153:170" x14ac:dyDescent="0.35">
      <c r="EW1789" s="48"/>
      <c r="FB1789" s="5"/>
      <c r="FI1789" s="5"/>
      <c r="FJ1789" s="164"/>
      <c r="FL1789" s="2"/>
      <c r="FN1789" s="2"/>
    </row>
    <row r="1790" spans="153:170" x14ac:dyDescent="0.35">
      <c r="EW1790" s="48"/>
      <c r="FB1790" s="5"/>
      <c r="FI1790" s="5"/>
      <c r="FJ1790" s="164"/>
      <c r="FL1790" s="2"/>
      <c r="FN1790" s="2"/>
    </row>
    <row r="1791" spans="153:170" x14ac:dyDescent="0.35">
      <c r="EW1791" s="48"/>
      <c r="FB1791" s="5"/>
      <c r="FI1791" s="5"/>
      <c r="FJ1791" s="164"/>
      <c r="FL1791" s="2"/>
      <c r="FN1791" s="2"/>
    </row>
    <row r="1792" spans="153:170" x14ac:dyDescent="0.35">
      <c r="EW1792" s="48"/>
      <c r="FB1792" s="5"/>
      <c r="FI1792" s="5"/>
      <c r="FJ1792" s="164"/>
      <c r="FL1792" s="2"/>
      <c r="FN1792" s="2"/>
    </row>
    <row r="1793" spans="153:170" x14ac:dyDescent="0.35">
      <c r="EW1793" s="48"/>
      <c r="FB1793" s="5"/>
      <c r="FI1793" s="5"/>
      <c r="FJ1793" s="164"/>
      <c r="FL1793" s="2"/>
      <c r="FN1793" s="2"/>
    </row>
    <row r="1794" spans="153:170" x14ac:dyDescent="0.35">
      <c r="EW1794" s="48"/>
      <c r="FB1794" s="5"/>
      <c r="FI1794" s="5"/>
      <c r="FJ1794" s="164"/>
      <c r="FL1794" s="2"/>
      <c r="FN1794" s="2"/>
    </row>
    <row r="1795" spans="153:170" x14ac:dyDescent="0.35">
      <c r="EW1795" s="48"/>
      <c r="FB1795" s="5"/>
      <c r="FI1795" s="5"/>
      <c r="FJ1795" s="164"/>
      <c r="FL1795" s="2"/>
      <c r="FN1795" s="2"/>
    </row>
    <row r="1796" spans="153:170" x14ac:dyDescent="0.35">
      <c r="EW1796" s="48"/>
      <c r="FB1796" s="5"/>
      <c r="FI1796" s="5"/>
      <c r="FJ1796" s="164"/>
      <c r="FL1796" s="2"/>
      <c r="FN1796" s="2"/>
    </row>
    <row r="1797" spans="153:170" x14ac:dyDescent="0.35">
      <c r="EW1797" s="48"/>
      <c r="FB1797" s="5"/>
      <c r="FI1797" s="5"/>
      <c r="FJ1797" s="164"/>
      <c r="FL1797" s="2"/>
      <c r="FN1797" s="2"/>
    </row>
    <row r="1798" spans="153:170" x14ac:dyDescent="0.35">
      <c r="EW1798" s="48"/>
      <c r="FB1798" s="5"/>
      <c r="FI1798" s="5"/>
      <c r="FJ1798" s="164"/>
      <c r="FL1798" s="2"/>
      <c r="FN1798" s="2"/>
    </row>
    <row r="1799" spans="153:170" x14ac:dyDescent="0.35">
      <c r="EW1799" s="48"/>
      <c r="FB1799" s="5"/>
      <c r="FI1799" s="5"/>
      <c r="FJ1799" s="164"/>
      <c r="FL1799" s="2"/>
      <c r="FN1799" s="2"/>
    </row>
    <row r="1800" spans="153:170" x14ac:dyDescent="0.35">
      <c r="EW1800" s="48"/>
      <c r="FB1800" s="5"/>
      <c r="FI1800" s="5"/>
      <c r="FJ1800" s="164"/>
      <c r="FL1800" s="2"/>
      <c r="FN1800" s="2"/>
    </row>
    <row r="1801" spans="153:170" x14ac:dyDescent="0.35">
      <c r="EW1801" s="48"/>
      <c r="FB1801" s="5"/>
      <c r="FI1801" s="5"/>
      <c r="FJ1801" s="164"/>
      <c r="FL1801" s="2"/>
      <c r="FN1801" s="2"/>
    </row>
    <row r="1802" spans="153:170" x14ac:dyDescent="0.35">
      <c r="EW1802" s="48"/>
      <c r="FB1802" s="5"/>
      <c r="FI1802" s="5"/>
      <c r="FJ1802" s="164"/>
      <c r="FL1802" s="2"/>
      <c r="FN1802" s="2"/>
    </row>
    <row r="1803" spans="153:170" x14ac:dyDescent="0.35">
      <c r="EW1803" s="48"/>
      <c r="FB1803" s="5"/>
      <c r="FI1803" s="5"/>
      <c r="FJ1803" s="164"/>
      <c r="FL1803" s="2"/>
      <c r="FN1803" s="2"/>
    </row>
    <row r="1804" spans="153:170" x14ac:dyDescent="0.35">
      <c r="EW1804" s="48"/>
      <c r="FB1804" s="5"/>
      <c r="FI1804" s="5"/>
      <c r="FJ1804" s="164"/>
      <c r="FL1804" s="2"/>
      <c r="FN1804" s="2"/>
    </row>
    <row r="1805" spans="153:170" x14ac:dyDescent="0.35">
      <c r="EW1805" s="48"/>
      <c r="FB1805" s="5"/>
      <c r="FI1805" s="5"/>
      <c r="FJ1805" s="164"/>
      <c r="FL1805" s="2"/>
      <c r="FN1805" s="2"/>
    </row>
    <row r="1806" spans="153:170" x14ac:dyDescent="0.35">
      <c r="EW1806" s="48"/>
      <c r="FB1806" s="5"/>
      <c r="FI1806" s="5"/>
      <c r="FJ1806" s="164"/>
      <c r="FL1806" s="2"/>
      <c r="FN1806" s="2"/>
    </row>
    <row r="1807" spans="153:170" x14ac:dyDescent="0.35">
      <c r="EW1807" s="48"/>
      <c r="FB1807" s="5"/>
      <c r="FI1807" s="5"/>
      <c r="FJ1807" s="164"/>
      <c r="FL1807" s="2"/>
      <c r="FN1807" s="2"/>
    </row>
    <row r="1808" spans="153:170" x14ac:dyDescent="0.35">
      <c r="EW1808" s="48"/>
      <c r="FB1808" s="5"/>
      <c r="FI1808" s="5"/>
      <c r="FJ1808" s="164"/>
      <c r="FL1808" s="2"/>
      <c r="FN1808" s="2"/>
    </row>
    <row r="1809" spans="153:170" x14ac:dyDescent="0.35">
      <c r="EW1809" s="48"/>
      <c r="FB1809" s="5"/>
      <c r="FI1809" s="5"/>
      <c r="FJ1809" s="164"/>
      <c r="FL1809" s="2"/>
      <c r="FN1809" s="2"/>
    </row>
    <row r="1810" spans="153:170" x14ac:dyDescent="0.35">
      <c r="EW1810" s="48"/>
      <c r="FB1810" s="5"/>
      <c r="FI1810" s="5"/>
      <c r="FJ1810" s="164"/>
      <c r="FL1810" s="2"/>
      <c r="FN1810" s="2"/>
    </row>
    <row r="1811" spans="153:170" x14ac:dyDescent="0.35">
      <c r="EW1811" s="48"/>
      <c r="FB1811" s="5"/>
      <c r="FI1811" s="5"/>
      <c r="FJ1811" s="164"/>
      <c r="FL1811" s="2"/>
      <c r="FN1811" s="2"/>
    </row>
    <row r="1812" spans="153:170" x14ac:dyDescent="0.35">
      <c r="EW1812" s="48"/>
      <c r="FB1812" s="5"/>
      <c r="FI1812" s="5"/>
      <c r="FJ1812" s="164"/>
      <c r="FL1812" s="2"/>
      <c r="FN1812" s="2"/>
    </row>
    <row r="1813" spans="153:170" x14ac:dyDescent="0.35">
      <c r="EW1813" s="48"/>
      <c r="FB1813" s="5"/>
      <c r="FI1813" s="5"/>
      <c r="FJ1813" s="164"/>
      <c r="FL1813" s="2"/>
      <c r="FN1813" s="2"/>
    </row>
    <row r="1814" spans="153:170" x14ac:dyDescent="0.35">
      <c r="EW1814" s="48"/>
      <c r="FB1814" s="5"/>
      <c r="FI1814" s="5"/>
      <c r="FJ1814" s="164"/>
      <c r="FL1814" s="2"/>
      <c r="FN1814" s="2"/>
    </row>
    <row r="1815" spans="153:170" x14ac:dyDescent="0.35">
      <c r="EW1815" s="48"/>
      <c r="FB1815" s="5"/>
      <c r="FI1815" s="5"/>
      <c r="FJ1815" s="164"/>
      <c r="FL1815" s="2"/>
      <c r="FN1815" s="2"/>
    </row>
    <row r="1816" spans="153:170" x14ac:dyDescent="0.35">
      <c r="EW1816" s="48"/>
      <c r="FB1816" s="5"/>
      <c r="FI1816" s="5"/>
      <c r="FJ1816" s="164"/>
      <c r="FL1816" s="2"/>
      <c r="FN1816" s="2"/>
    </row>
    <row r="1817" spans="153:170" x14ac:dyDescent="0.35">
      <c r="EW1817" s="48"/>
      <c r="FB1817" s="5"/>
      <c r="FI1817" s="5"/>
      <c r="FJ1817" s="164"/>
      <c r="FL1817" s="2"/>
      <c r="FN1817" s="2"/>
    </row>
    <row r="1818" spans="153:170" x14ac:dyDescent="0.35">
      <c r="EW1818" s="48"/>
      <c r="FB1818" s="5"/>
      <c r="FI1818" s="5"/>
      <c r="FJ1818" s="164"/>
      <c r="FL1818" s="2"/>
      <c r="FN1818" s="2"/>
    </row>
    <row r="1819" spans="153:170" x14ac:dyDescent="0.35">
      <c r="EW1819" s="48"/>
      <c r="FB1819" s="5"/>
      <c r="FI1819" s="5"/>
      <c r="FJ1819" s="164"/>
      <c r="FL1819" s="2"/>
      <c r="FN1819" s="2"/>
    </row>
    <row r="1820" spans="153:170" x14ac:dyDescent="0.35">
      <c r="EW1820" s="48"/>
      <c r="FB1820" s="5"/>
      <c r="FI1820" s="5"/>
      <c r="FJ1820" s="164"/>
      <c r="FL1820" s="2"/>
      <c r="FN1820" s="2"/>
    </row>
    <row r="1821" spans="153:170" x14ac:dyDescent="0.35">
      <c r="EW1821" s="48"/>
      <c r="FB1821" s="5"/>
      <c r="FI1821" s="5"/>
      <c r="FJ1821" s="164"/>
      <c r="FL1821" s="2"/>
      <c r="FN1821" s="2"/>
    </row>
    <row r="1822" spans="153:170" x14ac:dyDescent="0.35">
      <c r="EW1822" s="48"/>
      <c r="FB1822" s="5"/>
      <c r="FI1822" s="5"/>
      <c r="FJ1822" s="164"/>
      <c r="FL1822" s="2"/>
      <c r="FN1822" s="2"/>
    </row>
    <row r="1823" spans="153:170" x14ac:dyDescent="0.35">
      <c r="EW1823" s="48"/>
      <c r="FB1823" s="5"/>
      <c r="FI1823" s="5"/>
      <c r="FJ1823" s="164"/>
      <c r="FL1823" s="2"/>
      <c r="FN1823" s="2"/>
    </row>
    <row r="1824" spans="153:170" x14ac:dyDescent="0.35">
      <c r="EW1824" s="48"/>
      <c r="FB1824" s="5"/>
      <c r="FI1824" s="5"/>
      <c r="FJ1824" s="164"/>
      <c r="FL1824" s="2"/>
      <c r="FN1824" s="2"/>
    </row>
    <row r="1825" spans="153:170" x14ac:dyDescent="0.35">
      <c r="EW1825" s="48"/>
      <c r="FB1825" s="5"/>
      <c r="FI1825" s="5"/>
      <c r="FJ1825" s="164"/>
      <c r="FL1825" s="2"/>
      <c r="FN1825" s="2"/>
    </row>
    <row r="1826" spans="153:170" x14ac:dyDescent="0.35">
      <c r="EW1826" s="48"/>
      <c r="FB1826" s="5"/>
      <c r="FI1826" s="5"/>
      <c r="FJ1826" s="164"/>
      <c r="FL1826" s="2"/>
      <c r="FN1826" s="2"/>
    </row>
    <row r="1827" spans="153:170" x14ac:dyDescent="0.35">
      <c r="EW1827" s="48"/>
      <c r="FB1827" s="5"/>
      <c r="FI1827" s="5"/>
      <c r="FJ1827" s="164"/>
      <c r="FL1827" s="2"/>
      <c r="FN1827" s="2"/>
    </row>
    <row r="1828" spans="153:170" x14ac:dyDescent="0.35">
      <c r="EW1828" s="48"/>
      <c r="FB1828" s="5"/>
      <c r="FI1828" s="5"/>
      <c r="FJ1828" s="164"/>
      <c r="FL1828" s="2"/>
      <c r="FN1828" s="2"/>
    </row>
    <row r="1829" spans="153:170" x14ac:dyDescent="0.35">
      <c r="EW1829" s="48"/>
      <c r="FB1829" s="5"/>
      <c r="FI1829" s="5"/>
      <c r="FJ1829" s="164"/>
      <c r="FL1829" s="2"/>
      <c r="FN1829" s="2"/>
    </row>
    <row r="1830" spans="153:170" x14ac:dyDescent="0.35">
      <c r="EW1830" s="48"/>
      <c r="FB1830" s="5"/>
      <c r="FI1830" s="5"/>
      <c r="FJ1830" s="164"/>
      <c r="FL1830" s="2"/>
      <c r="FN1830" s="2"/>
    </row>
    <row r="1831" spans="153:170" x14ac:dyDescent="0.35">
      <c r="EW1831" s="48"/>
      <c r="FB1831" s="5"/>
      <c r="FI1831" s="5"/>
      <c r="FJ1831" s="164"/>
      <c r="FL1831" s="2"/>
      <c r="FN1831" s="2"/>
    </row>
    <row r="1832" spans="153:170" x14ac:dyDescent="0.35">
      <c r="EW1832" s="48"/>
      <c r="FB1832" s="5"/>
      <c r="FI1832" s="5"/>
      <c r="FJ1832" s="164"/>
      <c r="FL1832" s="2"/>
      <c r="FN1832" s="2"/>
    </row>
    <row r="1833" spans="153:170" x14ac:dyDescent="0.35">
      <c r="EW1833" s="48"/>
      <c r="FB1833" s="5"/>
      <c r="FI1833" s="5"/>
      <c r="FJ1833" s="164"/>
      <c r="FL1833" s="2"/>
      <c r="FN1833" s="2"/>
    </row>
    <row r="1834" spans="153:170" x14ac:dyDescent="0.35">
      <c r="EW1834" s="48"/>
      <c r="FB1834" s="5"/>
      <c r="FI1834" s="5"/>
      <c r="FJ1834" s="164"/>
      <c r="FL1834" s="2"/>
      <c r="FN1834" s="2"/>
    </row>
    <row r="1835" spans="153:170" x14ac:dyDescent="0.35">
      <c r="EW1835" s="48"/>
      <c r="FB1835" s="5"/>
      <c r="FI1835" s="5"/>
      <c r="FJ1835" s="164"/>
      <c r="FL1835" s="2"/>
      <c r="FN1835" s="2"/>
    </row>
    <row r="1836" spans="153:170" x14ac:dyDescent="0.35">
      <c r="EW1836" s="48"/>
      <c r="FB1836" s="5"/>
      <c r="FI1836" s="5"/>
      <c r="FJ1836" s="164"/>
      <c r="FL1836" s="2"/>
      <c r="FN1836" s="2"/>
    </row>
    <row r="1837" spans="153:170" x14ac:dyDescent="0.35">
      <c r="EW1837" s="48"/>
      <c r="FB1837" s="5"/>
      <c r="FI1837" s="5"/>
      <c r="FJ1837" s="164"/>
      <c r="FL1837" s="2"/>
      <c r="FN1837" s="2"/>
    </row>
    <row r="1838" spans="153:170" x14ac:dyDescent="0.35">
      <c r="EW1838" s="48"/>
      <c r="FB1838" s="5"/>
      <c r="FI1838" s="5"/>
      <c r="FJ1838" s="164"/>
      <c r="FL1838" s="2"/>
      <c r="FN1838" s="2"/>
    </row>
    <row r="1839" spans="153:170" x14ac:dyDescent="0.35">
      <c r="EW1839" s="48"/>
      <c r="FB1839" s="5"/>
      <c r="FI1839" s="5"/>
      <c r="FJ1839" s="164"/>
      <c r="FL1839" s="2"/>
      <c r="FN1839" s="2"/>
    </row>
    <row r="1840" spans="153:170" x14ac:dyDescent="0.35">
      <c r="EW1840" s="48"/>
      <c r="FB1840" s="5"/>
      <c r="FI1840" s="5"/>
      <c r="FJ1840" s="164"/>
      <c r="FL1840" s="2"/>
      <c r="FN1840" s="2"/>
    </row>
    <row r="1841" spans="153:170" x14ac:dyDescent="0.35">
      <c r="EW1841" s="48"/>
      <c r="FB1841" s="5"/>
      <c r="FI1841" s="5"/>
      <c r="FJ1841" s="164"/>
      <c r="FL1841" s="2"/>
      <c r="FN1841" s="2"/>
    </row>
    <row r="1842" spans="153:170" x14ac:dyDescent="0.35">
      <c r="EW1842" s="48"/>
      <c r="FB1842" s="5"/>
      <c r="FI1842" s="5"/>
      <c r="FJ1842" s="164"/>
      <c r="FL1842" s="2"/>
      <c r="FN1842" s="2"/>
    </row>
    <row r="1843" spans="153:170" x14ac:dyDescent="0.35">
      <c r="EW1843" s="48"/>
      <c r="FB1843" s="5"/>
      <c r="FI1843" s="5"/>
      <c r="FJ1843" s="164"/>
      <c r="FL1843" s="2"/>
      <c r="FN1843" s="2"/>
    </row>
    <row r="1844" spans="153:170" x14ac:dyDescent="0.35">
      <c r="EW1844" s="48"/>
      <c r="FB1844" s="5"/>
      <c r="FI1844" s="5"/>
      <c r="FJ1844" s="164"/>
      <c r="FL1844" s="2"/>
      <c r="FN1844" s="2"/>
    </row>
    <row r="1845" spans="153:170" x14ac:dyDescent="0.35">
      <c r="EW1845" s="48"/>
      <c r="FB1845" s="5"/>
      <c r="FI1845" s="5"/>
      <c r="FJ1845" s="164"/>
      <c r="FL1845" s="2"/>
      <c r="FN1845" s="2"/>
    </row>
    <row r="1846" spans="153:170" x14ac:dyDescent="0.35">
      <c r="EW1846" s="48"/>
      <c r="FB1846" s="5"/>
      <c r="FI1846" s="5"/>
      <c r="FJ1846" s="164"/>
      <c r="FL1846" s="2"/>
      <c r="FN1846" s="2"/>
    </row>
    <row r="1847" spans="153:170" x14ac:dyDescent="0.35">
      <c r="EW1847" s="48"/>
      <c r="FB1847" s="5"/>
      <c r="FI1847" s="5"/>
      <c r="FJ1847" s="164"/>
      <c r="FL1847" s="2"/>
      <c r="FN1847" s="2"/>
    </row>
    <row r="1848" spans="153:170" x14ac:dyDescent="0.35">
      <c r="EW1848" s="48"/>
      <c r="FB1848" s="5"/>
      <c r="FI1848" s="5"/>
      <c r="FJ1848" s="164"/>
      <c r="FL1848" s="2"/>
      <c r="FN1848" s="2"/>
    </row>
    <row r="1849" spans="153:170" x14ac:dyDescent="0.35">
      <c r="EW1849" s="48"/>
      <c r="FB1849" s="5"/>
      <c r="FI1849" s="5"/>
      <c r="FJ1849" s="164"/>
      <c r="FL1849" s="2"/>
      <c r="FN1849" s="2"/>
    </row>
    <row r="1850" spans="153:170" x14ac:dyDescent="0.35">
      <c r="EW1850" s="48"/>
      <c r="FB1850" s="5"/>
      <c r="FI1850" s="5"/>
      <c r="FJ1850" s="164"/>
      <c r="FL1850" s="2"/>
      <c r="FN1850" s="2"/>
    </row>
    <row r="1851" spans="153:170" x14ac:dyDescent="0.35">
      <c r="EW1851" s="48"/>
      <c r="FB1851" s="5"/>
      <c r="FI1851" s="5"/>
      <c r="FJ1851" s="164"/>
      <c r="FL1851" s="2"/>
      <c r="FN1851" s="2"/>
    </row>
    <row r="1852" spans="153:170" x14ac:dyDescent="0.35">
      <c r="EW1852" s="48"/>
      <c r="FB1852" s="5"/>
      <c r="FI1852" s="5"/>
      <c r="FJ1852" s="164"/>
      <c r="FL1852" s="2"/>
      <c r="FN1852" s="2"/>
    </row>
    <row r="1853" spans="153:170" x14ac:dyDescent="0.35">
      <c r="EW1853" s="48"/>
      <c r="FB1853" s="5"/>
      <c r="FI1853" s="5"/>
      <c r="FJ1853" s="164"/>
      <c r="FL1853" s="2"/>
      <c r="FN1853" s="2"/>
    </row>
    <row r="1854" spans="153:170" x14ac:dyDescent="0.35">
      <c r="EW1854" s="48"/>
      <c r="FB1854" s="5"/>
      <c r="FI1854" s="5"/>
      <c r="FJ1854" s="164"/>
      <c r="FL1854" s="2"/>
      <c r="FN1854" s="2"/>
    </row>
    <row r="1855" spans="153:170" x14ac:dyDescent="0.35">
      <c r="EW1855" s="48"/>
      <c r="FB1855" s="5"/>
      <c r="FI1855" s="5"/>
      <c r="FJ1855" s="164"/>
      <c r="FL1855" s="2"/>
      <c r="FN1855" s="2"/>
    </row>
    <row r="1856" spans="153:170" x14ac:dyDescent="0.35">
      <c r="EW1856" s="48"/>
      <c r="FB1856" s="5"/>
      <c r="FI1856" s="5"/>
      <c r="FJ1856" s="164"/>
      <c r="FL1856" s="2"/>
      <c r="FN1856" s="2"/>
    </row>
    <row r="1857" spans="153:170" x14ac:dyDescent="0.35">
      <c r="EW1857" s="48"/>
      <c r="FB1857" s="5"/>
      <c r="FI1857" s="5"/>
      <c r="FJ1857" s="164"/>
      <c r="FL1857" s="2"/>
      <c r="FN1857" s="2"/>
    </row>
    <row r="1858" spans="153:170" x14ac:dyDescent="0.35">
      <c r="EW1858" s="48"/>
      <c r="FB1858" s="5"/>
      <c r="FI1858" s="5"/>
      <c r="FJ1858" s="164"/>
      <c r="FL1858" s="2"/>
      <c r="FN1858" s="2"/>
    </row>
    <row r="1859" spans="153:170" x14ac:dyDescent="0.35">
      <c r="EW1859" s="48"/>
      <c r="FB1859" s="5"/>
      <c r="FI1859" s="5"/>
      <c r="FJ1859" s="164"/>
      <c r="FL1859" s="2"/>
      <c r="FN1859" s="2"/>
    </row>
    <row r="1860" spans="153:170" x14ac:dyDescent="0.35">
      <c r="EW1860" s="48"/>
      <c r="FB1860" s="5"/>
      <c r="FI1860" s="5"/>
      <c r="FJ1860" s="164"/>
      <c r="FL1860" s="2"/>
      <c r="FN1860" s="2"/>
    </row>
    <row r="1861" spans="153:170" x14ac:dyDescent="0.35">
      <c r="EW1861" s="48"/>
      <c r="FB1861" s="5"/>
      <c r="FI1861" s="5"/>
      <c r="FJ1861" s="164"/>
      <c r="FL1861" s="2"/>
      <c r="FN1861" s="2"/>
    </row>
    <row r="1862" spans="153:170" x14ac:dyDescent="0.35">
      <c r="EW1862" s="48"/>
      <c r="FB1862" s="5"/>
      <c r="FI1862" s="5"/>
      <c r="FJ1862" s="164"/>
      <c r="FL1862" s="2"/>
      <c r="FN1862" s="2"/>
    </row>
    <row r="1863" spans="153:170" x14ac:dyDescent="0.35">
      <c r="EW1863" s="48"/>
      <c r="FB1863" s="5"/>
      <c r="FI1863" s="5"/>
      <c r="FJ1863" s="164"/>
      <c r="FL1863" s="2"/>
      <c r="FN1863" s="2"/>
    </row>
    <row r="1864" spans="153:170" x14ac:dyDescent="0.35">
      <c r="EW1864" s="48"/>
      <c r="FB1864" s="5"/>
      <c r="FI1864" s="5"/>
      <c r="FJ1864" s="164"/>
      <c r="FL1864" s="2"/>
      <c r="FN1864" s="2"/>
    </row>
    <row r="1865" spans="153:170" x14ac:dyDescent="0.35">
      <c r="EW1865" s="48"/>
      <c r="FB1865" s="5"/>
      <c r="FI1865" s="5"/>
      <c r="FJ1865" s="164"/>
      <c r="FL1865" s="2"/>
      <c r="FN1865" s="2"/>
    </row>
    <row r="1866" spans="153:170" x14ac:dyDescent="0.35">
      <c r="EW1866" s="48"/>
      <c r="FB1866" s="5"/>
      <c r="FI1866" s="5"/>
      <c r="FJ1866" s="164"/>
      <c r="FL1866" s="2"/>
      <c r="FN1866" s="2"/>
    </row>
    <row r="1867" spans="153:170" x14ac:dyDescent="0.35">
      <c r="EW1867" s="48"/>
      <c r="FB1867" s="5"/>
      <c r="FI1867" s="5"/>
      <c r="FJ1867" s="164"/>
      <c r="FL1867" s="2"/>
      <c r="FN1867" s="2"/>
    </row>
    <row r="1868" spans="153:170" x14ac:dyDescent="0.35">
      <c r="EW1868" s="48"/>
      <c r="FB1868" s="5"/>
      <c r="FI1868" s="5"/>
      <c r="FJ1868" s="164"/>
      <c r="FL1868" s="2"/>
      <c r="FN1868" s="2"/>
    </row>
    <row r="1869" spans="153:170" x14ac:dyDescent="0.35">
      <c r="EW1869" s="48"/>
      <c r="FB1869" s="5"/>
      <c r="FI1869" s="5"/>
      <c r="FJ1869" s="164"/>
      <c r="FL1869" s="2"/>
      <c r="FN1869" s="2"/>
    </row>
    <row r="1870" spans="153:170" x14ac:dyDescent="0.35">
      <c r="EW1870" s="48"/>
      <c r="FB1870" s="5"/>
      <c r="FI1870" s="5"/>
      <c r="FJ1870" s="164"/>
      <c r="FL1870" s="2"/>
      <c r="FN1870" s="2"/>
    </row>
    <row r="1871" spans="153:170" x14ac:dyDescent="0.35">
      <c r="EW1871" s="48"/>
      <c r="FB1871" s="5"/>
      <c r="FI1871" s="5"/>
      <c r="FJ1871" s="164"/>
      <c r="FL1871" s="2"/>
      <c r="FN1871" s="2"/>
    </row>
    <row r="1872" spans="153:170" x14ac:dyDescent="0.35">
      <c r="EW1872" s="48"/>
      <c r="FB1872" s="5"/>
      <c r="FI1872" s="5"/>
      <c r="FJ1872" s="164"/>
      <c r="FL1872" s="2"/>
      <c r="FN1872" s="2"/>
    </row>
    <row r="1873" spans="153:170" x14ac:dyDescent="0.35">
      <c r="EW1873" s="48"/>
      <c r="FB1873" s="5"/>
      <c r="FI1873" s="5"/>
      <c r="FJ1873" s="164"/>
      <c r="FL1873" s="2"/>
      <c r="FN1873" s="2"/>
    </row>
    <row r="1874" spans="153:170" x14ac:dyDescent="0.35">
      <c r="EW1874" s="48"/>
      <c r="FB1874" s="5"/>
      <c r="FI1874" s="5"/>
      <c r="FJ1874" s="164"/>
      <c r="FL1874" s="2"/>
      <c r="FN1874" s="2"/>
    </row>
    <row r="1875" spans="153:170" x14ac:dyDescent="0.35">
      <c r="EW1875" s="48"/>
      <c r="FB1875" s="5"/>
      <c r="FI1875" s="5"/>
      <c r="FJ1875" s="164"/>
      <c r="FL1875" s="2"/>
      <c r="FN1875" s="2"/>
    </row>
    <row r="1876" spans="153:170" x14ac:dyDescent="0.35">
      <c r="EW1876" s="48"/>
      <c r="FB1876" s="5"/>
      <c r="FI1876" s="5"/>
      <c r="FJ1876" s="164"/>
      <c r="FL1876" s="2"/>
      <c r="FN1876" s="2"/>
    </row>
    <row r="1877" spans="153:170" x14ac:dyDescent="0.35">
      <c r="EW1877" s="48"/>
      <c r="FB1877" s="5"/>
      <c r="FI1877" s="5"/>
      <c r="FJ1877" s="164"/>
      <c r="FL1877" s="2"/>
      <c r="FN1877" s="2"/>
    </row>
    <row r="1878" spans="153:170" x14ac:dyDescent="0.35">
      <c r="EW1878" s="48"/>
      <c r="FB1878" s="5"/>
      <c r="FI1878" s="5"/>
      <c r="FJ1878" s="164"/>
      <c r="FL1878" s="2"/>
      <c r="FN1878" s="2"/>
    </row>
    <row r="1879" spans="153:170" x14ac:dyDescent="0.35">
      <c r="EW1879" s="48"/>
      <c r="FB1879" s="5"/>
      <c r="FI1879" s="5"/>
      <c r="FJ1879" s="164"/>
      <c r="FL1879" s="2"/>
      <c r="FN1879" s="2"/>
    </row>
    <row r="1880" spans="153:170" x14ac:dyDescent="0.35">
      <c r="EW1880" s="48"/>
      <c r="FB1880" s="5"/>
      <c r="FI1880" s="5"/>
      <c r="FJ1880" s="164"/>
      <c r="FL1880" s="2"/>
      <c r="FN1880" s="2"/>
    </row>
    <row r="1881" spans="153:170" x14ac:dyDescent="0.35">
      <c r="EW1881" s="48"/>
      <c r="FB1881" s="5"/>
      <c r="FI1881" s="5"/>
      <c r="FJ1881" s="164"/>
      <c r="FL1881" s="2"/>
      <c r="FN1881" s="2"/>
    </row>
    <row r="1882" spans="153:170" x14ac:dyDescent="0.35">
      <c r="EW1882" s="48"/>
      <c r="FB1882" s="5"/>
      <c r="FI1882" s="5"/>
      <c r="FJ1882" s="164"/>
      <c r="FL1882" s="2"/>
      <c r="FN1882" s="2"/>
    </row>
    <row r="1883" spans="153:170" x14ac:dyDescent="0.35">
      <c r="EW1883" s="48"/>
      <c r="FB1883" s="5"/>
      <c r="FI1883" s="5"/>
      <c r="FJ1883" s="164"/>
      <c r="FL1883" s="2"/>
      <c r="FN1883" s="2"/>
    </row>
    <row r="1884" spans="153:170" x14ac:dyDescent="0.35">
      <c r="EW1884" s="48"/>
      <c r="FB1884" s="5"/>
      <c r="FI1884" s="5"/>
      <c r="FJ1884" s="164"/>
      <c r="FL1884" s="2"/>
      <c r="FN1884" s="2"/>
    </row>
    <row r="1885" spans="153:170" x14ac:dyDescent="0.35">
      <c r="EW1885" s="48"/>
      <c r="FB1885" s="5"/>
      <c r="FI1885" s="5"/>
      <c r="FJ1885" s="164"/>
      <c r="FL1885" s="2"/>
      <c r="FN1885" s="2"/>
    </row>
    <row r="1886" spans="153:170" x14ac:dyDescent="0.35">
      <c r="EW1886" s="48"/>
      <c r="FB1886" s="5"/>
      <c r="FI1886" s="5"/>
      <c r="FJ1886" s="164"/>
      <c r="FL1886" s="2"/>
      <c r="FN1886" s="2"/>
    </row>
    <row r="1887" spans="153:170" x14ac:dyDescent="0.35">
      <c r="EW1887" s="48"/>
      <c r="FB1887" s="5"/>
      <c r="FI1887" s="5"/>
      <c r="FJ1887" s="164"/>
      <c r="FL1887" s="2"/>
      <c r="FN1887" s="2"/>
    </row>
    <row r="1888" spans="153:170" x14ac:dyDescent="0.35">
      <c r="EW1888" s="48"/>
      <c r="FB1888" s="5"/>
      <c r="FI1888" s="5"/>
      <c r="FJ1888" s="164"/>
      <c r="FL1888" s="2"/>
      <c r="FN1888" s="2"/>
    </row>
    <row r="1889" spans="153:170" x14ac:dyDescent="0.35">
      <c r="EW1889" s="48"/>
      <c r="FB1889" s="5"/>
      <c r="FI1889" s="5"/>
      <c r="FJ1889" s="164"/>
      <c r="FL1889" s="2"/>
      <c r="FN1889" s="2"/>
    </row>
    <row r="1890" spans="153:170" x14ac:dyDescent="0.35">
      <c r="EW1890" s="48"/>
      <c r="FB1890" s="5"/>
      <c r="FI1890" s="5"/>
      <c r="FJ1890" s="164"/>
      <c r="FL1890" s="2"/>
      <c r="FN1890" s="2"/>
    </row>
    <row r="1891" spans="153:170" x14ac:dyDescent="0.35">
      <c r="EW1891" s="48"/>
      <c r="FB1891" s="5"/>
      <c r="FI1891" s="5"/>
      <c r="FJ1891" s="164"/>
      <c r="FL1891" s="2"/>
      <c r="FN1891" s="2"/>
    </row>
    <row r="1892" spans="153:170" x14ac:dyDescent="0.35">
      <c r="EW1892" s="48"/>
      <c r="FB1892" s="5"/>
      <c r="FI1892" s="5"/>
      <c r="FJ1892" s="164"/>
      <c r="FL1892" s="2"/>
      <c r="FN1892" s="2"/>
    </row>
    <row r="1893" spans="153:170" x14ac:dyDescent="0.35">
      <c r="EW1893" s="48"/>
      <c r="FB1893" s="5"/>
      <c r="FI1893" s="5"/>
      <c r="FJ1893" s="164"/>
      <c r="FL1893" s="2"/>
      <c r="FN1893" s="2"/>
    </row>
    <row r="1894" spans="153:170" x14ac:dyDescent="0.35">
      <c r="EW1894" s="48"/>
      <c r="FB1894" s="5"/>
      <c r="FI1894" s="5"/>
      <c r="FJ1894" s="164"/>
      <c r="FL1894" s="2"/>
      <c r="FN1894" s="2"/>
    </row>
    <row r="1895" spans="153:170" x14ac:dyDescent="0.35">
      <c r="EW1895" s="48"/>
      <c r="FB1895" s="5"/>
      <c r="FI1895" s="5"/>
      <c r="FJ1895" s="164"/>
      <c r="FL1895" s="2"/>
      <c r="FN1895" s="2"/>
    </row>
    <row r="1896" spans="153:170" x14ac:dyDescent="0.35">
      <c r="EW1896" s="48"/>
      <c r="FB1896" s="5"/>
      <c r="FI1896" s="5"/>
      <c r="FJ1896" s="164"/>
      <c r="FL1896" s="2"/>
      <c r="FN1896" s="2"/>
    </row>
    <row r="1897" spans="153:170" x14ac:dyDescent="0.35">
      <c r="EW1897" s="48"/>
      <c r="FB1897" s="5"/>
      <c r="FI1897" s="5"/>
      <c r="FJ1897" s="164"/>
      <c r="FL1897" s="2"/>
      <c r="FN1897" s="2"/>
    </row>
    <row r="1898" spans="153:170" x14ac:dyDescent="0.35">
      <c r="EW1898" s="48"/>
      <c r="FB1898" s="5"/>
      <c r="FI1898" s="5"/>
      <c r="FJ1898" s="164"/>
      <c r="FL1898" s="2"/>
      <c r="FN1898" s="2"/>
    </row>
    <row r="1899" spans="153:170" x14ac:dyDescent="0.35">
      <c r="EW1899" s="48"/>
      <c r="FB1899" s="5"/>
      <c r="FI1899" s="5"/>
      <c r="FJ1899" s="164"/>
      <c r="FL1899" s="2"/>
      <c r="FN1899" s="2"/>
    </row>
    <row r="1900" spans="153:170" x14ac:dyDescent="0.35">
      <c r="EW1900" s="48"/>
      <c r="FB1900" s="5"/>
      <c r="FI1900" s="5"/>
      <c r="FJ1900" s="164"/>
      <c r="FL1900" s="2"/>
      <c r="FN1900" s="2"/>
    </row>
    <row r="1901" spans="153:170" x14ac:dyDescent="0.35">
      <c r="EW1901" s="48"/>
      <c r="FB1901" s="5"/>
      <c r="FI1901" s="5"/>
      <c r="FJ1901" s="164"/>
      <c r="FL1901" s="2"/>
      <c r="FN1901" s="2"/>
    </row>
    <row r="1902" spans="153:170" x14ac:dyDescent="0.35">
      <c r="EW1902" s="48"/>
      <c r="FB1902" s="5"/>
      <c r="FI1902" s="5"/>
      <c r="FJ1902" s="164"/>
      <c r="FL1902" s="2"/>
      <c r="FN1902" s="2"/>
    </row>
    <row r="1903" spans="153:170" x14ac:dyDescent="0.35">
      <c r="EW1903" s="48"/>
      <c r="FB1903" s="5"/>
      <c r="FI1903" s="5"/>
      <c r="FJ1903" s="164"/>
      <c r="FL1903" s="2"/>
      <c r="FN1903" s="2"/>
    </row>
    <row r="1904" spans="153:170" x14ac:dyDescent="0.35">
      <c r="EW1904" s="48"/>
      <c r="FB1904" s="5"/>
      <c r="FI1904" s="5"/>
      <c r="FJ1904" s="164"/>
      <c r="FL1904" s="2"/>
      <c r="FN1904" s="2"/>
    </row>
    <row r="1905" spans="153:170" x14ac:dyDescent="0.35">
      <c r="EW1905" s="48"/>
      <c r="FB1905" s="5"/>
      <c r="FI1905" s="5"/>
      <c r="FJ1905" s="164"/>
      <c r="FL1905" s="2"/>
      <c r="FN1905" s="2"/>
    </row>
    <row r="1906" spans="153:170" x14ac:dyDescent="0.35">
      <c r="EW1906" s="48"/>
      <c r="FB1906" s="5"/>
      <c r="FI1906" s="5"/>
      <c r="FJ1906" s="164"/>
      <c r="FL1906" s="2"/>
      <c r="FN1906" s="2"/>
    </row>
    <row r="1907" spans="153:170" x14ac:dyDescent="0.35">
      <c r="EW1907" s="48"/>
      <c r="FB1907" s="5"/>
      <c r="FI1907" s="5"/>
      <c r="FJ1907" s="164"/>
      <c r="FL1907" s="2"/>
      <c r="FN1907" s="2"/>
    </row>
    <row r="1908" spans="153:170" x14ac:dyDescent="0.35">
      <c r="EW1908" s="48"/>
      <c r="FB1908" s="5"/>
      <c r="FI1908" s="5"/>
      <c r="FJ1908" s="164"/>
      <c r="FL1908" s="2"/>
      <c r="FN1908" s="2"/>
    </row>
    <row r="1909" spans="153:170" x14ac:dyDescent="0.35">
      <c r="EW1909" s="48"/>
      <c r="FB1909" s="5"/>
      <c r="FI1909" s="5"/>
      <c r="FJ1909" s="164"/>
      <c r="FL1909" s="2"/>
      <c r="FN1909" s="2"/>
    </row>
    <row r="1910" spans="153:170" x14ac:dyDescent="0.35">
      <c r="EW1910" s="48"/>
      <c r="FB1910" s="5"/>
      <c r="FI1910" s="5"/>
      <c r="FJ1910" s="164"/>
      <c r="FL1910" s="2"/>
      <c r="FN1910" s="2"/>
    </row>
    <row r="1911" spans="153:170" x14ac:dyDescent="0.35">
      <c r="EW1911" s="48"/>
      <c r="FB1911" s="5"/>
      <c r="FI1911" s="5"/>
      <c r="FJ1911" s="164"/>
      <c r="FL1911" s="2"/>
      <c r="FN1911" s="2"/>
    </row>
    <row r="1912" spans="153:170" x14ac:dyDescent="0.35">
      <c r="EW1912" s="48"/>
      <c r="FB1912" s="5"/>
      <c r="FI1912" s="5"/>
      <c r="FJ1912" s="164"/>
      <c r="FL1912" s="2"/>
      <c r="FN1912" s="2"/>
    </row>
    <row r="1913" spans="153:170" x14ac:dyDescent="0.35">
      <c r="EW1913" s="48"/>
      <c r="FB1913" s="5"/>
      <c r="FI1913" s="5"/>
      <c r="FJ1913" s="164"/>
      <c r="FL1913" s="2"/>
      <c r="FN1913" s="2"/>
    </row>
    <row r="1914" spans="153:170" x14ac:dyDescent="0.35">
      <c r="EW1914" s="48"/>
      <c r="FB1914" s="5"/>
      <c r="FI1914" s="5"/>
      <c r="FJ1914" s="164"/>
      <c r="FL1914" s="2"/>
      <c r="FN1914" s="2"/>
    </row>
    <row r="1915" spans="153:170" x14ac:dyDescent="0.35">
      <c r="EW1915" s="48"/>
      <c r="FB1915" s="5"/>
      <c r="FI1915" s="5"/>
      <c r="FJ1915" s="164"/>
      <c r="FL1915" s="2"/>
      <c r="FN1915" s="2"/>
    </row>
    <row r="1916" spans="153:170" x14ac:dyDescent="0.35">
      <c r="EW1916" s="48"/>
      <c r="FB1916" s="5"/>
      <c r="FI1916" s="5"/>
      <c r="FJ1916" s="164"/>
      <c r="FL1916" s="2"/>
      <c r="FN1916" s="2"/>
    </row>
    <row r="1917" spans="153:170" x14ac:dyDescent="0.35">
      <c r="EW1917" s="48"/>
      <c r="FB1917" s="5"/>
      <c r="FI1917" s="5"/>
      <c r="FJ1917" s="164"/>
      <c r="FL1917" s="2"/>
      <c r="FN1917" s="2"/>
    </row>
    <row r="1918" spans="153:170" x14ac:dyDescent="0.35">
      <c r="EW1918" s="48"/>
      <c r="FB1918" s="5"/>
      <c r="FI1918" s="5"/>
      <c r="FJ1918" s="164"/>
      <c r="FL1918" s="2"/>
      <c r="FN1918" s="2"/>
    </row>
    <row r="1919" spans="153:170" x14ac:dyDescent="0.35">
      <c r="EW1919" s="48"/>
      <c r="FB1919" s="5"/>
      <c r="FI1919" s="5"/>
      <c r="FJ1919" s="164"/>
      <c r="FL1919" s="2"/>
      <c r="FN1919" s="2"/>
    </row>
    <row r="1920" spans="153:170" x14ac:dyDescent="0.35">
      <c r="EW1920" s="48"/>
      <c r="FB1920" s="5"/>
      <c r="FI1920" s="5"/>
      <c r="FJ1920" s="164"/>
      <c r="FL1920" s="2"/>
      <c r="FN1920" s="2"/>
    </row>
    <row r="1921" spans="153:170" x14ac:dyDescent="0.35">
      <c r="EW1921" s="48"/>
      <c r="FB1921" s="5"/>
      <c r="FI1921" s="5"/>
      <c r="FJ1921" s="164"/>
      <c r="FL1921" s="2"/>
      <c r="FN1921" s="2"/>
    </row>
    <row r="1922" spans="153:170" x14ac:dyDescent="0.35">
      <c r="EW1922" s="48"/>
      <c r="FB1922" s="5"/>
      <c r="FI1922" s="5"/>
      <c r="FJ1922" s="164"/>
      <c r="FL1922" s="2"/>
      <c r="FN1922" s="2"/>
    </row>
    <row r="1923" spans="153:170" x14ac:dyDescent="0.35">
      <c r="EW1923" s="48"/>
      <c r="FB1923" s="5"/>
      <c r="FI1923" s="5"/>
      <c r="FJ1923" s="164"/>
      <c r="FL1923" s="2"/>
      <c r="FN1923" s="2"/>
    </row>
    <row r="1924" spans="153:170" x14ac:dyDescent="0.35">
      <c r="EW1924" s="48"/>
      <c r="FB1924" s="5"/>
      <c r="FI1924" s="5"/>
      <c r="FJ1924" s="164"/>
      <c r="FL1924" s="2"/>
      <c r="FN1924" s="2"/>
    </row>
    <row r="1925" spans="153:170" x14ac:dyDescent="0.35">
      <c r="EW1925" s="48"/>
      <c r="FB1925" s="5"/>
      <c r="FI1925" s="5"/>
      <c r="FJ1925" s="164"/>
      <c r="FL1925" s="2"/>
      <c r="FN1925" s="2"/>
    </row>
    <row r="1926" spans="153:170" x14ac:dyDescent="0.35">
      <c r="EW1926" s="48"/>
      <c r="FB1926" s="5"/>
      <c r="FI1926" s="5"/>
      <c r="FJ1926" s="164"/>
      <c r="FL1926" s="2"/>
      <c r="FN1926" s="2"/>
    </row>
    <row r="1927" spans="153:170" x14ac:dyDescent="0.35">
      <c r="EW1927" s="48"/>
      <c r="FB1927" s="5"/>
      <c r="FI1927" s="5"/>
      <c r="FJ1927" s="164"/>
      <c r="FL1927" s="2"/>
      <c r="FN1927" s="2"/>
    </row>
    <row r="1928" spans="153:170" x14ac:dyDescent="0.35">
      <c r="EW1928" s="48"/>
      <c r="FB1928" s="5"/>
      <c r="FI1928" s="5"/>
      <c r="FJ1928" s="164"/>
      <c r="FL1928" s="2"/>
      <c r="FN1928" s="2"/>
    </row>
    <row r="1929" spans="153:170" x14ac:dyDescent="0.35">
      <c r="EW1929" s="48"/>
      <c r="FB1929" s="5"/>
      <c r="FI1929" s="5"/>
      <c r="FJ1929" s="164"/>
      <c r="FL1929" s="2"/>
      <c r="FN1929" s="2"/>
    </row>
    <row r="1930" spans="153:170" x14ac:dyDescent="0.35">
      <c r="EW1930" s="48"/>
      <c r="FB1930" s="5"/>
      <c r="FI1930" s="5"/>
      <c r="FJ1930" s="164"/>
      <c r="FL1930" s="2"/>
      <c r="FN1930" s="2"/>
    </row>
    <row r="1931" spans="153:170" x14ac:dyDescent="0.35">
      <c r="EW1931" s="48"/>
      <c r="FB1931" s="5"/>
      <c r="FI1931" s="5"/>
      <c r="FJ1931" s="164"/>
      <c r="FL1931" s="2"/>
      <c r="FN1931" s="2"/>
    </row>
    <row r="1932" spans="153:170" x14ac:dyDescent="0.35">
      <c r="EW1932" s="48"/>
      <c r="FB1932" s="5"/>
      <c r="FI1932" s="5"/>
      <c r="FJ1932" s="164"/>
      <c r="FL1932" s="2"/>
      <c r="FN1932" s="2"/>
    </row>
    <row r="1933" spans="153:170" x14ac:dyDescent="0.35">
      <c r="EW1933" s="48"/>
      <c r="FB1933" s="5"/>
      <c r="FI1933" s="5"/>
      <c r="FJ1933" s="164"/>
      <c r="FL1933" s="2"/>
      <c r="FN1933" s="2"/>
    </row>
    <row r="1934" spans="153:170" x14ac:dyDescent="0.35">
      <c r="EW1934" s="48"/>
      <c r="FB1934" s="5"/>
      <c r="FI1934" s="5"/>
      <c r="FJ1934" s="164"/>
      <c r="FL1934" s="2"/>
      <c r="FN1934" s="2"/>
    </row>
    <row r="1935" spans="153:170" x14ac:dyDescent="0.35">
      <c r="EW1935" s="48"/>
      <c r="FB1935" s="5"/>
      <c r="FI1935" s="5"/>
      <c r="FJ1935" s="164"/>
      <c r="FL1935" s="2"/>
      <c r="FN1935" s="2"/>
    </row>
    <row r="1936" spans="153:170" x14ac:dyDescent="0.35">
      <c r="EW1936" s="48"/>
      <c r="FB1936" s="5"/>
      <c r="FI1936" s="5"/>
      <c r="FJ1936" s="164"/>
      <c r="FL1936" s="2"/>
      <c r="FN1936" s="2"/>
    </row>
    <row r="1937" spans="153:170" x14ac:dyDescent="0.35">
      <c r="EW1937" s="48"/>
      <c r="FB1937" s="5"/>
      <c r="FI1937" s="5"/>
      <c r="FJ1937" s="164"/>
      <c r="FL1937" s="2"/>
      <c r="FN1937" s="2"/>
    </row>
    <row r="1938" spans="153:170" x14ac:dyDescent="0.35">
      <c r="EW1938" s="48"/>
      <c r="FB1938" s="5"/>
      <c r="FI1938" s="5"/>
      <c r="FJ1938" s="164"/>
      <c r="FL1938" s="2"/>
      <c r="FN1938" s="2"/>
    </row>
    <row r="1939" spans="153:170" x14ac:dyDescent="0.35">
      <c r="EW1939" s="48"/>
      <c r="FB1939" s="5"/>
      <c r="FI1939" s="5"/>
      <c r="FJ1939" s="164"/>
      <c r="FL1939" s="2"/>
      <c r="FN1939" s="2"/>
    </row>
    <row r="1940" spans="153:170" x14ac:dyDescent="0.35">
      <c r="EW1940" s="48"/>
      <c r="FB1940" s="5"/>
      <c r="FI1940" s="5"/>
      <c r="FJ1940" s="164"/>
      <c r="FL1940" s="2"/>
      <c r="FN1940" s="2"/>
    </row>
    <row r="1941" spans="153:170" x14ac:dyDescent="0.35">
      <c r="EW1941" s="48"/>
      <c r="FB1941" s="5"/>
      <c r="FI1941" s="5"/>
      <c r="FJ1941" s="164"/>
      <c r="FL1941" s="2"/>
      <c r="FN1941" s="2"/>
    </row>
    <row r="1942" spans="153:170" x14ac:dyDescent="0.35">
      <c r="EW1942" s="48"/>
      <c r="FB1942" s="5"/>
      <c r="FI1942" s="5"/>
      <c r="FJ1942" s="164"/>
      <c r="FL1942" s="2"/>
      <c r="FN1942" s="2"/>
    </row>
    <row r="1943" spans="153:170" x14ac:dyDescent="0.35">
      <c r="EW1943" s="48"/>
      <c r="FB1943" s="5"/>
      <c r="FI1943" s="5"/>
      <c r="FJ1943" s="164"/>
      <c r="FL1943" s="2"/>
      <c r="FN1943" s="2"/>
    </row>
    <row r="1944" spans="153:170" x14ac:dyDescent="0.35">
      <c r="EW1944" s="48"/>
      <c r="FB1944" s="5"/>
      <c r="FI1944" s="5"/>
      <c r="FJ1944" s="164"/>
      <c r="FL1944" s="2"/>
      <c r="FN1944" s="2"/>
    </row>
    <row r="1945" spans="153:170" x14ac:dyDescent="0.35">
      <c r="EW1945" s="48"/>
      <c r="FB1945" s="5"/>
      <c r="FI1945" s="5"/>
      <c r="FJ1945" s="164"/>
      <c r="FL1945" s="2"/>
      <c r="FN1945" s="2"/>
    </row>
    <row r="1946" spans="153:170" x14ac:dyDescent="0.35">
      <c r="EW1946" s="48"/>
      <c r="FB1946" s="5"/>
      <c r="FI1946" s="5"/>
      <c r="FJ1946" s="164"/>
      <c r="FL1946" s="2"/>
      <c r="FN1946" s="2"/>
    </row>
    <row r="1947" spans="153:170" x14ac:dyDescent="0.35">
      <c r="EW1947" s="48"/>
      <c r="FB1947" s="5"/>
      <c r="FI1947" s="5"/>
      <c r="FJ1947" s="164"/>
      <c r="FL1947" s="2"/>
      <c r="FN1947" s="2"/>
    </row>
    <row r="1948" spans="153:170" x14ac:dyDescent="0.35">
      <c r="EW1948" s="48"/>
      <c r="FB1948" s="5"/>
      <c r="FI1948" s="5"/>
      <c r="FJ1948" s="164"/>
      <c r="FL1948" s="2"/>
      <c r="FN1948" s="2"/>
    </row>
    <row r="1949" spans="153:170" x14ac:dyDescent="0.35">
      <c r="EW1949" s="48"/>
      <c r="FB1949" s="5"/>
      <c r="FI1949" s="5"/>
      <c r="FJ1949" s="164"/>
      <c r="FL1949" s="2"/>
      <c r="FN1949" s="2"/>
    </row>
    <row r="1950" spans="153:170" x14ac:dyDescent="0.35">
      <c r="EW1950" s="48"/>
      <c r="FB1950" s="5"/>
      <c r="FI1950" s="5"/>
      <c r="FJ1950" s="164"/>
      <c r="FL1950" s="2"/>
      <c r="FN1950" s="2"/>
    </row>
    <row r="1951" spans="153:170" x14ac:dyDescent="0.35">
      <c r="EW1951" s="48"/>
      <c r="FB1951" s="5"/>
      <c r="FI1951" s="5"/>
      <c r="FJ1951" s="164"/>
      <c r="FL1951" s="2"/>
      <c r="FN1951" s="2"/>
    </row>
    <row r="1952" spans="153:170" x14ac:dyDescent="0.35">
      <c r="EW1952" s="48"/>
      <c r="FB1952" s="5"/>
      <c r="FI1952" s="5"/>
      <c r="FJ1952" s="164"/>
      <c r="FL1952" s="2"/>
      <c r="FN1952" s="2"/>
    </row>
    <row r="1953" spans="153:170" x14ac:dyDescent="0.35">
      <c r="EW1953" s="48"/>
      <c r="FB1953" s="5"/>
      <c r="FI1953" s="5"/>
      <c r="FJ1953" s="164"/>
      <c r="FL1953" s="2"/>
      <c r="FN1953" s="2"/>
    </row>
    <row r="1954" spans="153:170" x14ac:dyDescent="0.35">
      <c r="EW1954" s="48"/>
      <c r="FB1954" s="5"/>
      <c r="FI1954" s="5"/>
      <c r="FJ1954" s="164"/>
      <c r="FL1954" s="2"/>
      <c r="FN1954" s="2"/>
    </row>
    <row r="1955" spans="153:170" x14ac:dyDescent="0.35">
      <c r="EW1955" s="48"/>
      <c r="FB1955" s="5"/>
      <c r="FI1955" s="5"/>
      <c r="FJ1955" s="164"/>
      <c r="FL1955" s="2"/>
      <c r="FN1955" s="2"/>
    </row>
    <row r="1956" spans="153:170" x14ac:dyDescent="0.35">
      <c r="EW1956" s="48"/>
      <c r="FB1956" s="5"/>
      <c r="FI1956" s="5"/>
      <c r="FJ1956" s="164"/>
      <c r="FL1956" s="2"/>
      <c r="FN1956" s="2"/>
    </row>
    <row r="1957" spans="153:170" x14ac:dyDescent="0.35">
      <c r="EW1957" s="48"/>
      <c r="FB1957" s="5"/>
      <c r="FI1957" s="5"/>
      <c r="FJ1957" s="164"/>
      <c r="FL1957" s="2"/>
      <c r="FN1957" s="2"/>
    </row>
    <row r="1958" spans="153:170" x14ac:dyDescent="0.35">
      <c r="EW1958" s="48"/>
      <c r="FB1958" s="5"/>
      <c r="FI1958" s="5"/>
      <c r="FJ1958" s="164"/>
      <c r="FL1958" s="2"/>
      <c r="FN1958" s="2"/>
    </row>
    <row r="1959" spans="153:170" x14ac:dyDescent="0.35">
      <c r="EW1959" s="48"/>
      <c r="FB1959" s="5"/>
      <c r="FI1959" s="5"/>
      <c r="FJ1959" s="164"/>
      <c r="FL1959" s="2"/>
      <c r="FN1959" s="2"/>
    </row>
    <row r="1960" spans="153:170" x14ac:dyDescent="0.35">
      <c r="EW1960" s="48"/>
      <c r="FB1960" s="5"/>
      <c r="FI1960" s="5"/>
      <c r="FJ1960" s="164"/>
      <c r="FL1960" s="2"/>
      <c r="FN1960" s="2"/>
    </row>
    <row r="1961" spans="153:170" x14ac:dyDescent="0.35">
      <c r="EW1961" s="48"/>
      <c r="FB1961" s="5"/>
      <c r="FI1961" s="5"/>
      <c r="FJ1961" s="164"/>
      <c r="FL1961" s="2"/>
      <c r="FN1961" s="2"/>
    </row>
    <row r="1962" spans="153:170" x14ac:dyDescent="0.35">
      <c r="EW1962" s="48"/>
      <c r="FB1962" s="5"/>
      <c r="FI1962" s="5"/>
      <c r="FJ1962" s="164"/>
      <c r="FL1962" s="2"/>
      <c r="FN1962" s="2"/>
    </row>
    <row r="1963" spans="153:170" x14ac:dyDescent="0.35">
      <c r="EW1963" s="48"/>
      <c r="FB1963" s="5"/>
      <c r="FI1963" s="5"/>
      <c r="FJ1963" s="164"/>
      <c r="FL1963" s="2"/>
      <c r="FN1963" s="2"/>
    </row>
    <row r="1964" spans="153:170" x14ac:dyDescent="0.35">
      <c r="EW1964" s="48"/>
      <c r="FB1964" s="5"/>
      <c r="FI1964" s="5"/>
      <c r="FJ1964" s="164"/>
      <c r="FL1964" s="2"/>
      <c r="FN1964" s="2"/>
    </row>
    <row r="1965" spans="153:170" x14ac:dyDescent="0.35">
      <c r="EW1965" s="48"/>
      <c r="FB1965" s="5"/>
      <c r="FI1965" s="5"/>
      <c r="FJ1965" s="164"/>
      <c r="FL1965" s="2"/>
      <c r="FN1965" s="2"/>
    </row>
    <row r="1966" spans="153:170" x14ac:dyDescent="0.35">
      <c r="EW1966" s="48"/>
      <c r="FB1966" s="5"/>
      <c r="FI1966" s="5"/>
      <c r="FJ1966" s="164"/>
      <c r="FL1966" s="2"/>
      <c r="FN1966" s="2"/>
    </row>
    <row r="1967" spans="153:170" x14ac:dyDescent="0.35">
      <c r="EW1967" s="48"/>
      <c r="FB1967" s="5"/>
      <c r="FI1967" s="5"/>
      <c r="FJ1967" s="164"/>
      <c r="FL1967" s="2"/>
      <c r="FN1967" s="2"/>
    </row>
    <row r="1968" spans="153:170" x14ac:dyDescent="0.35">
      <c r="EW1968" s="48"/>
      <c r="FB1968" s="5"/>
      <c r="FI1968" s="5"/>
      <c r="FJ1968" s="164"/>
      <c r="FL1968" s="2"/>
      <c r="FN1968" s="2"/>
    </row>
    <row r="1969" spans="153:170" x14ac:dyDescent="0.35">
      <c r="EW1969" s="48"/>
      <c r="FB1969" s="5"/>
      <c r="FI1969" s="5"/>
      <c r="FJ1969" s="164"/>
      <c r="FL1969" s="2"/>
      <c r="FN1969" s="2"/>
    </row>
    <row r="1970" spans="153:170" x14ac:dyDescent="0.35">
      <c r="EW1970" s="48"/>
      <c r="FB1970" s="5"/>
      <c r="FI1970" s="5"/>
      <c r="FJ1970" s="164"/>
      <c r="FL1970" s="2"/>
      <c r="FN1970" s="2"/>
    </row>
    <row r="1971" spans="153:170" x14ac:dyDescent="0.35">
      <c r="EW1971" s="48"/>
      <c r="FB1971" s="5"/>
      <c r="FI1971" s="5"/>
      <c r="FJ1971" s="164"/>
      <c r="FL1971" s="2"/>
      <c r="FN1971" s="2"/>
    </row>
    <row r="1972" spans="153:170" x14ac:dyDescent="0.35">
      <c r="EW1972" s="48"/>
      <c r="FB1972" s="5"/>
      <c r="FI1972" s="5"/>
      <c r="FJ1972" s="164"/>
      <c r="FL1972" s="2"/>
      <c r="FN1972" s="2"/>
    </row>
    <row r="1973" spans="153:170" x14ac:dyDescent="0.35">
      <c r="EW1973" s="48"/>
      <c r="FB1973" s="5"/>
      <c r="FI1973" s="5"/>
      <c r="FJ1973" s="164"/>
      <c r="FL1973" s="2"/>
      <c r="FN1973" s="2"/>
    </row>
    <row r="1974" spans="153:170" x14ac:dyDescent="0.35">
      <c r="EW1974" s="48"/>
      <c r="FB1974" s="5"/>
      <c r="FI1974" s="5"/>
      <c r="FJ1974" s="164"/>
      <c r="FL1974" s="2"/>
      <c r="FN1974" s="2"/>
    </row>
    <row r="1975" spans="153:170" x14ac:dyDescent="0.35">
      <c r="EW1975" s="48"/>
      <c r="FB1975" s="5"/>
      <c r="FI1975" s="5"/>
      <c r="FJ1975" s="164"/>
      <c r="FL1975" s="2"/>
      <c r="FN1975" s="2"/>
    </row>
    <row r="1976" spans="153:170" x14ac:dyDescent="0.35">
      <c r="EW1976" s="48"/>
      <c r="FB1976" s="5"/>
      <c r="FI1976" s="5"/>
      <c r="FJ1976" s="164"/>
      <c r="FL1976" s="2"/>
      <c r="FN1976" s="2"/>
    </row>
    <row r="1977" spans="153:170" x14ac:dyDescent="0.35">
      <c r="EW1977" s="48"/>
      <c r="FB1977" s="5"/>
      <c r="FI1977" s="5"/>
      <c r="FJ1977" s="164"/>
      <c r="FL1977" s="2"/>
      <c r="FN1977" s="2"/>
    </row>
    <row r="1978" spans="153:170" x14ac:dyDescent="0.35">
      <c r="EW1978" s="48"/>
      <c r="FB1978" s="5"/>
      <c r="FI1978" s="5"/>
      <c r="FJ1978" s="164"/>
      <c r="FL1978" s="2"/>
      <c r="FN1978" s="2"/>
    </row>
    <row r="1979" spans="153:170" x14ac:dyDescent="0.35">
      <c r="EW1979" s="48"/>
      <c r="FB1979" s="5"/>
      <c r="FI1979" s="5"/>
      <c r="FJ1979" s="164"/>
      <c r="FL1979" s="2"/>
      <c r="FN1979" s="2"/>
    </row>
    <row r="1980" spans="153:170" x14ac:dyDescent="0.35">
      <c r="EW1980" s="48"/>
      <c r="FB1980" s="5"/>
      <c r="FI1980" s="5"/>
      <c r="FJ1980" s="164"/>
      <c r="FL1980" s="2"/>
      <c r="FN1980" s="2"/>
    </row>
    <row r="1981" spans="153:170" x14ac:dyDescent="0.35">
      <c r="EW1981" s="48"/>
      <c r="FB1981" s="5"/>
      <c r="FI1981" s="5"/>
      <c r="FJ1981" s="164"/>
      <c r="FL1981" s="2"/>
      <c r="FN1981" s="2"/>
    </row>
    <row r="1982" spans="153:170" x14ac:dyDescent="0.35">
      <c r="EW1982" s="48"/>
      <c r="FB1982" s="5"/>
      <c r="FI1982" s="5"/>
      <c r="FJ1982" s="164"/>
      <c r="FL1982" s="2"/>
      <c r="FN1982" s="2"/>
    </row>
    <row r="1983" spans="153:170" x14ac:dyDescent="0.35">
      <c r="EW1983" s="48"/>
      <c r="FB1983" s="5"/>
      <c r="FI1983" s="5"/>
      <c r="FJ1983" s="164"/>
      <c r="FL1983" s="2"/>
      <c r="FN1983" s="2"/>
    </row>
    <row r="1984" spans="153:170" x14ac:dyDescent="0.35">
      <c r="EW1984" s="48"/>
      <c r="FB1984" s="5"/>
      <c r="FI1984" s="5"/>
      <c r="FJ1984" s="164"/>
      <c r="FL1984" s="2"/>
      <c r="FN1984" s="2"/>
    </row>
    <row r="1985" spans="153:170" x14ac:dyDescent="0.35">
      <c r="EW1985" s="48"/>
      <c r="FB1985" s="5"/>
      <c r="FI1985" s="5"/>
      <c r="FJ1985" s="164"/>
      <c r="FL1985" s="2"/>
      <c r="FN1985" s="2"/>
    </row>
    <row r="1986" spans="153:170" x14ac:dyDescent="0.35">
      <c r="EW1986" s="48"/>
      <c r="FB1986" s="5"/>
      <c r="FI1986" s="5"/>
      <c r="FJ1986" s="164"/>
      <c r="FL1986" s="2"/>
      <c r="FN1986" s="2"/>
    </row>
    <row r="1987" spans="153:170" x14ac:dyDescent="0.35">
      <c r="EW1987" s="48"/>
      <c r="FB1987" s="5"/>
      <c r="FI1987" s="5"/>
      <c r="FJ1987" s="164"/>
      <c r="FL1987" s="2"/>
      <c r="FN1987" s="2"/>
    </row>
    <row r="1988" spans="153:170" x14ac:dyDescent="0.35">
      <c r="EW1988" s="48"/>
      <c r="FB1988" s="5"/>
      <c r="FI1988" s="5"/>
      <c r="FJ1988" s="164"/>
      <c r="FL1988" s="2"/>
      <c r="FN1988" s="2"/>
    </row>
    <row r="1989" spans="153:170" x14ac:dyDescent="0.35">
      <c r="EW1989" s="48"/>
      <c r="FB1989" s="5"/>
      <c r="FI1989" s="5"/>
      <c r="FJ1989" s="164"/>
      <c r="FL1989" s="2"/>
      <c r="FN1989" s="2"/>
    </row>
    <row r="1990" spans="153:170" x14ac:dyDescent="0.35">
      <c r="EW1990" s="48"/>
      <c r="FB1990" s="5"/>
      <c r="FI1990" s="5"/>
      <c r="FJ1990" s="164"/>
      <c r="FL1990" s="2"/>
      <c r="FN1990" s="2"/>
    </row>
    <row r="1991" spans="153:170" x14ac:dyDescent="0.35">
      <c r="EW1991" s="48"/>
      <c r="FB1991" s="5"/>
      <c r="FI1991" s="5"/>
      <c r="FJ1991" s="164"/>
      <c r="FL1991" s="2"/>
      <c r="FN1991" s="2"/>
    </row>
    <row r="1992" spans="153:170" x14ac:dyDescent="0.35">
      <c r="EW1992" s="48"/>
      <c r="FB1992" s="5"/>
      <c r="FI1992" s="5"/>
      <c r="FJ1992" s="164"/>
      <c r="FL1992" s="2"/>
      <c r="FN1992" s="2"/>
    </row>
    <row r="1993" spans="153:170" x14ac:dyDescent="0.35">
      <c r="EW1993" s="48"/>
      <c r="FB1993" s="5"/>
      <c r="FI1993" s="5"/>
      <c r="FJ1993" s="164"/>
      <c r="FL1993" s="2"/>
      <c r="FN1993" s="2"/>
    </row>
    <row r="1994" spans="153:170" x14ac:dyDescent="0.35">
      <c r="EW1994" s="48"/>
      <c r="FB1994" s="5"/>
      <c r="FI1994" s="5"/>
      <c r="FJ1994" s="164"/>
      <c r="FL1994" s="2"/>
      <c r="FN1994" s="2"/>
    </row>
    <row r="1995" spans="153:170" x14ac:dyDescent="0.35">
      <c r="EW1995" s="48"/>
      <c r="FB1995" s="5"/>
      <c r="FI1995" s="5"/>
      <c r="FJ1995" s="164"/>
      <c r="FL1995" s="2"/>
      <c r="FN1995" s="2"/>
    </row>
    <row r="1996" spans="153:170" x14ac:dyDescent="0.35">
      <c r="EW1996" s="48"/>
      <c r="FB1996" s="5"/>
      <c r="FI1996" s="5"/>
      <c r="FJ1996" s="164"/>
      <c r="FL1996" s="2"/>
      <c r="FN1996" s="2"/>
    </row>
    <row r="1997" spans="153:170" x14ac:dyDescent="0.35">
      <c r="EW1997" s="48"/>
      <c r="FB1997" s="5"/>
      <c r="FI1997" s="5"/>
      <c r="FJ1997" s="164"/>
      <c r="FL1997" s="2"/>
      <c r="FN1997" s="2"/>
    </row>
    <row r="1998" spans="153:170" x14ac:dyDescent="0.35">
      <c r="EW1998" s="48"/>
      <c r="FB1998" s="5"/>
      <c r="FI1998" s="5"/>
      <c r="FJ1998" s="164"/>
      <c r="FL1998" s="2"/>
      <c r="FN1998" s="2"/>
    </row>
    <row r="1999" spans="153:170" x14ac:dyDescent="0.35">
      <c r="EW1999" s="48"/>
      <c r="FB1999" s="5"/>
      <c r="FI1999" s="5"/>
      <c r="FJ1999" s="164"/>
      <c r="FL1999" s="2"/>
      <c r="FN1999" s="2"/>
    </row>
    <row r="2000" spans="153:170" x14ac:dyDescent="0.35">
      <c r="EW2000" s="48"/>
      <c r="FB2000" s="5"/>
      <c r="FI2000" s="5"/>
      <c r="FJ2000" s="164"/>
      <c r="FL2000" s="2"/>
      <c r="FN2000" s="2"/>
    </row>
    <row r="2001" spans="153:170" x14ac:dyDescent="0.35">
      <c r="EW2001" s="48"/>
      <c r="FB2001" s="5"/>
      <c r="FI2001" s="5"/>
      <c r="FJ2001" s="164"/>
      <c r="FL2001" s="2"/>
      <c r="FN2001" s="2"/>
    </row>
    <row r="2002" spans="153:170" x14ac:dyDescent="0.35">
      <c r="EW2002" s="48"/>
      <c r="FB2002" s="5"/>
      <c r="FI2002" s="5"/>
      <c r="FJ2002" s="164"/>
      <c r="FL2002" s="2"/>
      <c r="FN2002" s="2"/>
    </row>
    <row r="2003" spans="153:170" x14ac:dyDescent="0.35">
      <c r="EW2003" s="48"/>
      <c r="FB2003" s="5"/>
      <c r="FI2003" s="5"/>
      <c r="FJ2003" s="164"/>
      <c r="FL2003" s="2"/>
      <c r="FN2003" s="2"/>
    </row>
    <row r="2004" spans="153:170" x14ac:dyDescent="0.35">
      <c r="EW2004" s="48"/>
      <c r="FB2004" s="5"/>
      <c r="FI2004" s="5"/>
      <c r="FJ2004" s="164"/>
      <c r="FL2004" s="2"/>
      <c r="FN2004" s="2"/>
    </row>
    <row r="2005" spans="153:170" x14ac:dyDescent="0.35">
      <c r="EW2005" s="48"/>
      <c r="FB2005" s="5"/>
      <c r="FI2005" s="5"/>
      <c r="FJ2005" s="164"/>
      <c r="FL2005" s="2"/>
      <c r="FN2005" s="2"/>
    </row>
    <row r="2006" spans="153:170" x14ac:dyDescent="0.35">
      <c r="EW2006" s="48"/>
      <c r="FB2006" s="5"/>
      <c r="FI2006" s="5"/>
      <c r="FJ2006" s="164"/>
      <c r="FL2006" s="2"/>
      <c r="FN2006" s="2"/>
    </row>
    <row r="2007" spans="153:170" x14ac:dyDescent="0.35">
      <c r="EW2007" s="48"/>
      <c r="FB2007" s="5"/>
      <c r="FI2007" s="5"/>
      <c r="FJ2007" s="164"/>
      <c r="FL2007" s="2"/>
      <c r="FN2007" s="2"/>
    </row>
    <row r="2008" spans="153:170" x14ac:dyDescent="0.35">
      <c r="EW2008" s="48"/>
      <c r="FB2008" s="5"/>
      <c r="FI2008" s="5"/>
      <c r="FJ2008" s="164"/>
      <c r="FL2008" s="2"/>
      <c r="FN2008" s="2"/>
    </row>
    <row r="2009" spans="153:170" x14ac:dyDescent="0.35">
      <c r="EW2009" s="48"/>
      <c r="FB2009" s="5"/>
      <c r="FI2009" s="5"/>
      <c r="FJ2009" s="164"/>
      <c r="FL2009" s="2"/>
      <c r="FN2009" s="2"/>
    </row>
    <row r="2010" spans="153:170" x14ac:dyDescent="0.35">
      <c r="EW2010" s="48"/>
      <c r="FB2010" s="5"/>
      <c r="FI2010" s="5"/>
      <c r="FJ2010" s="164"/>
      <c r="FL2010" s="2"/>
      <c r="FN2010" s="2"/>
    </row>
    <row r="2011" spans="153:170" x14ac:dyDescent="0.35">
      <c r="EW2011" s="48"/>
      <c r="FB2011" s="5"/>
      <c r="FI2011" s="5"/>
      <c r="FJ2011" s="164"/>
      <c r="FL2011" s="2"/>
      <c r="FN2011" s="2"/>
    </row>
    <row r="2012" spans="153:170" x14ac:dyDescent="0.35">
      <c r="EW2012" s="48"/>
      <c r="FB2012" s="5"/>
      <c r="FI2012" s="5"/>
      <c r="FJ2012" s="164"/>
      <c r="FL2012" s="2"/>
      <c r="FN2012" s="2"/>
    </row>
    <row r="2013" spans="153:170" x14ac:dyDescent="0.35">
      <c r="EW2013" s="48"/>
      <c r="FB2013" s="5"/>
      <c r="FI2013" s="5"/>
      <c r="FJ2013" s="164"/>
      <c r="FL2013" s="2"/>
      <c r="FN2013" s="2"/>
    </row>
    <row r="2014" spans="153:170" x14ac:dyDescent="0.35">
      <c r="EW2014" s="48"/>
      <c r="FB2014" s="5"/>
      <c r="FI2014" s="5"/>
      <c r="FJ2014" s="164"/>
      <c r="FL2014" s="2"/>
      <c r="FN2014" s="2"/>
    </row>
    <row r="2015" spans="153:170" x14ac:dyDescent="0.35">
      <c r="EW2015" s="48"/>
      <c r="FB2015" s="5"/>
      <c r="FI2015" s="5"/>
      <c r="FJ2015" s="164"/>
      <c r="FL2015" s="2"/>
      <c r="FN2015" s="2"/>
    </row>
    <row r="2016" spans="153:170" x14ac:dyDescent="0.35">
      <c r="EW2016" s="48"/>
      <c r="FB2016" s="5"/>
      <c r="FI2016" s="5"/>
      <c r="FJ2016" s="164"/>
      <c r="FL2016" s="2"/>
      <c r="FN2016" s="2"/>
    </row>
    <row r="2017" spans="153:170" x14ac:dyDescent="0.35">
      <c r="EW2017" s="48"/>
      <c r="FB2017" s="5"/>
      <c r="FI2017" s="5"/>
      <c r="FJ2017" s="164"/>
      <c r="FL2017" s="2"/>
      <c r="FN2017" s="2"/>
    </row>
    <row r="2018" spans="153:170" x14ac:dyDescent="0.35">
      <c r="EW2018" s="48"/>
      <c r="FB2018" s="5"/>
      <c r="FI2018" s="5"/>
      <c r="FJ2018" s="164"/>
      <c r="FL2018" s="2"/>
      <c r="FN2018" s="2"/>
    </row>
    <row r="2019" spans="153:170" x14ac:dyDescent="0.35">
      <c r="EW2019" s="48"/>
      <c r="FB2019" s="5"/>
      <c r="FI2019" s="5"/>
      <c r="FJ2019" s="164"/>
      <c r="FL2019" s="2"/>
      <c r="FN2019" s="2"/>
    </row>
    <row r="2020" spans="153:170" x14ac:dyDescent="0.35">
      <c r="EW2020" s="48"/>
      <c r="FB2020" s="5"/>
      <c r="FI2020" s="5"/>
      <c r="FJ2020" s="164"/>
      <c r="FL2020" s="2"/>
      <c r="FN2020" s="2"/>
    </row>
    <row r="2021" spans="153:170" x14ac:dyDescent="0.35">
      <c r="EW2021" s="48"/>
      <c r="FB2021" s="5"/>
      <c r="FI2021" s="5"/>
      <c r="FJ2021" s="164"/>
      <c r="FL2021" s="2"/>
      <c r="FN2021" s="2"/>
    </row>
    <row r="2022" spans="153:170" x14ac:dyDescent="0.35">
      <c r="EW2022" s="48"/>
      <c r="FB2022" s="5"/>
      <c r="FI2022" s="5"/>
      <c r="FJ2022" s="164"/>
      <c r="FL2022" s="2"/>
      <c r="FN2022" s="2"/>
    </row>
    <row r="2023" spans="153:170" x14ac:dyDescent="0.35">
      <c r="EW2023" s="48"/>
      <c r="FB2023" s="5"/>
      <c r="FI2023" s="5"/>
      <c r="FJ2023" s="164"/>
      <c r="FL2023" s="2"/>
      <c r="FN2023" s="2"/>
    </row>
    <row r="2024" spans="153:170" x14ac:dyDescent="0.35">
      <c r="EW2024" s="48"/>
      <c r="FB2024" s="5"/>
      <c r="FI2024" s="5"/>
      <c r="FJ2024" s="164"/>
      <c r="FL2024" s="2"/>
      <c r="FN2024" s="2"/>
    </row>
    <row r="2025" spans="153:170" x14ac:dyDescent="0.35">
      <c r="EW2025" s="48"/>
      <c r="FB2025" s="5"/>
      <c r="FI2025" s="5"/>
      <c r="FJ2025" s="164"/>
      <c r="FL2025" s="2"/>
      <c r="FN2025" s="2"/>
    </row>
    <row r="2026" spans="153:170" x14ac:dyDescent="0.35">
      <c r="EW2026" s="48"/>
      <c r="FB2026" s="5"/>
      <c r="FI2026" s="5"/>
      <c r="FJ2026" s="164"/>
      <c r="FL2026" s="2"/>
      <c r="FN2026" s="2"/>
    </row>
    <row r="2027" spans="153:170" x14ac:dyDescent="0.35">
      <c r="EW2027" s="48"/>
      <c r="FB2027" s="5"/>
      <c r="FI2027" s="5"/>
      <c r="FJ2027" s="164"/>
      <c r="FL2027" s="2"/>
      <c r="FN2027" s="2"/>
    </row>
    <row r="2028" spans="153:170" x14ac:dyDescent="0.35">
      <c r="EW2028" s="48"/>
      <c r="FB2028" s="5"/>
      <c r="FI2028" s="5"/>
      <c r="FJ2028" s="164"/>
      <c r="FL2028" s="2"/>
      <c r="FN2028" s="2"/>
    </row>
    <row r="2029" spans="153:170" x14ac:dyDescent="0.35">
      <c r="EW2029" s="48"/>
      <c r="FB2029" s="5"/>
      <c r="FI2029" s="5"/>
      <c r="FJ2029" s="164"/>
      <c r="FL2029" s="2"/>
      <c r="FN2029" s="2"/>
    </row>
    <row r="2030" spans="153:170" x14ac:dyDescent="0.35">
      <c r="EW2030" s="48"/>
      <c r="FB2030" s="5"/>
      <c r="FI2030" s="5"/>
      <c r="FJ2030" s="164"/>
      <c r="FL2030" s="2"/>
      <c r="FN2030" s="2"/>
    </row>
    <row r="2031" spans="153:170" x14ac:dyDescent="0.35">
      <c r="EW2031" s="48"/>
      <c r="FB2031" s="5"/>
      <c r="FI2031" s="5"/>
      <c r="FJ2031" s="164"/>
      <c r="FL2031" s="2"/>
      <c r="FN2031" s="2"/>
    </row>
    <row r="2032" spans="153:170" x14ac:dyDescent="0.35">
      <c r="EW2032" s="48"/>
      <c r="FB2032" s="5"/>
      <c r="FI2032" s="5"/>
      <c r="FJ2032" s="164"/>
      <c r="FL2032" s="2"/>
      <c r="FN2032" s="2"/>
    </row>
    <row r="2033" spans="153:170" x14ac:dyDescent="0.35">
      <c r="EW2033" s="48"/>
      <c r="FB2033" s="5"/>
      <c r="FI2033" s="5"/>
      <c r="FJ2033" s="164"/>
      <c r="FL2033" s="2"/>
      <c r="FN2033" s="2"/>
    </row>
    <row r="2034" spans="153:170" x14ac:dyDescent="0.35">
      <c r="EW2034" s="48"/>
      <c r="FB2034" s="5"/>
      <c r="FI2034" s="5"/>
      <c r="FJ2034" s="164"/>
      <c r="FL2034" s="2"/>
      <c r="FN2034" s="2"/>
    </row>
    <row r="2035" spans="153:170" x14ac:dyDescent="0.35">
      <c r="EW2035" s="48"/>
      <c r="FB2035" s="5"/>
      <c r="FI2035" s="5"/>
      <c r="FJ2035" s="164"/>
      <c r="FL2035" s="2"/>
      <c r="FN2035" s="2"/>
    </row>
    <row r="2036" spans="153:170" x14ac:dyDescent="0.35">
      <c r="EW2036" s="48"/>
      <c r="FB2036" s="5"/>
      <c r="FI2036" s="5"/>
      <c r="FJ2036" s="164"/>
      <c r="FL2036" s="2"/>
      <c r="FN2036" s="2"/>
    </row>
    <row r="2037" spans="153:170" x14ac:dyDescent="0.35">
      <c r="EW2037" s="48"/>
      <c r="FB2037" s="5"/>
      <c r="FI2037" s="5"/>
      <c r="FJ2037" s="164"/>
      <c r="FL2037" s="2"/>
      <c r="FN2037" s="2"/>
    </row>
    <row r="2038" spans="153:170" x14ac:dyDescent="0.35">
      <c r="EW2038" s="48"/>
      <c r="FB2038" s="5"/>
      <c r="FI2038" s="5"/>
      <c r="FJ2038" s="164"/>
      <c r="FL2038" s="2"/>
      <c r="FN2038" s="2"/>
    </row>
    <row r="2039" spans="153:170" x14ac:dyDescent="0.35">
      <c r="EW2039" s="48"/>
      <c r="FB2039" s="5"/>
      <c r="FI2039" s="5"/>
      <c r="FJ2039" s="164"/>
      <c r="FL2039" s="2"/>
      <c r="FN2039" s="2"/>
    </row>
    <row r="2040" spans="153:170" x14ac:dyDescent="0.35">
      <c r="EW2040" s="48"/>
      <c r="FB2040" s="5"/>
      <c r="FI2040" s="5"/>
      <c r="FJ2040" s="164"/>
      <c r="FL2040" s="2"/>
      <c r="FN2040" s="2"/>
    </row>
    <row r="2041" spans="153:170" x14ac:dyDescent="0.35">
      <c r="EW2041" s="48"/>
      <c r="FB2041" s="5"/>
      <c r="FI2041" s="5"/>
      <c r="FJ2041" s="164"/>
      <c r="FL2041" s="2"/>
      <c r="FN2041" s="2"/>
    </row>
    <row r="2042" spans="153:170" x14ac:dyDescent="0.35">
      <c r="EW2042" s="48"/>
      <c r="FB2042" s="5"/>
      <c r="FI2042" s="5"/>
      <c r="FJ2042" s="164"/>
      <c r="FL2042" s="2"/>
      <c r="FN2042" s="2"/>
    </row>
    <row r="2043" spans="153:170" x14ac:dyDescent="0.35">
      <c r="EW2043" s="48"/>
      <c r="FB2043" s="5"/>
      <c r="FI2043" s="5"/>
      <c r="FJ2043" s="164"/>
      <c r="FL2043" s="2"/>
      <c r="FN2043" s="2"/>
    </row>
    <row r="2044" spans="153:170" x14ac:dyDescent="0.35">
      <c r="EW2044" s="48"/>
      <c r="FB2044" s="5"/>
      <c r="FI2044" s="5"/>
      <c r="FJ2044" s="164"/>
      <c r="FL2044" s="2"/>
      <c r="FN2044" s="2"/>
    </row>
    <row r="2045" spans="153:170" x14ac:dyDescent="0.35">
      <c r="EW2045" s="48"/>
      <c r="FB2045" s="5"/>
      <c r="FI2045" s="5"/>
      <c r="FJ2045" s="164"/>
      <c r="FL2045" s="2"/>
      <c r="FN2045" s="2"/>
    </row>
    <row r="2046" spans="153:170" x14ac:dyDescent="0.35">
      <c r="EW2046" s="48"/>
      <c r="FB2046" s="5"/>
      <c r="FI2046" s="5"/>
      <c r="FJ2046" s="164"/>
      <c r="FL2046" s="2"/>
      <c r="FN2046" s="2"/>
    </row>
    <row r="2047" spans="153:170" x14ac:dyDescent="0.35">
      <c r="EW2047" s="48"/>
      <c r="FB2047" s="5"/>
      <c r="FI2047" s="5"/>
      <c r="FJ2047" s="164"/>
      <c r="FL2047" s="2"/>
      <c r="FN2047" s="2"/>
    </row>
    <row r="2048" spans="153:170" x14ac:dyDescent="0.35">
      <c r="EW2048" s="48"/>
      <c r="FB2048" s="5"/>
      <c r="FI2048" s="5"/>
      <c r="FJ2048" s="164"/>
      <c r="FL2048" s="2"/>
      <c r="FN2048" s="2"/>
    </row>
    <row r="2049" spans="153:170" x14ac:dyDescent="0.35">
      <c r="EW2049" s="48"/>
      <c r="FB2049" s="5"/>
      <c r="FI2049" s="5"/>
      <c r="FJ2049" s="164"/>
      <c r="FL2049" s="2"/>
      <c r="FN2049" s="2"/>
    </row>
    <row r="2050" spans="153:170" x14ac:dyDescent="0.35">
      <c r="EW2050" s="48"/>
      <c r="FB2050" s="5"/>
      <c r="FI2050" s="5"/>
      <c r="FJ2050" s="164"/>
      <c r="FL2050" s="2"/>
      <c r="FN2050" s="2"/>
    </row>
    <row r="2051" spans="153:170" x14ac:dyDescent="0.35">
      <c r="EW2051" s="48"/>
      <c r="FB2051" s="5"/>
      <c r="FI2051" s="5"/>
      <c r="FJ2051" s="164"/>
      <c r="FL2051" s="2"/>
      <c r="FN2051" s="2"/>
    </row>
    <row r="2052" spans="153:170" x14ac:dyDescent="0.35">
      <c r="EW2052" s="48"/>
      <c r="FB2052" s="5"/>
      <c r="FI2052" s="5"/>
      <c r="FJ2052" s="164"/>
      <c r="FL2052" s="2"/>
      <c r="FN2052" s="2"/>
    </row>
    <row r="2053" spans="153:170" x14ac:dyDescent="0.35">
      <c r="EW2053" s="48"/>
      <c r="FB2053" s="5"/>
      <c r="FI2053" s="5"/>
      <c r="FJ2053" s="164"/>
      <c r="FL2053" s="2"/>
      <c r="FN2053" s="2"/>
    </row>
    <row r="2054" spans="153:170" x14ac:dyDescent="0.35">
      <c r="EW2054" s="48"/>
      <c r="FB2054" s="5"/>
      <c r="FI2054" s="5"/>
      <c r="FJ2054" s="164"/>
      <c r="FL2054" s="2"/>
      <c r="FN2054" s="2"/>
    </row>
    <row r="2055" spans="153:170" x14ac:dyDescent="0.35">
      <c r="EW2055" s="48"/>
      <c r="FB2055" s="5"/>
      <c r="FI2055" s="5"/>
      <c r="FJ2055" s="164"/>
      <c r="FL2055" s="2"/>
      <c r="FN2055" s="2"/>
    </row>
    <row r="2056" spans="153:170" x14ac:dyDescent="0.35">
      <c r="EW2056" s="48"/>
      <c r="FB2056" s="5"/>
      <c r="FI2056" s="5"/>
      <c r="FJ2056" s="164"/>
      <c r="FL2056" s="2"/>
      <c r="FN2056" s="2"/>
    </row>
    <row r="2057" spans="153:170" x14ac:dyDescent="0.35">
      <c r="EW2057" s="48"/>
      <c r="FB2057" s="5"/>
      <c r="FI2057" s="5"/>
      <c r="FJ2057" s="164"/>
      <c r="FL2057" s="2"/>
      <c r="FN2057" s="2"/>
    </row>
    <row r="2058" spans="153:170" x14ac:dyDescent="0.35">
      <c r="EW2058" s="48"/>
      <c r="FB2058" s="5"/>
      <c r="FI2058" s="5"/>
      <c r="FJ2058" s="164"/>
      <c r="FL2058" s="2"/>
      <c r="FN2058" s="2"/>
    </row>
    <row r="2059" spans="153:170" x14ac:dyDescent="0.35">
      <c r="EW2059" s="48"/>
      <c r="FB2059" s="5"/>
      <c r="FI2059" s="5"/>
      <c r="FJ2059" s="164"/>
      <c r="FL2059" s="2"/>
      <c r="FN2059" s="2"/>
    </row>
    <row r="2060" spans="153:170" x14ac:dyDescent="0.35">
      <c r="EW2060" s="48"/>
      <c r="FB2060" s="5"/>
      <c r="FI2060" s="5"/>
      <c r="FJ2060" s="164"/>
      <c r="FL2060" s="2"/>
      <c r="FN2060" s="2"/>
    </row>
    <row r="2061" spans="153:170" x14ac:dyDescent="0.35">
      <c r="EW2061" s="48"/>
      <c r="FB2061" s="5"/>
      <c r="FI2061" s="5"/>
      <c r="FJ2061" s="164"/>
      <c r="FL2061" s="2"/>
      <c r="FN2061" s="2"/>
    </row>
    <row r="2062" spans="153:170" x14ac:dyDescent="0.35">
      <c r="EW2062" s="48"/>
      <c r="FB2062" s="5"/>
      <c r="FI2062" s="5"/>
      <c r="FJ2062" s="164"/>
      <c r="FL2062" s="2"/>
      <c r="FN2062" s="2"/>
    </row>
    <row r="2063" spans="153:170" x14ac:dyDescent="0.35">
      <c r="EW2063" s="48"/>
      <c r="FB2063" s="5"/>
      <c r="FI2063" s="5"/>
      <c r="FJ2063" s="164"/>
      <c r="FL2063" s="2"/>
      <c r="FN2063" s="2"/>
    </row>
    <row r="2064" spans="153:170" x14ac:dyDescent="0.35">
      <c r="EW2064" s="48"/>
      <c r="FB2064" s="5"/>
      <c r="FI2064" s="5"/>
      <c r="FJ2064" s="164"/>
      <c r="FL2064" s="2"/>
      <c r="FN2064" s="2"/>
    </row>
    <row r="2065" spans="153:170" x14ac:dyDescent="0.35">
      <c r="EW2065" s="48"/>
      <c r="FB2065" s="5"/>
      <c r="FI2065" s="5"/>
      <c r="FJ2065" s="164"/>
      <c r="FL2065" s="2"/>
      <c r="FN2065" s="2"/>
    </row>
    <row r="2066" spans="153:170" x14ac:dyDescent="0.35">
      <c r="EW2066" s="48"/>
      <c r="FB2066" s="5"/>
      <c r="FI2066" s="5"/>
      <c r="FJ2066" s="164"/>
      <c r="FL2066" s="2"/>
      <c r="FN2066" s="2"/>
    </row>
    <row r="2067" spans="153:170" x14ac:dyDescent="0.35">
      <c r="EW2067" s="48"/>
      <c r="FB2067" s="5"/>
      <c r="FI2067" s="5"/>
      <c r="FJ2067" s="164"/>
      <c r="FL2067" s="2"/>
      <c r="FN2067" s="2"/>
    </row>
    <row r="2068" spans="153:170" x14ac:dyDescent="0.35">
      <c r="EW2068" s="48"/>
      <c r="FB2068" s="5"/>
      <c r="FI2068" s="5"/>
      <c r="FJ2068" s="164"/>
      <c r="FL2068" s="2"/>
      <c r="FN2068" s="2"/>
    </row>
    <row r="2069" spans="153:170" x14ac:dyDescent="0.35">
      <c r="EW2069" s="48"/>
      <c r="FB2069" s="5"/>
      <c r="FI2069" s="5"/>
      <c r="FJ2069" s="164"/>
      <c r="FL2069" s="2"/>
      <c r="FN2069" s="2"/>
    </row>
    <row r="2070" spans="153:170" x14ac:dyDescent="0.35">
      <c r="EW2070" s="48"/>
      <c r="FB2070" s="5"/>
      <c r="FI2070" s="5"/>
      <c r="FJ2070" s="164"/>
      <c r="FL2070" s="2"/>
      <c r="FN2070" s="2"/>
    </row>
    <row r="2071" spans="153:170" x14ac:dyDescent="0.35">
      <c r="EW2071" s="48"/>
      <c r="FB2071" s="5"/>
      <c r="FI2071" s="5"/>
      <c r="FJ2071" s="164"/>
      <c r="FL2071" s="2"/>
      <c r="FN2071" s="2"/>
    </row>
    <row r="2072" spans="153:170" x14ac:dyDescent="0.35">
      <c r="EW2072" s="48"/>
      <c r="FB2072" s="5"/>
      <c r="FI2072" s="5"/>
      <c r="FJ2072" s="164"/>
      <c r="FL2072" s="2"/>
      <c r="FN2072" s="2"/>
    </row>
    <row r="2073" spans="153:170" x14ac:dyDescent="0.35">
      <c r="EW2073" s="48"/>
      <c r="FB2073" s="5"/>
      <c r="FI2073" s="5"/>
      <c r="FJ2073" s="164"/>
      <c r="FL2073" s="2"/>
      <c r="FN2073" s="2"/>
    </row>
    <row r="2074" spans="153:170" x14ac:dyDescent="0.35">
      <c r="EW2074" s="48"/>
      <c r="FB2074" s="5"/>
      <c r="FI2074" s="5"/>
      <c r="FJ2074" s="164"/>
      <c r="FL2074" s="2"/>
      <c r="FN2074" s="2"/>
    </row>
    <row r="2075" spans="153:170" x14ac:dyDescent="0.35">
      <c r="EW2075" s="48"/>
      <c r="FB2075" s="5"/>
      <c r="FI2075" s="5"/>
      <c r="FJ2075" s="164"/>
      <c r="FL2075" s="2"/>
      <c r="FN2075" s="2"/>
    </row>
    <row r="2076" spans="153:170" x14ac:dyDescent="0.35">
      <c r="EW2076" s="48"/>
      <c r="FB2076" s="5"/>
      <c r="FI2076" s="5"/>
      <c r="FJ2076" s="164"/>
      <c r="FL2076" s="2"/>
      <c r="FN2076" s="2"/>
    </row>
    <row r="2077" spans="153:170" x14ac:dyDescent="0.35">
      <c r="EW2077" s="48"/>
      <c r="FB2077" s="5"/>
      <c r="FI2077" s="5"/>
      <c r="FJ2077" s="164"/>
      <c r="FL2077" s="2"/>
      <c r="FN2077" s="2"/>
    </row>
    <row r="2078" spans="153:170" x14ac:dyDescent="0.35">
      <c r="EW2078" s="48"/>
      <c r="FB2078" s="5"/>
      <c r="FI2078" s="5"/>
      <c r="FJ2078" s="164"/>
      <c r="FL2078" s="2"/>
      <c r="FN2078" s="2"/>
    </row>
    <row r="2079" spans="153:170" x14ac:dyDescent="0.35">
      <c r="EW2079" s="48"/>
      <c r="FB2079" s="5"/>
      <c r="FI2079" s="5"/>
      <c r="FJ2079" s="164"/>
      <c r="FL2079" s="2"/>
      <c r="FN2079" s="2"/>
    </row>
    <row r="2080" spans="153:170" x14ac:dyDescent="0.35">
      <c r="EW2080" s="48"/>
      <c r="FB2080" s="5"/>
      <c r="FI2080" s="5"/>
      <c r="FJ2080" s="164"/>
      <c r="FL2080" s="2"/>
      <c r="FN2080" s="2"/>
    </row>
    <row r="2081" spans="153:170" x14ac:dyDescent="0.35">
      <c r="EW2081" s="48"/>
      <c r="FB2081" s="5"/>
      <c r="FI2081" s="5"/>
      <c r="FJ2081" s="164"/>
      <c r="FL2081" s="2"/>
      <c r="FN2081" s="2"/>
    </row>
    <row r="2082" spans="153:170" x14ac:dyDescent="0.35">
      <c r="EW2082" s="48"/>
      <c r="FB2082" s="5"/>
      <c r="FI2082" s="5"/>
      <c r="FJ2082" s="164"/>
      <c r="FL2082" s="2"/>
      <c r="FN2082" s="2"/>
    </row>
    <row r="2083" spans="153:170" x14ac:dyDescent="0.35">
      <c r="EW2083" s="48"/>
      <c r="FB2083" s="5"/>
      <c r="FI2083" s="5"/>
      <c r="FJ2083" s="164"/>
      <c r="FL2083" s="2"/>
      <c r="FN2083" s="2"/>
    </row>
    <row r="2084" spans="153:170" x14ac:dyDescent="0.35">
      <c r="EW2084" s="48"/>
      <c r="FB2084" s="5"/>
      <c r="FI2084" s="5"/>
      <c r="FJ2084" s="164"/>
      <c r="FL2084" s="2"/>
      <c r="FN2084" s="2"/>
    </row>
    <row r="2085" spans="153:170" x14ac:dyDescent="0.35">
      <c r="EW2085" s="48"/>
      <c r="FB2085" s="5"/>
      <c r="FI2085" s="5"/>
      <c r="FJ2085" s="164"/>
      <c r="FL2085" s="2"/>
      <c r="FN2085" s="2"/>
    </row>
    <row r="2086" spans="153:170" x14ac:dyDescent="0.35">
      <c r="EW2086" s="48"/>
      <c r="FB2086" s="5"/>
      <c r="FI2086" s="5"/>
      <c r="FJ2086" s="164"/>
      <c r="FL2086" s="2"/>
      <c r="FN2086" s="2"/>
    </row>
    <row r="2087" spans="153:170" x14ac:dyDescent="0.35">
      <c r="EW2087" s="48"/>
      <c r="FB2087" s="5"/>
      <c r="FI2087" s="5"/>
      <c r="FJ2087" s="164"/>
      <c r="FL2087" s="2"/>
      <c r="FN2087" s="2"/>
    </row>
    <row r="2088" spans="153:170" x14ac:dyDescent="0.35">
      <c r="EW2088" s="48"/>
      <c r="FB2088" s="5"/>
      <c r="FI2088" s="5"/>
      <c r="FJ2088" s="164"/>
      <c r="FL2088" s="2"/>
      <c r="FN2088" s="2"/>
    </row>
    <row r="2089" spans="153:170" x14ac:dyDescent="0.35">
      <c r="EW2089" s="48"/>
      <c r="FB2089" s="5"/>
      <c r="FI2089" s="5"/>
      <c r="FJ2089" s="164"/>
      <c r="FL2089" s="2"/>
      <c r="FN2089" s="2"/>
    </row>
    <row r="2090" spans="153:170" x14ac:dyDescent="0.35">
      <c r="EW2090" s="48"/>
      <c r="FB2090" s="5"/>
      <c r="FI2090" s="5"/>
      <c r="FJ2090" s="164"/>
      <c r="FL2090" s="2"/>
      <c r="FN2090" s="2"/>
    </row>
    <row r="2091" spans="153:170" x14ac:dyDescent="0.35">
      <c r="EW2091" s="48"/>
      <c r="FB2091" s="5"/>
      <c r="FI2091" s="5"/>
      <c r="FJ2091" s="164"/>
      <c r="FL2091" s="2"/>
      <c r="FN2091" s="2"/>
    </row>
    <row r="2092" spans="153:170" x14ac:dyDescent="0.35">
      <c r="EW2092" s="48"/>
      <c r="FB2092" s="5"/>
      <c r="FI2092" s="5"/>
      <c r="FJ2092" s="164"/>
      <c r="FL2092" s="2"/>
      <c r="FN2092" s="2"/>
    </row>
    <row r="2093" spans="153:170" x14ac:dyDescent="0.35">
      <c r="EW2093" s="48"/>
      <c r="FB2093" s="5"/>
      <c r="FI2093" s="5"/>
      <c r="FJ2093" s="164"/>
      <c r="FL2093" s="2"/>
      <c r="FN2093" s="2"/>
    </row>
    <row r="2094" spans="153:170" x14ac:dyDescent="0.35">
      <c r="EW2094" s="48"/>
      <c r="FB2094" s="5"/>
      <c r="FI2094" s="5"/>
      <c r="FJ2094" s="164"/>
      <c r="FL2094" s="2"/>
      <c r="FN2094" s="2"/>
    </row>
    <row r="2095" spans="153:170" x14ac:dyDescent="0.35">
      <c r="EW2095" s="48"/>
      <c r="FB2095" s="5"/>
      <c r="FI2095" s="5"/>
      <c r="FJ2095" s="164"/>
      <c r="FL2095" s="2"/>
      <c r="FN2095" s="2"/>
    </row>
    <row r="2096" spans="153:170" x14ac:dyDescent="0.35">
      <c r="EW2096" s="48"/>
      <c r="FB2096" s="5"/>
      <c r="FI2096" s="5"/>
      <c r="FJ2096" s="164"/>
      <c r="FL2096" s="2"/>
      <c r="FN2096" s="2"/>
    </row>
    <row r="2097" spans="153:170" x14ac:dyDescent="0.35">
      <c r="EW2097" s="48"/>
      <c r="FB2097" s="5"/>
      <c r="FI2097" s="5"/>
      <c r="FJ2097" s="164"/>
      <c r="FL2097" s="2"/>
      <c r="FN2097" s="2"/>
    </row>
    <row r="2098" spans="153:170" x14ac:dyDescent="0.35">
      <c r="EW2098" s="48"/>
      <c r="FB2098" s="5"/>
      <c r="FI2098" s="5"/>
      <c r="FJ2098" s="164"/>
      <c r="FL2098" s="2"/>
      <c r="FN2098" s="2"/>
    </row>
    <row r="2099" spans="153:170" x14ac:dyDescent="0.35">
      <c r="EW2099" s="48"/>
      <c r="FB2099" s="5"/>
      <c r="FI2099" s="5"/>
      <c r="FJ2099" s="164"/>
      <c r="FL2099" s="2"/>
      <c r="FN2099" s="2"/>
    </row>
    <row r="2100" spans="153:170" x14ac:dyDescent="0.35">
      <c r="EW2100" s="48"/>
      <c r="FB2100" s="5"/>
      <c r="FI2100" s="5"/>
      <c r="FJ2100" s="164"/>
      <c r="FL2100" s="2"/>
      <c r="FN2100" s="2"/>
    </row>
    <row r="2101" spans="153:170" x14ac:dyDescent="0.35">
      <c r="EW2101" s="48"/>
      <c r="FB2101" s="5"/>
      <c r="FI2101" s="5"/>
      <c r="FJ2101" s="164"/>
      <c r="FL2101" s="2"/>
      <c r="FN2101" s="2"/>
    </row>
    <row r="2102" spans="153:170" x14ac:dyDescent="0.35">
      <c r="EW2102" s="48"/>
      <c r="FB2102" s="5"/>
      <c r="FI2102" s="5"/>
      <c r="FJ2102" s="164"/>
      <c r="FL2102" s="2"/>
      <c r="FN2102" s="2"/>
    </row>
    <row r="2103" spans="153:170" x14ac:dyDescent="0.35">
      <c r="EW2103" s="48"/>
      <c r="FB2103" s="5"/>
      <c r="FI2103" s="5"/>
      <c r="FJ2103" s="164"/>
      <c r="FL2103" s="2"/>
      <c r="FN2103" s="2"/>
    </row>
    <row r="2104" spans="153:170" x14ac:dyDescent="0.35">
      <c r="EW2104" s="48"/>
      <c r="FB2104" s="5"/>
      <c r="FI2104" s="5"/>
      <c r="FJ2104" s="164"/>
      <c r="FL2104" s="2"/>
      <c r="FN2104" s="2"/>
    </row>
    <row r="2105" spans="153:170" x14ac:dyDescent="0.35">
      <c r="EW2105" s="48"/>
      <c r="FB2105" s="5"/>
      <c r="FI2105" s="5"/>
      <c r="FJ2105" s="164"/>
      <c r="FL2105" s="2"/>
      <c r="FN2105" s="2"/>
    </row>
    <row r="2106" spans="153:170" x14ac:dyDescent="0.35">
      <c r="EW2106" s="48"/>
      <c r="FB2106" s="5"/>
      <c r="FI2106" s="5"/>
      <c r="FJ2106" s="164"/>
      <c r="FL2106" s="2"/>
      <c r="FN2106" s="2"/>
    </row>
    <row r="2107" spans="153:170" x14ac:dyDescent="0.35">
      <c r="EW2107" s="48"/>
      <c r="FB2107" s="5"/>
      <c r="FI2107" s="5"/>
      <c r="FJ2107" s="164"/>
      <c r="FL2107" s="2"/>
      <c r="FN2107" s="2"/>
    </row>
    <row r="2108" spans="153:170" x14ac:dyDescent="0.35">
      <c r="EW2108" s="48"/>
      <c r="FB2108" s="5"/>
      <c r="FI2108" s="5"/>
      <c r="FJ2108" s="164"/>
      <c r="FL2108" s="2"/>
      <c r="FN2108" s="2"/>
    </row>
    <row r="2109" spans="153:170" x14ac:dyDescent="0.35">
      <c r="EW2109" s="48"/>
      <c r="FB2109" s="5"/>
      <c r="FI2109" s="5"/>
      <c r="FJ2109" s="164"/>
      <c r="FL2109" s="2"/>
      <c r="FN2109" s="2"/>
    </row>
    <row r="2110" spans="153:170" x14ac:dyDescent="0.35">
      <c r="EW2110" s="48"/>
      <c r="FB2110" s="5"/>
      <c r="FI2110" s="5"/>
      <c r="FJ2110" s="164"/>
      <c r="FL2110" s="2"/>
      <c r="FN2110" s="2"/>
    </row>
    <row r="2111" spans="153:170" x14ac:dyDescent="0.35">
      <c r="EW2111" s="48"/>
      <c r="FB2111" s="5"/>
      <c r="FI2111" s="5"/>
      <c r="FJ2111" s="164"/>
      <c r="FL2111" s="2"/>
      <c r="FN2111" s="2"/>
    </row>
    <row r="2112" spans="153:170" x14ac:dyDescent="0.35">
      <c r="EW2112" s="48"/>
      <c r="FB2112" s="5"/>
      <c r="FI2112" s="5"/>
      <c r="FJ2112" s="164"/>
      <c r="FL2112" s="2"/>
      <c r="FN2112" s="2"/>
    </row>
    <row r="2113" spans="153:170" x14ac:dyDescent="0.35">
      <c r="EW2113" s="48"/>
      <c r="FB2113" s="5"/>
      <c r="FI2113" s="5"/>
      <c r="FJ2113" s="164"/>
      <c r="FL2113" s="2"/>
      <c r="FN2113" s="2"/>
    </row>
    <row r="2114" spans="153:170" x14ac:dyDescent="0.35">
      <c r="EW2114" s="48"/>
      <c r="FB2114" s="5"/>
      <c r="FI2114" s="5"/>
      <c r="FJ2114" s="164"/>
      <c r="FL2114" s="2"/>
      <c r="FN2114" s="2"/>
    </row>
    <row r="2115" spans="153:170" x14ac:dyDescent="0.35">
      <c r="EW2115" s="48"/>
      <c r="FB2115" s="5"/>
      <c r="FI2115" s="5"/>
      <c r="FJ2115" s="164"/>
      <c r="FL2115" s="2"/>
      <c r="FN2115" s="2"/>
    </row>
    <row r="2116" spans="153:170" x14ac:dyDescent="0.35">
      <c r="EW2116" s="48"/>
      <c r="FB2116" s="5"/>
      <c r="FI2116" s="5"/>
      <c r="FJ2116" s="164"/>
      <c r="FL2116" s="2"/>
      <c r="FN2116" s="2"/>
    </row>
    <row r="2117" spans="153:170" x14ac:dyDescent="0.35">
      <c r="EW2117" s="48"/>
      <c r="FB2117" s="5"/>
      <c r="FI2117" s="5"/>
      <c r="FJ2117" s="164"/>
      <c r="FL2117" s="2"/>
      <c r="FN2117" s="2"/>
    </row>
    <row r="2118" spans="153:170" x14ac:dyDescent="0.35">
      <c r="EW2118" s="48"/>
      <c r="FB2118" s="5"/>
      <c r="FI2118" s="5"/>
      <c r="FJ2118" s="164"/>
      <c r="FL2118" s="2"/>
      <c r="FN2118" s="2"/>
    </row>
    <row r="2119" spans="153:170" x14ac:dyDescent="0.35">
      <c r="EW2119" s="48"/>
      <c r="FB2119" s="5"/>
      <c r="FI2119" s="5"/>
      <c r="FJ2119" s="164"/>
      <c r="FL2119" s="2"/>
      <c r="FN2119" s="2"/>
    </row>
    <row r="2120" spans="153:170" x14ac:dyDescent="0.35">
      <c r="EW2120" s="48"/>
      <c r="FB2120" s="5"/>
      <c r="FI2120" s="5"/>
      <c r="FJ2120" s="164"/>
      <c r="FL2120" s="2"/>
      <c r="FN2120" s="2"/>
    </row>
    <row r="2121" spans="153:170" x14ac:dyDescent="0.35">
      <c r="EW2121" s="48"/>
      <c r="FB2121" s="5"/>
      <c r="FI2121" s="5"/>
      <c r="FJ2121" s="164"/>
      <c r="FL2121" s="2"/>
      <c r="FN2121" s="2"/>
    </row>
    <row r="2122" spans="153:170" x14ac:dyDescent="0.35">
      <c r="EW2122" s="48"/>
      <c r="FB2122" s="5"/>
      <c r="FI2122" s="5"/>
      <c r="FJ2122" s="164"/>
      <c r="FL2122" s="2"/>
      <c r="FN2122" s="2"/>
    </row>
    <row r="2123" spans="153:170" x14ac:dyDescent="0.35">
      <c r="EW2123" s="48"/>
      <c r="FB2123" s="5"/>
      <c r="FI2123" s="5"/>
      <c r="FJ2123" s="164"/>
      <c r="FL2123" s="2"/>
      <c r="FN2123" s="2"/>
    </row>
    <row r="2124" spans="153:170" x14ac:dyDescent="0.35">
      <c r="EW2124" s="48"/>
      <c r="FB2124" s="5"/>
      <c r="FI2124" s="5"/>
      <c r="FJ2124" s="164"/>
      <c r="FL2124" s="2"/>
      <c r="FN2124" s="2"/>
    </row>
    <row r="2125" spans="153:170" x14ac:dyDescent="0.35">
      <c r="EW2125" s="48"/>
      <c r="FB2125" s="5"/>
      <c r="FI2125" s="5"/>
      <c r="FJ2125" s="164"/>
      <c r="FL2125" s="2"/>
      <c r="FN2125" s="2"/>
    </row>
    <row r="2126" spans="153:170" x14ac:dyDescent="0.35">
      <c r="EW2126" s="48"/>
      <c r="FB2126" s="5"/>
      <c r="FI2126" s="5"/>
      <c r="FJ2126" s="164"/>
      <c r="FL2126" s="2"/>
      <c r="FN2126" s="2"/>
    </row>
    <row r="2127" spans="153:170" x14ac:dyDescent="0.35">
      <c r="EW2127" s="48"/>
      <c r="FB2127" s="5"/>
      <c r="FI2127" s="5"/>
      <c r="FJ2127" s="164"/>
      <c r="FL2127" s="2"/>
      <c r="FN2127" s="2"/>
    </row>
    <row r="2128" spans="153:170" x14ac:dyDescent="0.35">
      <c r="EW2128" s="48"/>
      <c r="FB2128" s="5"/>
      <c r="FI2128" s="5"/>
      <c r="FJ2128" s="164"/>
      <c r="FL2128" s="2"/>
      <c r="FN2128" s="2"/>
    </row>
    <row r="2129" spans="153:170" x14ac:dyDescent="0.35">
      <c r="EW2129" s="48"/>
      <c r="FB2129" s="5"/>
      <c r="FI2129" s="5"/>
      <c r="FJ2129" s="164"/>
      <c r="FL2129" s="2"/>
      <c r="FN2129" s="2"/>
    </row>
    <row r="2130" spans="153:170" x14ac:dyDescent="0.35">
      <c r="EW2130" s="48"/>
      <c r="FB2130" s="5"/>
      <c r="FI2130" s="5"/>
      <c r="FJ2130" s="164"/>
      <c r="FL2130" s="2"/>
      <c r="FN2130" s="2"/>
    </row>
    <row r="2131" spans="153:170" x14ac:dyDescent="0.35">
      <c r="EW2131" s="48"/>
      <c r="FB2131" s="5"/>
      <c r="FI2131" s="5"/>
      <c r="FJ2131" s="164"/>
      <c r="FL2131" s="2"/>
      <c r="FN2131" s="2"/>
    </row>
    <row r="2132" spans="153:170" x14ac:dyDescent="0.35">
      <c r="EW2132" s="48"/>
      <c r="FB2132" s="5"/>
      <c r="FI2132" s="5"/>
      <c r="FJ2132" s="164"/>
      <c r="FL2132" s="2"/>
      <c r="FN2132" s="2"/>
    </row>
    <row r="2133" spans="153:170" x14ac:dyDescent="0.35">
      <c r="EW2133" s="48"/>
      <c r="FB2133" s="5"/>
      <c r="FI2133" s="5"/>
      <c r="FJ2133" s="164"/>
      <c r="FL2133" s="2"/>
      <c r="FN2133" s="2"/>
    </row>
    <row r="2134" spans="153:170" x14ac:dyDescent="0.35">
      <c r="EW2134" s="48"/>
      <c r="FB2134" s="5"/>
      <c r="FI2134" s="5"/>
      <c r="FJ2134" s="164"/>
      <c r="FL2134" s="2"/>
      <c r="FN2134" s="2"/>
    </row>
    <row r="2135" spans="153:170" x14ac:dyDescent="0.35">
      <c r="EW2135" s="48"/>
      <c r="FB2135" s="5"/>
      <c r="FI2135" s="5"/>
      <c r="FJ2135" s="164"/>
      <c r="FL2135" s="2"/>
      <c r="FN2135" s="2"/>
    </row>
    <row r="2136" spans="153:170" x14ac:dyDescent="0.35">
      <c r="EW2136" s="48"/>
      <c r="FB2136" s="5"/>
      <c r="FI2136" s="5"/>
      <c r="FJ2136" s="164"/>
      <c r="FL2136" s="2"/>
      <c r="FN2136" s="2"/>
    </row>
    <row r="2137" spans="153:170" x14ac:dyDescent="0.35">
      <c r="EW2137" s="48"/>
      <c r="FB2137" s="5"/>
      <c r="FI2137" s="5"/>
      <c r="FJ2137" s="164"/>
      <c r="FL2137" s="2"/>
      <c r="FN2137" s="2"/>
    </row>
    <row r="2138" spans="153:170" x14ac:dyDescent="0.35">
      <c r="EW2138" s="48"/>
      <c r="FB2138" s="5"/>
      <c r="FI2138" s="5"/>
      <c r="FJ2138" s="164"/>
      <c r="FL2138" s="2"/>
      <c r="FN2138" s="2"/>
    </row>
    <row r="2139" spans="153:170" x14ac:dyDescent="0.35">
      <c r="EW2139" s="48"/>
      <c r="FB2139" s="5"/>
      <c r="FI2139" s="5"/>
      <c r="FJ2139" s="164"/>
      <c r="FL2139" s="2"/>
      <c r="FN2139" s="2"/>
    </row>
    <row r="2140" spans="153:170" x14ac:dyDescent="0.35">
      <c r="EW2140" s="48"/>
      <c r="FB2140" s="5"/>
      <c r="FI2140" s="5"/>
      <c r="FJ2140" s="164"/>
      <c r="FL2140" s="2"/>
      <c r="FN2140" s="2"/>
    </row>
    <row r="2141" spans="153:170" x14ac:dyDescent="0.35">
      <c r="EW2141" s="48"/>
      <c r="FB2141" s="5"/>
      <c r="FI2141" s="5"/>
      <c r="FJ2141" s="164"/>
      <c r="FL2141" s="2"/>
      <c r="FN2141" s="2"/>
    </row>
    <row r="2142" spans="153:170" x14ac:dyDescent="0.35">
      <c r="EW2142" s="48"/>
      <c r="FB2142" s="5"/>
      <c r="FI2142" s="5"/>
      <c r="FJ2142" s="164"/>
      <c r="FL2142" s="2"/>
      <c r="FN2142" s="2"/>
    </row>
    <row r="2143" spans="153:170" x14ac:dyDescent="0.35">
      <c r="EW2143" s="48"/>
      <c r="FB2143" s="5"/>
      <c r="FI2143" s="5"/>
      <c r="FJ2143" s="164"/>
      <c r="FL2143" s="2"/>
      <c r="FN2143" s="2"/>
    </row>
    <row r="2144" spans="153:170" x14ac:dyDescent="0.35">
      <c r="EW2144" s="48"/>
      <c r="FB2144" s="5"/>
      <c r="FI2144" s="5"/>
      <c r="FJ2144" s="164"/>
      <c r="FL2144" s="2"/>
      <c r="FN2144" s="2"/>
    </row>
    <row r="2145" spans="153:170" x14ac:dyDescent="0.35">
      <c r="EW2145" s="48"/>
      <c r="FB2145" s="5"/>
      <c r="FI2145" s="5"/>
      <c r="FJ2145" s="164"/>
      <c r="FL2145" s="2"/>
      <c r="FN2145" s="2"/>
    </row>
    <row r="2146" spans="153:170" x14ac:dyDescent="0.35">
      <c r="EW2146" s="48"/>
      <c r="FB2146" s="5"/>
      <c r="FI2146" s="5"/>
      <c r="FJ2146" s="164"/>
      <c r="FL2146" s="2"/>
      <c r="FN2146" s="2"/>
    </row>
    <row r="2147" spans="153:170" x14ac:dyDescent="0.35">
      <c r="EW2147" s="48"/>
      <c r="FB2147" s="5"/>
      <c r="FI2147" s="5"/>
      <c r="FJ2147" s="164"/>
      <c r="FL2147" s="2"/>
      <c r="FN2147" s="2"/>
    </row>
    <row r="2148" spans="153:170" x14ac:dyDescent="0.35">
      <c r="EW2148" s="48"/>
      <c r="FB2148" s="5"/>
      <c r="FI2148" s="5"/>
      <c r="FJ2148" s="164"/>
      <c r="FL2148" s="2"/>
      <c r="FN2148" s="2"/>
    </row>
    <row r="2149" spans="153:170" x14ac:dyDescent="0.35">
      <c r="EW2149" s="48"/>
      <c r="FB2149" s="5"/>
      <c r="FI2149" s="5"/>
      <c r="FJ2149" s="164"/>
      <c r="FL2149" s="2"/>
      <c r="FN2149" s="2"/>
    </row>
    <row r="2150" spans="153:170" x14ac:dyDescent="0.35">
      <c r="EW2150" s="48"/>
      <c r="FB2150" s="5"/>
      <c r="FI2150" s="5"/>
      <c r="FJ2150" s="164"/>
      <c r="FL2150" s="2"/>
      <c r="FN2150" s="2"/>
    </row>
    <row r="2151" spans="153:170" x14ac:dyDescent="0.35">
      <c r="EW2151" s="48"/>
      <c r="FB2151" s="5"/>
      <c r="FI2151" s="5"/>
      <c r="FJ2151" s="164"/>
      <c r="FL2151" s="2"/>
      <c r="FN2151" s="2"/>
    </row>
    <row r="2152" spans="153:170" x14ac:dyDescent="0.35">
      <c r="EW2152" s="48"/>
      <c r="FB2152" s="5"/>
      <c r="FI2152" s="5"/>
      <c r="FJ2152" s="164"/>
      <c r="FL2152" s="2"/>
      <c r="FN2152" s="2"/>
    </row>
    <row r="2153" spans="153:170" x14ac:dyDescent="0.35">
      <c r="EW2153" s="48"/>
      <c r="FB2153" s="5"/>
      <c r="FI2153" s="5"/>
      <c r="FJ2153" s="164"/>
      <c r="FL2153" s="2"/>
      <c r="FN2153" s="2"/>
    </row>
    <row r="2154" spans="153:170" x14ac:dyDescent="0.35">
      <c r="EW2154" s="48"/>
      <c r="FB2154" s="5"/>
      <c r="FI2154" s="5"/>
      <c r="FJ2154" s="164"/>
      <c r="FL2154" s="2"/>
      <c r="FN2154" s="2"/>
    </row>
    <row r="2155" spans="153:170" x14ac:dyDescent="0.35">
      <c r="EW2155" s="48"/>
      <c r="FB2155" s="5"/>
      <c r="FI2155" s="5"/>
      <c r="FJ2155" s="164"/>
      <c r="FL2155" s="2"/>
      <c r="FN2155" s="2"/>
    </row>
    <row r="2156" spans="153:170" x14ac:dyDescent="0.35">
      <c r="EW2156" s="48"/>
      <c r="FB2156" s="5"/>
      <c r="FI2156" s="5"/>
      <c r="FJ2156" s="164"/>
      <c r="FL2156" s="2"/>
      <c r="FN2156" s="2"/>
    </row>
    <row r="2157" spans="153:170" x14ac:dyDescent="0.35">
      <c r="EW2157" s="48"/>
      <c r="FB2157" s="5"/>
      <c r="FI2157" s="5"/>
      <c r="FJ2157" s="164"/>
      <c r="FL2157" s="2"/>
      <c r="FN2157" s="2"/>
    </row>
    <row r="2158" spans="153:170" x14ac:dyDescent="0.35">
      <c r="EW2158" s="48"/>
      <c r="FB2158" s="5"/>
      <c r="FI2158" s="5"/>
      <c r="FJ2158" s="164"/>
      <c r="FL2158" s="2"/>
      <c r="FN2158" s="2"/>
    </row>
    <row r="2159" spans="153:170" x14ac:dyDescent="0.35">
      <c r="EW2159" s="48"/>
      <c r="FB2159" s="5"/>
      <c r="FI2159" s="5"/>
      <c r="FJ2159" s="164"/>
      <c r="FL2159" s="2"/>
      <c r="FN2159" s="2"/>
    </row>
    <row r="2160" spans="153:170" x14ac:dyDescent="0.35">
      <c r="EW2160" s="48"/>
      <c r="FB2160" s="5"/>
      <c r="FI2160" s="5"/>
      <c r="FJ2160" s="164"/>
      <c r="FL2160" s="2"/>
      <c r="FN2160" s="2"/>
    </row>
    <row r="2161" spans="153:170" x14ac:dyDescent="0.35">
      <c r="EW2161" s="48"/>
      <c r="FB2161" s="5"/>
      <c r="FI2161" s="5"/>
      <c r="FJ2161" s="164"/>
      <c r="FL2161" s="2"/>
      <c r="FN2161" s="2"/>
    </row>
    <row r="2162" spans="153:170" x14ac:dyDescent="0.35">
      <c r="EW2162" s="48"/>
      <c r="FB2162" s="5"/>
      <c r="FI2162" s="5"/>
      <c r="FJ2162" s="164"/>
      <c r="FL2162" s="2"/>
      <c r="FN2162" s="2"/>
    </row>
    <row r="2163" spans="153:170" x14ac:dyDescent="0.35">
      <c r="EW2163" s="48"/>
      <c r="FB2163" s="5"/>
      <c r="FI2163" s="5"/>
      <c r="FJ2163" s="164"/>
      <c r="FL2163" s="2"/>
      <c r="FN2163" s="2"/>
    </row>
    <row r="2164" spans="153:170" x14ac:dyDescent="0.35">
      <c r="EW2164" s="48"/>
      <c r="FB2164" s="5"/>
      <c r="FI2164" s="5"/>
      <c r="FJ2164" s="164"/>
      <c r="FL2164" s="2"/>
      <c r="FN2164" s="2"/>
    </row>
    <row r="2165" spans="153:170" x14ac:dyDescent="0.35">
      <c r="EW2165" s="48"/>
      <c r="FB2165" s="5"/>
      <c r="FI2165" s="5"/>
      <c r="FJ2165" s="164"/>
      <c r="FL2165" s="2"/>
      <c r="FN2165" s="2"/>
    </row>
    <row r="2166" spans="153:170" x14ac:dyDescent="0.35">
      <c r="EW2166" s="48"/>
      <c r="FB2166" s="5"/>
      <c r="FI2166" s="5"/>
      <c r="FJ2166" s="164"/>
      <c r="FL2166" s="2"/>
      <c r="FN2166" s="2"/>
    </row>
    <row r="2167" spans="153:170" x14ac:dyDescent="0.35">
      <c r="EW2167" s="48"/>
      <c r="FB2167" s="5"/>
      <c r="FI2167" s="5"/>
      <c r="FJ2167" s="164"/>
      <c r="FL2167" s="2"/>
      <c r="FN2167" s="2"/>
    </row>
    <row r="2168" spans="153:170" x14ac:dyDescent="0.35">
      <c r="EW2168" s="48"/>
      <c r="FB2168" s="5"/>
      <c r="FI2168" s="5"/>
      <c r="FJ2168" s="164"/>
      <c r="FL2168" s="2"/>
      <c r="FN2168" s="2"/>
    </row>
    <row r="2169" spans="153:170" x14ac:dyDescent="0.35">
      <c r="EW2169" s="48"/>
      <c r="FB2169" s="5"/>
      <c r="FI2169" s="5"/>
      <c r="FJ2169" s="164"/>
      <c r="FL2169" s="2"/>
      <c r="FN2169" s="2"/>
    </row>
    <row r="2170" spans="153:170" x14ac:dyDescent="0.35">
      <c r="EW2170" s="48"/>
      <c r="FB2170" s="5"/>
      <c r="FI2170" s="5"/>
      <c r="FJ2170" s="164"/>
      <c r="FL2170" s="2"/>
      <c r="FN2170" s="2"/>
    </row>
    <row r="2171" spans="153:170" x14ac:dyDescent="0.35">
      <c r="EW2171" s="48"/>
      <c r="FB2171" s="5"/>
      <c r="FI2171" s="5"/>
      <c r="FJ2171" s="164"/>
      <c r="FL2171" s="2"/>
      <c r="FN2171" s="2"/>
    </row>
    <row r="2172" spans="153:170" x14ac:dyDescent="0.35">
      <c r="EW2172" s="48"/>
      <c r="FB2172" s="5"/>
      <c r="FI2172" s="5"/>
      <c r="FJ2172" s="164"/>
      <c r="FL2172" s="2"/>
      <c r="FN2172" s="2"/>
    </row>
    <row r="2173" spans="153:170" x14ac:dyDescent="0.35">
      <c r="EW2173" s="48"/>
      <c r="FB2173" s="5"/>
      <c r="FI2173" s="5"/>
      <c r="FJ2173" s="164"/>
      <c r="FL2173" s="2"/>
      <c r="FN2173" s="2"/>
    </row>
    <row r="2174" spans="153:170" x14ac:dyDescent="0.35">
      <c r="EW2174" s="48"/>
      <c r="FB2174" s="5"/>
      <c r="FI2174" s="5"/>
      <c r="FJ2174" s="164"/>
      <c r="FL2174" s="2"/>
      <c r="FN2174" s="2"/>
    </row>
    <row r="2175" spans="153:170" x14ac:dyDescent="0.35">
      <c r="EW2175" s="48"/>
      <c r="FB2175" s="5"/>
      <c r="FI2175" s="5"/>
      <c r="FJ2175" s="164"/>
      <c r="FL2175" s="2"/>
      <c r="FN2175" s="2"/>
    </row>
    <row r="2176" spans="153:170" x14ac:dyDescent="0.35">
      <c r="EW2176" s="48"/>
      <c r="FB2176" s="5"/>
      <c r="FI2176" s="5"/>
      <c r="FJ2176" s="164"/>
      <c r="FL2176" s="2"/>
      <c r="FN2176" s="2"/>
    </row>
    <row r="2177" spans="153:170" x14ac:dyDescent="0.35">
      <c r="EW2177" s="48"/>
      <c r="FB2177" s="5"/>
      <c r="FI2177" s="5"/>
      <c r="FJ2177" s="164"/>
      <c r="FL2177" s="2"/>
      <c r="FN2177" s="2"/>
    </row>
    <row r="2178" spans="153:170" x14ac:dyDescent="0.35">
      <c r="EW2178" s="48"/>
      <c r="FB2178" s="5"/>
      <c r="FI2178" s="5"/>
      <c r="FJ2178" s="164"/>
      <c r="FL2178" s="2"/>
      <c r="FN2178" s="2"/>
    </row>
    <row r="2179" spans="153:170" x14ac:dyDescent="0.35">
      <c r="EW2179" s="48"/>
      <c r="FB2179" s="5"/>
      <c r="FI2179" s="5"/>
      <c r="FJ2179" s="164"/>
      <c r="FL2179" s="2"/>
      <c r="FN2179" s="2"/>
    </row>
    <row r="2180" spans="153:170" x14ac:dyDescent="0.35">
      <c r="EW2180" s="48"/>
      <c r="FB2180" s="5"/>
      <c r="FI2180" s="5"/>
      <c r="FJ2180" s="164"/>
      <c r="FL2180" s="2"/>
      <c r="FN2180" s="2"/>
    </row>
    <row r="2181" spans="153:170" x14ac:dyDescent="0.35">
      <c r="EW2181" s="48"/>
      <c r="FB2181" s="5"/>
      <c r="FI2181" s="5"/>
      <c r="FJ2181" s="164"/>
      <c r="FL2181" s="2"/>
      <c r="FN2181" s="2"/>
    </row>
    <row r="2182" spans="153:170" x14ac:dyDescent="0.35">
      <c r="EW2182" s="48"/>
      <c r="FB2182" s="5"/>
      <c r="FI2182" s="5"/>
      <c r="FJ2182" s="164"/>
      <c r="FL2182" s="2"/>
      <c r="FN2182" s="2"/>
    </row>
    <row r="2183" spans="153:170" x14ac:dyDescent="0.35">
      <c r="EW2183" s="48"/>
      <c r="FB2183" s="5"/>
      <c r="FI2183" s="5"/>
      <c r="FJ2183" s="164"/>
      <c r="FL2183" s="2"/>
      <c r="FN2183" s="2"/>
    </row>
    <row r="2184" spans="153:170" x14ac:dyDescent="0.35">
      <c r="EW2184" s="48"/>
      <c r="FB2184" s="5"/>
      <c r="FI2184" s="5"/>
      <c r="FJ2184" s="164"/>
      <c r="FL2184" s="2"/>
      <c r="FN2184" s="2"/>
    </row>
    <row r="2185" spans="153:170" x14ac:dyDescent="0.35">
      <c r="EW2185" s="48"/>
      <c r="FB2185" s="5"/>
      <c r="FI2185" s="5"/>
      <c r="FJ2185" s="164"/>
      <c r="FL2185" s="2"/>
      <c r="FN2185" s="2"/>
    </row>
    <row r="2186" spans="153:170" x14ac:dyDescent="0.35">
      <c r="EW2186" s="48"/>
      <c r="FB2186" s="5"/>
      <c r="FI2186" s="5"/>
      <c r="FJ2186" s="164"/>
      <c r="FL2186" s="2"/>
      <c r="FN2186" s="2"/>
    </row>
    <row r="2187" spans="153:170" x14ac:dyDescent="0.35">
      <c r="EW2187" s="48"/>
      <c r="FB2187" s="5"/>
      <c r="FI2187" s="5"/>
      <c r="FJ2187" s="164"/>
      <c r="FL2187" s="2"/>
      <c r="FN2187" s="2"/>
    </row>
    <row r="2188" spans="153:170" x14ac:dyDescent="0.35">
      <c r="EW2188" s="48"/>
      <c r="FB2188" s="5"/>
      <c r="FI2188" s="5"/>
      <c r="FJ2188" s="164"/>
      <c r="FL2188" s="2"/>
      <c r="FN2188" s="2"/>
    </row>
    <row r="2189" spans="153:170" x14ac:dyDescent="0.35">
      <c r="EW2189" s="48"/>
      <c r="FB2189" s="5"/>
      <c r="FI2189" s="5"/>
      <c r="FJ2189" s="164"/>
      <c r="FL2189" s="2"/>
      <c r="FN2189" s="2"/>
    </row>
    <row r="2190" spans="153:170" x14ac:dyDescent="0.35">
      <c r="EW2190" s="48"/>
      <c r="FB2190" s="5"/>
      <c r="FI2190" s="5"/>
      <c r="FJ2190" s="164"/>
      <c r="FL2190" s="2"/>
      <c r="FN2190" s="2"/>
    </row>
    <row r="2191" spans="153:170" x14ac:dyDescent="0.35">
      <c r="EW2191" s="48"/>
      <c r="FB2191" s="5"/>
      <c r="FI2191" s="5"/>
      <c r="FJ2191" s="164"/>
      <c r="FL2191" s="2"/>
      <c r="FN2191" s="2"/>
    </row>
    <row r="2192" spans="153:170" x14ac:dyDescent="0.35">
      <c r="EW2192" s="48"/>
      <c r="FB2192" s="5"/>
      <c r="FI2192" s="5"/>
      <c r="FJ2192" s="164"/>
      <c r="FL2192" s="2"/>
      <c r="FN2192" s="2"/>
    </row>
    <row r="2193" spans="153:170" x14ac:dyDescent="0.35">
      <c r="EW2193" s="48"/>
      <c r="FB2193" s="5"/>
      <c r="FI2193" s="5"/>
      <c r="FJ2193" s="164"/>
      <c r="FL2193" s="2"/>
      <c r="FN2193" s="2"/>
    </row>
    <row r="2194" spans="153:170" x14ac:dyDescent="0.35">
      <c r="EW2194" s="48"/>
      <c r="FB2194" s="5"/>
      <c r="FI2194" s="5"/>
      <c r="FJ2194" s="164"/>
      <c r="FL2194" s="2"/>
      <c r="FN2194" s="2"/>
    </row>
    <row r="2195" spans="153:170" x14ac:dyDescent="0.35">
      <c r="EW2195" s="48"/>
      <c r="FB2195" s="5"/>
      <c r="FI2195" s="5"/>
      <c r="FJ2195" s="164"/>
      <c r="FL2195" s="2"/>
      <c r="FN2195" s="2"/>
    </row>
    <row r="2196" spans="153:170" x14ac:dyDescent="0.35">
      <c r="EW2196" s="48"/>
      <c r="FB2196" s="5"/>
      <c r="FI2196" s="5"/>
      <c r="FJ2196" s="164"/>
      <c r="FL2196" s="2"/>
      <c r="FN2196" s="2"/>
    </row>
    <row r="2197" spans="153:170" x14ac:dyDescent="0.35">
      <c r="EW2197" s="48"/>
      <c r="FB2197" s="5"/>
      <c r="FI2197" s="5"/>
      <c r="FJ2197" s="164"/>
      <c r="FL2197" s="2"/>
      <c r="FN2197" s="2"/>
    </row>
    <row r="2198" spans="153:170" x14ac:dyDescent="0.35">
      <c r="EW2198" s="48"/>
      <c r="FB2198" s="5"/>
      <c r="FI2198" s="5"/>
      <c r="FJ2198" s="164"/>
      <c r="FL2198" s="2"/>
      <c r="FN2198" s="2"/>
    </row>
    <row r="2199" spans="153:170" x14ac:dyDescent="0.35">
      <c r="EW2199" s="48"/>
      <c r="FB2199" s="5"/>
      <c r="FI2199" s="5"/>
      <c r="FJ2199" s="164"/>
      <c r="FL2199" s="2"/>
      <c r="FN2199" s="2"/>
    </row>
    <row r="2200" spans="153:170" x14ac:dyDescent="0.35">
      <c r="EW2200" s="48"/>
      <c r="FB2200" s="5"/>
      <c r="FI2200" s="5"/>
      <c r="FJ2200" s="164"/>
      <c r="FL2200" s="2"/>
      <c r="FN2200" s="2"/>
    </row>
    <row r="2201" spans="153:170" x14ac:dyDescent="0.35">
      <c r="EW2201" s="48"/>
      <c r="FB2201" s="5"/>
      <c r="FI2201" s="5"/>
      <c r="FJ2201" s="164"/>
      <c r="FL2201" s="2"/>
      <c r="FN2201" s="2"/>
    </row>
    <row r="2202" spans="153:170" x14ac:dyDescent="0.35">
      <c r="EW2202" s="48"/>
      <c r="FB2202" s="5"/>
      <c r="FI2202" s="5"/>
      <c r="FJ2202" s="164"/>
      <c r="FL2202" s="2"/>
      <c r="FN2202" s="2"/>
    </row>
    <row r="2203" spans="153:170" x14ac:dyDescent="0.35">
      <c r="EW2203" s="48"/>
      <c r="FB2203" s="5"/>
      <c r="FI2203" s="5"/>
      <c r="FJ2203" s="164"/>
      <c r="FL2203" s="2"/>
      <c r="FN2203" s="2"/>
    </row>
    <row r="2204" spans="153:170" x14ac:dyDescent="0.35">
      <c r="EW2204" s="48"/>
      <c r="FB2204" s="5"/>
      <c r="FI2204" s="5"/>
      <c r="FJ2204" s="164"/>
      <c r="FL2204" s="2"/>
      <c r="FN2204" s="2"/>
    </row>
    <row r="2205" spans="153:170" x14ac:dyDescent="0.35">
      <c r="EW2205" s="48"/>
      <c r="FB2205" s="5"/>
      <c r="FI2205" s="5"/>
      <c r="FJ2205" s="164"/>
      <c r="FL2205" s="2"/>
      <c r="FN2205" s="2"/>
    </row>
    <row r="2206" spans="153:170" x14ac:dyDescent="0.35">
      <c r="EW2206" s="48"/>
      <c r="FB2206" s="5"/>
      <c r="FI2206" s="5"/>
      <c r="FJ2206" s="164"/>
      <c r="FL2206" s="2"/>
      <c r="FN2206" s="2"/>
    </row>
    <row r="2207" spans="153:170" x14ac:dyDescent="0.35">
      <c r="EW2207" s="48"/>
      <c r="FB2207" s="5"/>
      <c r="FI2207" s="5"/>
      <c r="FJ2207" s="164"/>
      <c r="FL2207" s="2"/>
      <c r="FN2207" s="2"/>
    </row>
    <row r="2208" spans="153:170" x14ac:dyDescent="0.35">
      <c r="EW2208" s="48"/>
      <c r="FB2208" s="5"/>
      <c r="FI2208" s="5"/>
      <c r="FJ2208" s="164"/>
      <c r="FL2208" s="2"/>
      <c r="FN2208" s="2"/>
    </row>
    <row r="2209" spans="153:170" x14ac:dyDescent="0.35">
      <c r="EW2209" s="48"/>
      <c r="FB2209" s="5"/>
      <c r="FI2209" s="5"/>
      <c r="FJ2209" s="164"/>
      <c r="FL2209" s="2"/>
      <c r="FN2209" s="2"/>
    </row>
    <row r="2210" spans="153:170" x14ac:dyDescent="0.35">
      <c r="EW2210" s="48"/>
      <c r="FB2210" s="5"/>
      <c r="FI2210" s="5"/>
      <c r="FJ2210" s="164"/>
      <c r="FL2210" s="2"/>
      <c r="FN2210" s="2"/>
    </row>
    <row r="2211" spans="153:170" x14ac:dyDescent="0.35">
      <c r="EW2211" s="48"/>
      <c r="FB2211" s="5"/>
      <c r="FI2211" s="5"/>
      <c r="FJ2211" s="164"/>
      <c r="FL2211" s="2"/>
      <c r="FN2211" s="2"/>
    </row>
    <row r="2212" spans="153:170" x14ac:dyDescent="0.35">
      <c r="EW2212" s="48"/>
      <c r="FB2212" s="5"/>
      <c r="FI2212" s="5"/>
      <c r="FJ2212" s="164"/>
      <c r="FL2212" s="2"/>
      <c r="FN2212" s="2"/>
    </row>
    <row r="2213" spans="153:170" x14ac:dyDescent="0.35">
      <c r="EW2213" s="48"/>
      <c r="FB2213" s="5"/>
      <c r="FI2213" s="5"/>
      <c r="FJ2213" s="164"/>
      <c r="FL2213" s="2"/>
      <c r="FN2213" s="2"/>
    </row>
    <row r="2214" spans="153:170" x14ac:dyDescent="0.35">
      <c r="EW2214" s="48"/>
      <c r="FB2214" s="5"/>
      <c r="FI2214" s="5"/>
      <c r="FJ2214" s="164"/>
      <c r="FL2214" s="2"/>
      <c r="FN2214" s="2"/>
    </row>
    <row r="2215" spans="153:170" x14ac:dyDescent="0.35">
      <c r="EW2215" s="48"/>
      <c r="FB2215" s="5"/>
      <c r="FI2215" s="5"/>
      <c r="FJ2215" s="164"/>
      <c r="FL2215" s="2"/>
      <c r="FN2215" s="2"/>
    </row>
    <row r="2216" spans="153:170" x14ac:dyDescent="0.35">
      <c r="EW2216" s="48"/>
      <c r="FB2216" s="5"/>
      <c r="FI2216" s="5"/>
      <c r="FJ2216" s="164"/>
      <c r="FL2216" s="2"/>
      <c r="FN2216" s="2"/>
    </row>
    <row r="2217" spans="153:170" x14ac:dyDescent="0.35">
      <c r="EW2217" s="48"/>
      <c r="FB2217" s="5"/>
      <c r="FI2217" s="5"/>
      <c r="FJ2217" s="164"/>
      <c r="FL2217" s="2"/>
      <c r="FN2217" s="2"/>
    </row>
    <row r="2218" spans="153:170" x14ac:dyDescent="0.35">
      <c r="EW2218" s="48"/>
      <c r="FB2218" s="5"/>
      <c r="FI2218" s="5"/>
      <c r="FJ2218" s="164"/>
      <c r="FL2218" s="2"/>
      <c r="FN2218" s="2"/>
    </row>
    <row r="2219" spans="153:170" x14ac:dyDescent="0.35">
      <c r="EW2219" s="48"/>
      <c r="FB2219" s="5"/>
      <c r="FI2219" s="5"/>
      <c r="FJ2219" s="164"/>
      <c r="FL2219" s="2"/>
      <c r="FN2219" s="2"/>
    </row>
    <row r="2220" spans="153:170" x14ac:dyDescent="0.35">
      <c r="EW2220" s="48"/>
      <c r="FB2220" s="5"/>
      <c r="FI2220" s="5"/>
      <c r="FJ2220" s="164"/>
      <c r="FL2220" s="2"/>
      <c r="FN2220" s="2"/>
    </row>
    <row r="2221" spans="153:170" x14ac:dyDescent="0.35">
      <c r="EW2221" s="48"/>
      <c r="FB2221" s="5"/>
      <c r="FI2221" s="5"/>
      <c r="FJ2221" s="164"/>
      <c r="FL2221" s="2"/>
      <c r="FN2221" s="2"/>
    </row>
    <row r="2222" spans="153:170" x14ac:dyDescent="0.35">
      <c r="EW2222" s="48"/>
      <c r="FB2222" s="5"/>
      <c r="FI2222" s="5"/>
      <c r="FJ2222" s="164"/>
      <c r="FL2222" s="2"/>
      <c r="FN2222" s="2"/>
    </row>
    <row r="2223" spans="153:170" x14ac:dyDescent="0.35">
      <c r="EW2223" s="48"/>
      <c r="FB2223" s="5"/>
      <c r="FI2223" s="5"/>
      <c r="FJ2223" s="164"/>
      <c r="FL2223" s="2"/>
      <c r="FN2223" s="2"/>
    </row>
    <row r="2224" spans="153:170" x14ac:dyDescent="0.35">
      <c r="EW2224" s="48"/>
      <c r="FB2224" s="5"/>
      <c r="FI2224" s="5"/>
      <c r="FJ2224" s="164"/>
      <c r="FL2224" s="2"/>
      <c r="FN2224" s="2"/>
    </row>
    <row r="2225" spans="153:170" x14ac:dyDescent="0.35">
      <c r="EW2225" s="48"/>
      <c r="FB2225" s="5"/>
      <c r="FI2225" s="5"/>
      <c r="FJ2225" s="164"/>
      <c r="FL2225" s="2"/>
      <c r="FN2225" s="2"/>
    </row>
    <row r="2226" spans="153:170" x14ac:dyDescent="0.35">
      <c r="EW2226" s="48"/>
      <c r="FB2226" s="5"/>
      <c r="FI2226" s="5"/>
      <c r="FJ2226" s="164"/>
      <c r="FL2226" s="2"/>
      <c r="FN2226" s="2"/>
    </row>
    <row r="2227" spans="153:170" x14ac:dyDescent="0.35">
      <c r="EW2227" s="48"/>
      <c r="FB2227" s="5"/>
      <c r="FI2227" s="5"/>
      <c r="FJ2227" s="164"/>
      <c r="FL2227" s="2"/>
      <c r="FN2227" s="2"/>
    </row>
    <row r="2228" spans="153:170" x14ac:dyDescent="0.35">
      <c r="EW2228" s="48"/>
      <c r="FB2228" s="5"/>
      <c r="FI2228" s="5"/>
      <c r="FJ2228" s="164"/>
      <c r="FL2228" s="2"/>
      <c r="FN2228" s="2"/>
    </row>
    <row r="2229" spans="153:170" x14ac:dyDescent="0.35">
      <c r="EW2229" s="48"/>
      <c r="FB2229" s="5"/>
      <c r="FI2229" s="5"/>
      <c r="FJ2229" s="164"/>
      <c r="FL2229" s="2"/>
      <c r="FN2229" s="2"/>
    </row>
    <row r="2230" spans="153:170" x14ac:dyDescent="0.35">
      <c r="EW2230" s="48"/>
      <c r="FB2230" s="5"/>
      <c r="FI2230" s="5"/>
      <c r="FJ2230" s="164"/>
      <c r="FL2230" s="2"/>
      <c r="FN2230" s="2"/>
    </row>
    <row r="2231" spans="153:170" x14ac:dyDescent="0.35">
      <c r="EW2231" s="48"/>
      <c r="FB2231" s="5"/>
      <c r="FI2231" s="5"/>
      <c r="FJ2231" s="164"/>
      <c r="FL2231" s="2"/>
      <c r="FN2231" s="2"/>
    </row>
    <row r="2232" spans="153:170" x14ac:dyDescent="0.35">
      <c r="EW2232" s="48"/>
      <c r="FB2232" s="5"/>
      <c r="FI2232" s="5"/>
      <c r="FJ2232" s="164"/>
      <c r="FL2232" s="2"/>
      <c r="FN2232" s="2"/>
    </row>
    <row r="2233" spans="153:170" x14ac:dyDescent="0.35">
      <c r="EW2233" s="48"/>
      <c r="FB2233" s="5"/>
      <c r="FI2233" s="5"/>
      <c r="FJ2233" s="164"/>
      <c r="FL2233" s="2"/>
      <c r="FN2233" s="2"/>
    </row>
    <row r="2234" spans="153:170" x14ac:dyDescent="0.35">
      <c r="EW2234" s="48"/>
      <c r="FB2234" s="5"/>
      <c r="FI2234" s="5"/>
      <c r="FJ2234" s="164"/>
      <c r="FL2234" s="2"/>
      <c r="FN2234" s="2"/>
    </row>
    <row r="2235" spans="153:170" x14ac:dyDescent="0.35">
      <c r="EW2235" s="48"/>
      <c r="FB2235" s="5"/>
      <c r="FI2235" s="5"/>
      <c r="FJ2235" s="164"/>
      <c r="FL2235" s="2"/>
      <c r="FN2235" s="2"/>
    </row>
    <row r="2236" spans="153:170" x14ac:dyDescent="0.35">
      <c r="EW2236" s="48"/>
      <c r="FB2236" s="5"/>
      <c r="FI2236" s="5"/>
      <c r="FJ2236" s="164"/>
      <c r="FL2236" s="2"/>
      <c r="FN2236" s="2"/>
    </row>
    <row r="2237" spans="153:170" x14ac:dyDescent="0.35">
      <c r="EW2237" s="48"/>
      <c r="FB2237" s="5"/>
      <c r="FI2237" s="5"/>
      <c r="FJ2237" s="164"/>
      <c r="FL2237" s="2"/>
      <c r="FN2237" s="2"/>
    </row>
    <row r="2238" spans="153:170" x14ac:dyDescent="0.35">
      <c r="EW2238" s="48"/>
      <c r="FB2238" s="5"/>
      <c r="FI2238" s="5"/>
      <c r="FJ2238" s="164"/>
      <c r="FL2238" s="2"/>
      <c r="FN2238" s="2"/>
    </row>
    <row r="2239" spans="153:170" x14ac:dyDescent="0.35">
      <c r="EW2239" s="48"/>
      <c r="FB2239" s="5"/>
      <c r="FI2239" s="5"/>
      <c r="FJ2239" s="164"/>
      <c r="FL2239" s="2"/>
      <c r="FN2239" s="2"/>
    </row>
    <row r="2240" spans="153:170" x14ac:dyDescent="0.35">
      <c r="EW2240" s="48"/>
      <c r="FB2240" s="5"/>
      <c r="FI2240" s="5"/>
      <c r="FJ2240" s="164"/>
      <c r="FL2240" s="2"/>
      <c r="FN2240" s="2"/>
    </row>
    <row r="2241" spans="153:170" x14ac:dyDescent="0.35">
      <c r="EW2241" s="48"/>
      <c r="FB2241" s="5"/>
      <c r="FI2241" s="5"/>
      <c r="FJ2241" s="164"/>
      <c r="FL2241" s="2"/>
      <c r="FN2241" s="2"/>
    </row>
    <row r="2242" spans="153:170" x14ac:dyDescent="0.35">
      <c r="EW2242" s="48"/>
      <c r="FB2242" s="5"/>
      <c r="FI2242" s="5"/>
      <c r="FJ2242" s="164"/>
      <c r="FL2242" s="2"/>
      <c r="FN2242" s="2"/>
    </row>
    <row r="2243" spans="153:170" x14ac:dyDescent="0.35">
      <c r="EW2243" s="48"/>
      <c r="FB2243" s="5"/>
      <c r="FI2243" s="5"/>
      <c r="FJ2243" s="164"/>
      <c r="FL2243" s="2"/>
      <c r="FN2243" s="2"/>
    </row>
    <row r="2244" spans="153:170" x14ac:dyDescent="0.35">
      <c r="EW2244" s="48"/>
      <c r="FB2244" s="5"/>
      <c r="FI2244" s="5"/>
      <c r="FJ2244" s="164"/>
      <c r="FL2244" s="2"/>
      <c r="FN2244" s="2"/>
    </row>
    <row r="2245" spans="153:170" x14ac:dyDescent="0.35">
      <c r="EW2245" s="48"/>
      <c r="FB2245" s="5"/>
      <c r="FI2245" s="5"/>
      <c r="FJ2245" s="164"/>
      <c r="FL2245" s="2"/>
      <c r="FN2245" s="2"/>
    </row>
    <row r="2246" spans="153:170" x14ac:dyDescent="0.35">
      <c r="EW2246" s="48"/>
      <c r="FB2246" s="5"/>
      <c r="FI2246" s="5"/>
      <c r="FJ2246" s="164"/>
      <c r="FL2246" s="2"/>
      <c r="FN2246" s="2"/>
    </row>
    <row r="2247" spans="153:170" x14ac:dyDescent="0.35">
      <c r="EW2247" s="48"/>
      <c r="FB2247" s="5"/>
      <c r="FI2247" s="5"/>
      <c r="FJ2247" s="164"/>
      <c r="FL2247" s="2"/>
      <c r="FN2247" s="2"/>
    </row>
    <row r="2248" spans="153:170" x14ac:dyDescent="0.35">
      <c r="EW2248" s="48"/>
      <c r="FB2248" s="5"/>
      <c r="FI2248" s="5"/>
      <c r="FJ2248" s="164"/>
      <c r="FL2248" s="2"/>
      <c r="FN2248" s="2"/>
    </row>
    <row r="2249" spans="153:170" x14ac:dyDescent="0.35">
      <c r="EW2249" s="48"/>
      <c r="FB2249" s="5"/>
      <c r="FI2249" s="5"/>
      <c r="FJ2249" s="164"/>
      <c r="FL2249" s="2"/>
      <c r="FN2249" s="2"/>
    </row>
    <row r="2250" spans="153:170" x14ac:dyDescent="0.35">
      <c r="EW2250" s="48"/>
      <c r="FB2250" s="5"/>
      <c r="FI2250" s="5"/>
      <c r="FJ2250" s="164"/>
      <c r="FL2250" s="2"/>
      <c r="FN2250" s="2"/>
    </row>
    <row r="2251" spans="153:170" x14ac:dyDescent="0.35">
      <c r="EW2251" s="48"/>
      <c r="FB2251" s="5"/>
      <c r="FI2251" s="5"/>
      <c r="FJ2251" s="164"/>
      <c r="FL2251" s="2"/>
      <c r="FN2251" s="2"/>
    </row>
    <row r="2252" spans="153:170" x14ac:dyDescent="0.35">
      <c r="EW2252" s="48"/>
      <c r="FB2252" s="5"/>
      <c r="FI2252" s="5"/>
      <c r="FJ2252" s="164"/>
      <c r="FL2252" s="2"/>
      <c r="FN2252" s="2"/>
    </row>
    <row r="2253" spans="153:170" x14ac:dyDescent="0.35">
      <c r="EW2253" s="48"/>
      <c r="FB2253" s="5"/>
      <c r="FI2253" s="5"/>
      <c r="FJ2253" s="164"/>
      <c r="FL2253" s="2"/>
      <c r="FN2253" s="2"/>
    </row>
    <row r="2254" spans="153:170" x14ac:dyDescent="0.35">
      <c r="EW2254" s="48"/>
      <c r="FB2254" s="5"/>
      <c r="FI2254" s="5"/>
      <c r="FJ2254" s="164"/>
      <c r="FL2254" s="2"/>
      <c r="FN2254" s="2"/>
    </row>
    <row r="2255" spans="153:170" x14ac:dyDescent="0.35">
      <c r="EW2255" s="48"/>
      <c r="FB2255" s="5"/>
      <c r="FI2255" s="5"/>
      <c r="FJ2255" s="164"/>
      <c r="FL2255" s="2"/>
      <c r="FN2255" s="2"/>
    </row>
    <row r="2256" spans="153:170" x14ac:dyDescent="0.35">
      <c r="EW2256" s="48"/>
      <c r="FB2256" s="5"/>
      <c r="FI2256" s="5"/>
      <c r="FJ2256" s="164"/>
      <c r="FL2256" s="2"/>
      <c r="FN2256" s="2"/>
    </row>
    <row r="2257" spans="153:170" x14ac:dyDescent="0.35">
      <c r="EW2257" s="48"/>
      <c r="FB2257" s="5"/>
      <c r="FI2257" s="5"/>
      <c r="FJ2257" s="164"/>
      <c r="FL2257" s="2"/>
      <c r="FN2257" s="2"/>
    </row>
    <row r="2258" spans="153:170" x14ac:dyDescent="0.35">
      <c r="EW2258" s="48"/>
      <c r="FB2258" s="5"/>
      <c r="FI2258" s="5"/>
      <c r="FJ2258" s="164"/>
      <c r="FL2258" s="2"/>
      <c r="FN2258" s="2"/>
    </row>
    <row r="2259" spans="153:170" x14ac:dyDescent="0.35">
      <c r="EW2259" s="48"/>
      <c r="FB2259" s="5"/>
      <c r="FI2259" s="5"/>
      <c r="FJ2259" s="164"/>
      <c r="FL2259" s="2"/>
      <c r="FN2259" s="2"/>
    </row>
    <row r="2260" spans="153:170" x14ac:dyDescent="0.35">
      <c r="EW2260" s="48"/>
      <c r="FB2260" s="5"/>
      <c r="FI2260" s="5"/>
      <c r="FJ2260" s="164"/>
      <c r="FL2260" s="2"/>
      <c r="FN2260" s="2"/>
    </row>
    <row r="2261" spans="153:170" x14ac:dyDescent="0.35">
      <c r="EW2261" s="48"/>
      <c r="FB2261" s="5"/>
      <c r="FI2261" s="5"/>
      <c r="FJ2261" s="164"/>
      <c r="FL2261" s="2"/>
      <c r="FN2261" s="2"/>
    </row>
    <row r="2262" spans="153:170" x14ac:dyDescent="0.35">
      <c r="EW2262" s="48"/>
      <c r="FB2262" s="5"/>
      <c r="FI2262" s="5"/>
      <c r="FJ2262" s="164"/>
      <c r="FL2262" s="2"/>
      <c r="FN2262" s="2"/>
    </row>
    <row r="2263" spans="153:170" x14ac:dyDescent="0.35">
      <c r="EW2263" s="48"/>
      <c r="FB2263" s="5"/>
      <c r="FI2263" s="5"/>
      <c r="FJ2263" s="164"/>
      <c r="FL2263" s="2"/>
      <c r="FN2263" s="2"/>
    </row>
    <row r="2264" spans="153:170" x14ac:dyDescent="0.35">
      <c r="EW2264" s="48"/>
      <c r="FB2264" s="5"/>
      <c r="FI2264" s="5"/>
      <c r="FJ2264" s="164"/>
      <c r="FL2264" s="2"/>
      <c r="FN2264" s="2"/>
    </row>
    <row r="2265" spans="153:170" x14ac:dyDescent="0.35">
      <c r="EW2265" s="48"/>
      <c r="FB2265" s="5"/>
      <c r="FI2265" s="5"/>
      <c r="FJ2265" s="164"/>
      <c r="FL2265" s="2"/>
      <c r="FN2265" s="2"/>
    </row>
    <row r="2266" spans="153:170" x14ac:dyDescent="0.35">
      <c r="EW2266" s="48"/>
      <c r="FB2266" s="5"/>
      <c r="FI2266" s="5"/>
      <c r="FJ2266" s="164"/>
      <c r="FL2266" s="2"/>
      <c r="FN2266" s="2"/>
    </row>
    <row r="2267" spans="153:170" x14ac:dyDescent="0.35">
      <c r="EW2267" s="48"/>
      <c r="FB2267" s="5"/>
      <c r="FI2267" s="5"/>
      <c r="FJ2267" s="164"/>
      <c r="FL2267" s="2"/>
      <c r="FN2267" s="2"/>
    </row>
    <row r="2268" spans="153:170" x14ac:dyDescent="0.35">
      <c r="EW2268" s="48"/>
      <c r="FB2268" s="5"/>
      <c r="FI2268" s="5"/>
      <c r="FJ2268" s="164"/>
      <c r="FL2268" s="2"/>
      <c r="FN2268" s="2"/>
    </row>
    <row r="2269" spans="153:170" x14ac:dyDescent="0.35">
      <c r="EW2269" s="48"/>
      <c r="FB2269" s="5"/>
      <c r="FI2269" s="5"/>
      <c r="FJ2269" s="164"/>
      <c r="FL2269" s="2"/>
      <c r="FN2269" s="2"/>
    </row>
    <row r="2270" spans="153:170" x14ac:dyDescent="0.35">
      <c r="EW2270" s="48"/>
      <c r="FB2270" s="5"/>
      <c r="FI2270" s="5"/>
      <c r="FJ2270" s="164"/>
      <c r="FL2270" s="2"/>
      <c r="FN2270" s="2"/>
    </row>
    <row r="2271" spans="153:170" x14ac:dyDescent="0.35">
      <c r="EW2271" s="48"/>
      <c r="FB2271" s="5"/>
      <c r="FI2271" s="5"/>
      <c r="FJ2271" s="164"/>
      <c r="FL2271" s="2"/>
      <c r="FN2271" s="2"/>
    </row>
    <row r="2272" spans="153:170" x14ac:dyDescent="0.35">
      <c r="EW2272" s="48"/>
      <c r="FB2272" s="5"/>
      <c r="FI2272" s="5"/>
      <c r="FJ2272" s="164"/>
      <c r="FL2272" s="2"/>
      <c r="FN2272" s="2"/>
    </row>
    <row r="2273" spans="153:170" x14ac:dyDescent="0.35">
      <c r="EW2273" s="48"/>
      <c r="FB2273" s="5"/>
      <c r="FI2273" s="5"/>
      <c r="FJ2273" s="164"/>
      <c r="FL2273" s="2"/>
      <c r="FN2273" s="2"/>
    </row>
    <row r="2274" spans="153:170" x14ac:dyDescent="0.35">
      <c r="EW2274" s="48"/>
      <c r="FB2274" s="5"/>
      <c r="FI2274" s="5"/>
      <c r="FJ2274" s="164"/>
      <c r="FL2274" s="2"/>
      <c r="FN2274" s="2"/>
    </row>
    <row r="2275" spans="153:170" x14ac:dyDescent="0.35">
      <c r="EW2275" s="48"/>
      <c r="FB2275" s="5"/>
      <c r="FI2275" s="5"/>
      <c r="FJ2275" s="164"/>
      <c r="FL2275" s="2"/>
      <c r="FN2275" s="2"/>
    </row>
    <row r="2276" spans="153:170" x14ac:dyDescent="0.35">
      <c r="EW2276" s="48"/>
      <c r="FB2276" s="5"/>
      <c r="FI2276" s="5"/>
      <c r="FJ2276" s="164"/>
      <c r="FL2276" s="2"/>
      <c r="FN2276" s="2"/>
    </row>
    <row r="2277" spans="153:170" x14ac:dyDescent="0.35">
      <c r="EW2277" s="48"/>
      <c r="FB2277" s="5"/>
      <c r="FI2277" s="5"/>
      <c r="FJ2277" s="164"/>
      <c r="FL2277" s="2"/>
      <c r="FN2277" s="2"/>
    </row>
    <row r="2278" spans="153:170" x14ac:dyDescent="0.35">
      <c r="EW2278" s="48"/>
      <c r="FB2278" s="5"/>
      <c r="FI2278" s="5"/>
      <c r="FJ2278" s="164"/>
      <c r="FL2278" s="2"/>
      <c r="FN2278" s="2"/>
    </row>
    <row r="2279" spans="153:170" x14ac:dyDescent="0.35">
      <c r="EW2279" s="48"/>
      <c r="FB2279" s="5"/>
      <c r="FI2279" s="5"/>
      <c r="FJ2279" s="164"/>
      <c r="FL2279" s="2"/>
      <c r="FN2279" s="2"/>
    </row>
    <row r="2280" spans="153:170" x14ac:dyDescent="0.35">
      <c r="EW2280" s="48"/>
      <c r="FB2280" s="5"/>
      <c r="FI2280" s="5"/>
      <c r="FJ2280" s="164"/>
      <c r="FL2280" s="2"/>
      <c r="FN2280" s="2"/>
    </row>
    <row r="2281" spans="153:170" x14ac:dyDescent="0.35">
      <c r="EW2281" s="48"/>
      <c r="FB2281" s="5"/>
      <c r="FI2281" s="5"/>
      <c r="FJ2281" s="164"/>
      <c r="FL2281" s="2"/>
      <c r="FN2281" s="2"/>
    </row>
    <row r="2282" spans="153:170" x14ac:dyDescent="0.35">
      <c r="EW2282" s="48"/>
      <c r="FB2282" s="5"/>
      <c r="FI2282" s="5"/>
      <c r="FJ2282" s="164"/>
      <c r="FL2282" s="2"/>
      <c r="FN2282" s="2"/>
    </row>
    <row r="2283" spans="153:170" x14ac:dyDescent="0.35">
      <c r="EW2283" s="48"/>
      <c r="FB2283" s="5"/>
      <c r="FI2283" s="5"/>
      <c r="FJ2283" s="164"/>
      <c r="FL2283" s="2"/>
      <c r="FN2283" s="2"/>
    </row>
    <row r="2284" spans="153:170" x14ac:dyDescent="0.35">
      <c r="EW2284" s="48"/>
      <c r="FB2284" s="5"/>
      <c r="FI2284" s="5"/>
      <c r="FJ2284" s="164"/>
      <c r="FL2284" s="2"/>
      <c r="FN2284" s="2"/>
    </row>
    <row r="2285" spans="153:170" x14ac:dyDescent="0.35">
      <c r="EW2285" s="48"/>
      <c r="FB2285" s="5"/>
      <c r="FI2285" s="5"/>
      <c r="FJ2285" s="164"/>
      <c r="FL2285" s="2"/>
      <c r="FN2285" s="2"/>
    </row>
    <row r="2286" spans="153:170" x14ac:dyDescent="0.35">
      <c r="EW2286" s="48"/>
      <c r="FB2286" s="5"/>
      <c r="FI2286" s="5"/>
      <c r="FJ2286" s="164"/>
      <c r="FL2286" s="2"/>
      <c r="FN2286" s="2"/>
    </row>
    <row r="2287" spans="153:170" x14ac:dyDescent="0.35">
      <c r="EW2287" s="48"/>
      <c r="FB2287" s="5"/>
      <c r="FI2287" s="5"/>
      <c r="FJ2287" s="164"/>
      <c r="FL2287" s="2"/>
      <c r="FN2287" s="2"/>
    </row>
    <row r="2288" spans="153:170" x14ac:dyDescent="0.35">
      <c r="EW2288" s="48"/>
      <c r="FB2288" s="5"/>
      <c r="FI2288" s="5"/>
      <c r="FJ2288" s="164"/>
      <c r="FL2288" s="2"/>
      <c r="FN2288" s="2"/>
    </row>
    <row r="2289" spans="153:170" x14ac:dyDescent="0.35">
      <c r="EW2289" s="48"/>
      <c r="FB2289" s="5"/>
      <c r="FI2289" s="5"/>
      <c r="FJ2289" s="164"/>
      <c r="FL2289" s="2"/>
      <c r="FN2289" s="2"/>
    </row>
    <row r="2290" spans="153:170" x14ac:dyDescent="0.35">
      <c r="EW2290" s="48"/>
      <c r="FB2290" s="5"/>
      <c r="FI2290" s="5"/>
      <c r="FJ2290" s="164"/>
      <c r="FL2290" s="2"/>
      <c r="FN2290" s="2"/>
    </row>
    <row r="2291" spans="153:170" x14ac:dyDescent="0.35">
      <c r="EW2291" s="48"/>
      <c r="FB2291" s="5"/>
      <c r="FI2291" s="5"/>
      <c r="FJ2291" s="164"/>
      <c r="FL2291" s="2"/>
      <c r="FN2291" s="2"/>
    </row>
    <row r="2292" spans="153:170" x14ac:dyDescent="0.35">
      <c r="EW2292" s="48"/>
      <c r="FB2292" s="5"/>
      <c r="FI2292" s="5"/>
      <c r="FJ2292" s="164"/>
      <c r="FL2292" s="2"/>
      <c r="FN2292" s="2"/>
    </row>
    <row r="2293" spans="153:170" x14ac:dyDescent="0.35">
      <c r="EW2293" s="48"/>
      <c r="FB2293" s="5"/>
      <c r="FI2293" s="5"/>
      <c r="FJ2293" s="164"/>
      <c r="FL2293" s="2"/>
      <c r="FN2293" s="2"/>
    </row>
    <row r="2294" spans="153:170" x14ac:dyDescent="0.35">
      <c r="EW2294" s="48"/>
      <c r="FB2294" s="5"/>
      <c r="FI2294" s="5"/>
      <c r="FJ2294" s="164"/>
      <c r="FL2294" s="2"/>
      <c r="FN2294" s="2"/>
    </row>
    <row r="2295" spans="153:170" x14ac:dyDescent="0.35">
      <c r="EW2295" s="48"/>
      <c r="FB2295" s="5"/>
      <c r="FI2295" s="5"/>
      <c r="FJ2295" s="164"/>
      <c r="FL2295" s="2"/>
      <c r="FN2295" s="2"/>
    </row>
    <row r="2296" spans="153:170" x14ac:dyDescent="0.35">
      <c r="EW2296" s="48"/>
      <c r="FB2296" s="5"/>
      <c r="FI2296" s="5"/>
      <c r="FJ2296" s="164"/>
      <c r="FL2296" s="2"/>
      <c r="FN2296" s="2"/>
    </row>
    <row r="2297" spans="153:170" x14ac:dyDescent="0.35">
      <c r="EW2297" s="48"/>
      <c r="FB2297" s="5"/>
      <c r="FI2297" s="5"/>
      <c r="FJ2297" s="164"/>
      <c r="FL2297" s="2"/>
      <c r="FN2297" s="2"/>
    </row>
    <row r="2298" spans="153:170" x14ac:dyDescent="0.35">
      <c r="EW2298" s="48"/>
      <c r="FB2298" s="5"/>
      <c r="FI2298" s="5"/>
      <c r="FJ2298" s="164"/>
      <c r="FL2298" s="2"/>
      <c r="FN2298" s="2"/>
    </row>
    <row r="2299" spans="153:170" x14ac:dyDescent="0.35">
      <c r="EW2299" s="48"/>
      <c r="FB2299" s="5"/>
      <c r="FI2299" s="5"/>
      <c r="FJ2299" s="164"/>
      <c r="FL2299" s="2"/>
      <c r="FN2299" s="2"/>
    </row>
    <row r="2300" spans="153:170" x14ac:dyDescent="0.35">
      <c r="EW2300" s="48"/>
      <c r="FB2300" s="5"/>
      <c r="FI2300" s="5"/>
      <c r="FJ2300" s="164"/>
      <c r="FL2300" s="2"/>
      <c r="FN2300" s="2"/>
    </row>
    <row r="2301" spans="153:170" x14ac:dyDescent="0.35">
      <c r="EW2301" s="48"/>
      <c r="FB2301" s="5"/>
      <c r="FI2301" s="5"/>
      <c r="FJ2301" s="164"/>
      <c r="FL2301" s="2"/>
      <c r="FN2301" s="2"/>
    </row>
    <row r="2302" spans="153:170" x14ac:dyDescent="0.35">
      <c r="EW2302" s="48"/>
      <c r="FB2302" s="5"/>
      <c r="FI2302" s="5"/>
      <c r="FJ2302" s="164"/>
      <c r="FL2302" s="2"/>
      <c r="FN2302" s="2"/>
    </row>
    <row r="2303" spans="153:170" x14ac:dyDescent="0.35">
      <c r="EW2303" s="48"/>
      <c r="FB2303" s="5"/>
      <c r="FI2303" s="5"/>
      <c r="FJ2303" s="164"/>
      <c r="FL2303" s="2"/>
      <c r="FN2303" s="2"/>
    </row>
    <row r="2304" spans="153:170" x14ac:dyDescent="0.35">
      <c r="EW2304" s="48"/>
      <c r="FB2304" s="5"/>
      <c r="FI2304" s="5"/>
      <c r="FJ2304" s="164"/>
      <c r="FL2304" s="2"/>
      <c r="FN2304" s="2"/>
    </row>
    <row r="2305" spans="153:170" x14ac:dyDescent="0.35">
      <c r="EW2305" s="48"/>
      <c r="FB2305" s="5"/>
      <c r="FI2305" s="5"/>
      <c r="FJ2305" s="164"/>
      <c r="FL2305" s="2"/>
      <c r="FN2305" s="2"/>
    </row>
    <row r="2306" spans="153:170" x14ac:dyDescent="0.35">
      <c r="EW2306" s="48"/>
      <c r="FB2306" s="5"/>
      <c r="FI2306" s="5"/>
      <c r="FJ2306" s="164"/>
      <c r="FL2306" s="2"/>
      <c r="FN2306" s="2"/>
    </row>
    <row r="2307" spans="153:170" x14ac:dyDescent="0.35">
      <c r="EW2307" s="48"/>
      <c r="FB2307" s="5"/>
      <c r="FI2307" s="5"/>
      <c r="FJ2307" s="164"/>
      <c r="FL2307" s="2"/>
      <c r="FN2307" s="2"/>
    </row>
    <row r="2308" spans="153:170" x14ac:dyDescent="0.35">
      <c r="EW2308" s="48"/>
      <c r="FB2308" s="5"/>
      <c r="FI2308" s="5"/>
      <c r="FJ2308" s="164"/>
      <c r="FL2308" s="2"/>
      <c r="FN2308" s="2"/>
    </row>
    <row r="2309" spans="153:170" x14ac:dyDescent="0.35">
      <c r="EW2309" s="48"/>
      <c r="FB2309" s="5"/>
      <c r="FI2309" s="5"/>
      <c r="FJ2309" s="164"/>
      <c r="FL2309" s="2"/>
      <c r="FN2309" s="2"/>
    </row>
    <row r="2310" spans="153:170" x14ac:dyDescent="0.35">
      <c r="EW2310" s="48"/>
      <c r="FB2310" s="5"/>
      <c r="FI2310" s="5"/>
      <c r="FJ2310" s="164"/>
      <c r="FL2310" s="2"/>
      <c r="FN2310" s="2"/>
    </row>
    <row r="2311" spans="153:170" x14ac:dyDescent="0.35">
      <c r="EW2311" s="48"/>
      <c r="FB2311" s="5"/>
      <c r="FI2311" s="5"/>
      <c r="FJ2311" s="164"/>
      <c r="FL2311" s="2"/>
      <c r="FN2311" s="2"/>
    </row>
    <row r="2312" spans="153:170" x14ac:dyDescent="0.35">
      <c r="EW2312" s="48"/>
      <c r="FB2312" s="5"/>
      <c r="FI2312" s="5"/>
      <c r="FJ2312" s="164"/>
      <c r="FL2312" s="2"/>
      <c r="FN2312" s="2"/>
    </row>
    <row r="2313" spans="153:170" x14ac:dyDescent="0.35">
      <c r="EW2313" s="48"/>
      <c r="FB2313" s="5"/>
      <c r="FI2313" s="5"/>
      <c r="FJ2313" s="164"/>
      <c r="FL2313" s="2"/>
      <c r="FN2313" s="2"/>
    </row>
    <row r="2314" spans="153:170" x14ac:dyDescent="0.35">
      <c r="EW2314" s="48"/>
      <c r="FB2314" s="5"/>
      <c r="FI2314" s="5"/>
      <c r="FJ2314" s="164"/>
      <c r="FL2314" s="2"/>
      <c r="FN2314" s="2"/>
    </row>
    <row r="2315" spans="153:170" x14ac:dyDescent="0.35">
      <c r="EW2315" s="48"/>
      <c r="FB2315" s="5"/>
      <c r="FI2315" s="5"/>
      <c r="FJ2315" s="164"/>
      <c r="FL2315" s="2"/>
      <c r="FN2315" s="2"/>
    </row>
    <row r="2316" spans="153:170" x14ac:dyDescent="0.35">
      <c r="EW2316" s="48"/>
      <c r="FB2316" s="5"/>
      <c r="FI2316" s="5"/>
      <c r="FJ2316" s="164"/>
      <c r="FL2316" s="2"/>
      <c r="FN2316" s="2"/>
    </row>
    <row r="2317" spans="153:170" x14ac:dyDescent="0.35">
      <c r="EW2317" s="48"/>
      <c r="FB2317" s="5"/>
      <c r="FI2317" s="5"/>
      <c r="FJ2317" s="164"/>
      <c r="FL2317" s="2"/>
      <c r="FN2317" s="2"/>
    </row>
    <row r="2318" spans="153:170" x14ac:dyDescent="0.35">
      <c r="EW2318" s="48"/>
      <c r="FB2318" s="5"/>
      <c r="FI2318" s="5"/>
      <c r="FJ2318" s="164"/>
      <c r="FL2318" s="2"/>
      <c r="FN2318" s="2"/>
    </row>
    <row r="2319" spans="153:170" x14ac:dyDescent="0.35">
      <c r="EW2319" s="48"/>
      <c r="FB2319" s="5"/>
      <c r="FI2319" s="5"/>
      <c r="FJ2319" s="164"/>
      <c r="FL2319" s="2"/>
      <c r="FN2319" s="2"/>
    </row>
    <row r="2320" spans="153:170" x14ac:dyDescent="0.35">
      <c r="EW2320" s="48"/>
      <c r="FB2320" s="5"/>
      <c r="FI2320" s="5"/>
      <c r="FJ2320" s="164"/>
      <c r="FL2320" s="2"/>
      <c r="FN2320" s="2"/>
    </row>
    <row r="2321" spans="153:170" x14ac:dyDescent="0.35">
      <c r="EW2321" s="48"/>
      <c r="FB2321" s="5"/>
      <c r="FI2321" s="5"/>
      <c r="FJ2321" s="164"/>
      <c r="FL2321" s="2"/>
      <c r="FN2321" s="2"/>
    </row>
    <row r="2322" spans="153:170" x14ac:dyDescent="0.35">
      <c r="EW2322" s="48"/>
      <c r="FB2322" s="5"/>
      <c r="FI2322" s="5"/>
      <c r="FJ2322" s="164"/>
      <c r="FL2322" s="2"/>
      <c r="FN2322" s="2"/>
    </row>
    <row r="2323" spans="153:170" x14ac:dyDescent="0.35">
      <c r="EW2323" s="48"/>
      <c r="FB2323" s="5"/>
      <c r="FI2323" s="5"/>
      <c r="FJ2323" s="164"/>
      <c r="FL2323" s="2"/>
      <c r="FN2323" s="2"/>
    </row>
    <row r="2324" spans="153:170" x14ac:dyDescent="0.35">
      <c r="EW2324" s="48"/>
      <c r="FB2324" s="5"/>
      <c r="FI2324" s="5"/>
      <c r="FJ2324" s="164"/>
      <c r="FL2324" s="2"/>
      <c r="FN2324" s="2"/>
    </row>
    <row r="2325" spans="153:170" x14ac:dyDescent="0.35">
      <c r="EW2325" s="48"/>
      <c r="FB2325" s="5"/>
      <c r="FI2325" s="5"/>
      <c r="FJ2325" s="164"/>
      <c r="FL2325" s="2"/>
      <c r="FN2325" s="2"/>
    </row>
    <row r="2326" spans="153:170" x14ac:dyDescent="0.35">
      <c r="EW2326" s="48"/>
      <c r="FB2326" s="5"/>
      <c r="FI2326" s="5"/>
      <c r="FJ2326" s="164"/>
      <c r="FL2326" s="2"/>
      <c r="FN2326" s="2"/>
    </row>
    <row r="2327" spans="153:170" x14ac:dyDescent="0.35">
      <c r="EW2327" s="48"/>
      <c r="FB2327" s="5"/>
      <c r="FI2327" s="5"/>
      <c r="FJ2327" s="164"/>
      <c r="FL2327" s="2"/>
      <c r="FN2327" s="2"/>
    </row>
    <row r="2328" spans="153:170" x14ac:dyDescent="0.35">
      <c r="EW2328" s="48"/>
      <c r="FB2328" s="5"/>
      <c r="FI2328" s="5"/>
      <c r="FJ2328" s="164"/>
      <c r="FL2328" s="2"/>
      <c r="FN2328" s="2"/>
    </row>
    <row r="2329" spans="153:170" x14ac:dyDescent="0.35">
      <c r="EW2329" s="48"/>
      <c r="FB2329" s="5"/>
      <c r="FI2329" s="5"/>
      <c r="FJ2329" s="164"/>
      <c r="FL2329" s="2"/>
      <c r="FN2329" s="2"/>
    </row>
    <row r="2330" spans="153:170" x14ac:dyDescent="0.35">
      <c r="EW2330" s="48"/>
      <c r="FB2330" s="5"/>
      <c r="FI2330" s="5"/>
      <c r="FJ2330" s="164"/>
      <c r="FL2330" s="2"/>
      <c r="FN2330" s="2"/>
    </row>
    <row r="2331" spans="153:170" x14ac:dyDescent="0.35">
      <c r="EW2331" s="48"/>
      <c r="FB2331" s="5"/>
      <c r="FI2331" s="5"/>
      <c r="FJ2331" s="164"/>
      <c r="FL2331" s="2"/>
      <c r="FN2331" s="2"/>
    </row>
    <row r="2332" spans="153:170" x14ac:dyDescent="0.35">
      <c r="EW2332" s="48"/>
      <c r="FB2332" s="5"/>
      <c r="FI2332" s="5"/>
      <c r="FJ2332" s="164"/>
      <c r="FL2332" s="2"/>
      <c r="FN2332" s="2"/>
    </row>
    <row r="2333" spans="153:170" x14ac:dyDescent="0.35">
      <c r="EW2333" s="48"/>
      <c r="FB2333" s="5"/>
      <c r="FI2333" s="5"/>
      <c r="FJ2333" s="164"/>
      <c r="FL2333" s="2"/>
      <c r="FN2333" s="2"/>
    </row>
    <row r="2334" spans="153:170" x14ac:dyDescent="0.35">
      <c r="EW2334" s="48"/>
      <c r="FB2334" s="5"/>
      <c r="FI2334" s="5"/>
      <c r="FJ2334" s="164"/>
      <c r="FL2334" s="2"/>
      <c r="FN2334" s="2"/>
    </row>
    <row r="2335" spans="153:170" x14ac:dyDescent="0.35">
      <c r="EW2335" s="48"/>
      <c r="FB2335" s="5"/>
      <c r="FI2335" s="5"/>
      <c r="FJ2335" s="164"/>
      <c r="FL2335" s="2"/>
      <c r="FN2335" s="2"/>
    </row>
    <row r="2336" spans="153:170" x14ac:dyDescent="0.35">
      <c r="EW2336" s="48"/>
      <c r="FB2336" s="5"/>
      <c r="FI2336" s="5"/>
      <c r="FJ2336" s="164"/>
      <c r="FL2336" s="2"/>
      <c r="FN2336" s="2"/>
    </row>
    <row r="2337" spans="153:170" x14ac:dyDescent="0.35">
      <c r="EW2337" s="48"/>
      <c r="FB2337" s="5"/>
      <c r="FI2337" s="5"/>
      <c r="FJ2337" s="164"/>
      <c r="FL2337" s="2"/>
      <c r="FN2337" s="2"/>
    </row>
    <row r="2338" spans="153:170" x14ac:dyDescent="0.35">
      <c r="EW2338" s="48"/>
      <c r="FB2338" s="5"/>
      <c r="FI2338" s="5"/>
      <c r="FJ2338" s="164"/>
      <c r="FL2338" s="2"/>
      <c r="FN2338" s="2"/>
    </row>
    <row r="2339" spans="153:170" x14ac:dyDescent="0.35">
      <c r="EW2339" s="48"/>
      <c r="FB2339" s="5"/>
      <c r="FI2339" s="5"/>
      <c r="FJ2339" s="164"/>
      <c r="FL2339" s="2"/>
      <c r="FN2339" s="2"/>
    </row>
    <row r="2340" spans="153:170" x14ac:dyDescent="0.35">
      <c r="EW2340" s="48"/>
      <c r="FB2340" s="5"/>
      <c r="FI2340" s="5"/>
      <c r="FJ2340" s="164"/>
      <c r="FL2340" s="2"/>
      <c r="FN2340" s="2"/>
    </row>
    <row r="2341" spans="153:170" x14ac:dyDescent="0.35">
      <c r="EW2341" s="48"/>
      <c r="FB2341" s="5"/>
      <c r="FI2341" s="5"/>
      <c r="FJ2341" s="164"/>
      <c r="FL2341" s="2"/>
      <c r="FN2341" s="2"/>
    </row>
    <row r="2342" spans="153:170" x14ac:dyDescent="0.35">
      <c r="EW2342" s="48"/>
      <c r="FB2342" s="5"/>
      <c r="FI2342" s="5"/>
      <c r="FJ2342" s="164"/>
      <c r="FL2342" s="2"/>
      <c r="FN2342" s="2"/>
    </row>
    <row r="2343" spans="153:170" x14ac:dyDescent="0.35">
      <c r="EW2343" s="48"/>
      <c r="FB2343" s="5"/>
      <c r="FI2343" s="5"/>
      <c r="FJ2343" s="164"/>
      <c r="FL2343" s="2"/>
      <c r="FN2343" s="2"/>
    </row>
    <row r="2344" spans="153:170" x14ac:dyDescent="0.35">
      <c r="EW2344" s="48"/>
      <c r="FB2344" s="5"/>
      <c r="FI2344" s="5"/>
      <c r="FJ2344" s="164"/>
      <c r="FL2344" s="2"/>
      <c r="FN2344" s="2"/>
    </row>
    <row r="2345" spans="153:170" x14ac:dyDescent="0.35">
      <c r="EW2345" s="48"/>
      <c r="FB2345" s="5"/>
      <c r="FI2345" s="5"/>
      <c r="FJ2345" s="164"/>
      <c r="FL2345" s="2"/>
      <c r="FN2345" s="2"/>
    </row>
    <row r="2346" spans="153:170" x14ac:dyDescent="0.35">
      <c r="EW2346" s="48"/>
      <c r="FB2346" s="5"/>
      <c r="FI2346" s="5"/>
      <c r="FJ2346" s="164"/>
      <c r="FL2346" s="2"/>
      <c r="FN2346" s="2"/>
    </row>
    <row r="2347" spans="153:170" x14ac:dyDescent="0.35">
      <c r="EW2347" s="48"/>
      <c r="FB2347" s="5"/>
      <c r="FI2347" s="5"/>
      <c r="FJ2347" s="164"/>
      <c r="FL2347" s="2"/>
      <c r="FN2347" s="2"/>
    </row>
    <row r="2348" spans="153:170" x14ac:dyDescent="0.35">
      <c r="EW2348" s="48"/>
      <c r="FB2348" s="5"/>
      <c r="FI2348" s="5"/>
      <c r="FJ2348" s="164"/>
      <c r="FL2348" s="2"/>
      <c r="FN2348" s="2"/>
    </row>
    <row r="2349" spans="153:170" x14ac:dyDescent="0.35">
      <c r="EW2349" s="48"/>
      <c r="FB2349" s="5"/>
      <c r="FI2349" s="5"/>
      <c r="FJ2349" s="164"/>
      <c r="FL2349" s="2"/>
      <c r="FN2349" s="2"/>
    </row>
    <row r="2350" spans="153:170" x14ac:dyDescent="0.35">
      <c r="EW2350" s="48"/>
      <c r="FB2350" s="5"/>
      <c r="FI2350" s="5"/>
      <c r="FJ2350" s="164"/>
      <c r="FL2350" s="2"/>
      <c r="FN2350" s="2"/>
    </row>
    <row r="2351" spans="153:170" x14ac:dyDescent="0.35">
      <c r="EW2351" s="48"/>
      <c r="FB2351" s="5"/>
      <c r="FI2351" s="5"/>
      <c r="FJ2351" s="164"/>
      <c r="FL2351" s="2"/>
      <c r="FN2351" s="2"/>
    </row>
    <row r="2352" spans="153:170" x14ac:dyDescent="0.35">
      <c r="EW2352" s="48"/>
      <c r="FB2352" s="5"/>
      <c r="FI2352" s="5"/>
      <c r="FJ2352" s="164"/>
      <c r="FL2352" s="2"/>
      <c r="FN2352" s="2"/>
    </row>
    <row r="2353" spans="153:170" x14ac:dyDescent="0.35">
      <c r="EW2353" s="48"/>
      <c r="FB2353" s="5"/>
      <c r="FI2353" s="5"/>
      <c r="FJ2353" s="164"/>
      <c r="FL2353" s="2"/>
      <c r="FN2353" s="2"/>
    </row>
    <row r="2354" spans="153:170" x14ac:dyDescent="0.35">
      <c r="EW2354" s="48"/>
      <c r="FB2354" s="5"/>
      <c r="FI2354" s="5"/>
      <c r="FJ2354" s="164"/>
      <c r="FL2354" s="2"/>
      <c r="FN2354" s="2"/>
    </row>
    <row r="2355" spans="153:170" x14ac:dyDescent="0.35">
      <c r="EW2355" s="48"/>
      <c r="FB2355" s="5"/>
      <c r="FI2355" s="5"/>
      <c r="FJ2355" s="164"/>
      <c r="FL2355" s="2"/>
      <c r="FN2355" s="2"/>
    </row>
    <row r="2356" spans="153:170" x14ac:dyDescent="0.35">
      <c r="EW2356" s="48"/>
      <c r="FB2356" s="5"/>
      <c r="FI2356" s="5"/>
      <c r="FJ2356" s="164"/>
      <c r="FL2356" s="2"/>
      <c r="FN2356" s="2"/>
    </row>
    <row r="2357" spans="153:170" x14ac:dyDescent="0.35">
      <c r="EW2357" s="48"/>
      <c r="FB2357" s="5"/>
      <c r="FI2357" s="5"/>
      <c r="FJ2357" s="164"/>
      <c r="FL2357" s="2"/>
      <c r="FN2357" s="2"/>
    </row>
    <row r="2358" spans="153:170" x14ac:dyDescent="0.35">
      <c r="EW2358" s="48"/>
      <c r="FB2358" s="5"/>
      <c r="FI2358" s="5"/>
      <c r="FJ2358" s="164"/>
      <c r="FL2358" s="2"/>
      <c r="FN2358" s="2"/>
    </row>
    <row r="2359" spans="153:170" x14ac:dyDescent="0.35">
      <c r="EW2359" s="48"/>
      <c r="FB2359" s="5"/>
      <c r="FI2359" s="5"/>
      <c r="FJ2359" s="164"/>
      <c r="FL2359" s="2"/>
      <c r="FN2359" s="2"/>
    </row>
    <row r="2360" spans="153:170" x14ac:dyDescent="0.35">
      <c r="EW2360" s="48"/>
      <c r="FB2360" s="5"/>
      <c r="FI2360" s="5"/>
      <c r="FJ2360" s="164"/>
      <c r="FL2360" s="2"/>
      <c r="FN2360" s="2"/>
    </row>
    <row r="2361" spans="153:170" x14ac:dyDescent="0.35">
      <c r="EW2361" s="48"/>
      <c r="FB2361" s="5"/>
      <c r="FI2361" s="5"/>
      <c r="FJ2361" s="164"/>
      <c r="FL2361" s="2"/>
      <c r="FN2361" s="2"/>
    </row>
    <row r="2362" spans="153:170" x14ac:dyDescent="0.35">
      <c r="EW2362" s="48"/>
      <c r="FB2362" s="5"/>
      <c r="FI2362" s="5"/>
      <c r="FJ2362" s="164"/>
      <c r="FL2362" s="2"/>
      <c r="FN2362" s="2"/>
    </row>
    <row r="2363" spans="153:170" x14ac:dyDescent="0.35">
      <c r="EW2363" s="48"/>
      <c r="FB2363" s="5"/>
      <c r="FI2363" s="5"/>
      <c r="FJ2363" s="164"/>
      <c r="FL2363" s="2"/>
      <c r="FN2363" s="2"/>
    </row>
    <row r="2364" spans="153:170" x14ac:dyDescent="0.35">
      <c r="EW2364" s="48"/>
      <c r="FB2364" s="5"/>
      <c r="FI2364" s="5"/>
      <c r="FJ2364" s="164"/>
      <c r="FL2364" s="2"/>
      <c r="FN2364" s="2"/>
    </row>
    <row r="2365" spans="153:170" x14ac:dyDescent="0.35">
      <c r="EW2365" s="48"/>
      <c r="FB2365" s="5"/>
      <c r="FI2365" s="5"/>
      <c r="FJ2365" s="164"/>
      <c r="FL2365" s="2"/>
      <c r="FN2365" s="2"/>
    </row>
    <row r="2366" spans="153:170" x14ac:dyDescent="0.35">
      <c r="EW2366" s="48"/>
      <c r="FB2366" s="5"/>
      <c r="FI2366" s="5"/>
      <c r="FJ2366" s="164"/>
      <c r="FL2366" s="2"/>
      <c r="FN2366" s="2"/>
    </row>
    <row r="2367" spans="153:170" x14ac:dyDescent="0.35">
      <c r="EW2367" s="48"/>
      <c r="FB2367" s="5"/>
      <c r="FI2367" s="5"/>
      <c r="FJ2367" s="164"/>
      <c r="FL2367" s="2"/>
      <c r="FN2367" s="2"/>
    </row>
    <row r="2368" spans="153:170" x14ac:dyDescent="0.35">
      <c r="EW2368" s="48"/>
      <c r="FB2368" s="5"/>
      <c r="FI2368" s="5"/>
      <c r="FJ2368" s="164"/>
      <c r="FL2368" s="2"/>
      <c r="FN2368" s="2"/>
    </row>
    <row r="2369" spans="153:170" x14ac:dyDescent="0.35">
      <c r="EW2369" s="48"/>
      <c r="FB2369" s="5"/>
      <c r="FI2369" s="5"/>
      <c r="FJ2369" s="164"/>
      <c r="FL2369" s="2"/>
      <c r="FN2369" s="2"/>
    </row>
    <row r="2370" spans="153:170" x14ac:dyDescent="0.35">
      <c r="EW2370" s="48"/>
      <c r="FB2370" s="5"/>
      <c r="FI2370" s="5"/>
      <c r="FJ2370" s="164"/>
      <c r="FL2370" s="2"/>
      <c r="FN2370" s="2"/>
    </row>
    <row r="2371" spans="153:170" x14ac:dyDescent="0.35">
      <c r="EW2371" s="48"/>
      <c r="FB2371" s="5"/>
      <c r="FI2371" s="5"/>
      <c r="FJ2371" s="164"/>
      <c r="FL2371" s="2"/>
      <c r="FN2371" s="2"/>
    </row>
    <row r="2372" spans="153:170" x14ac:dyDescent="0.35">
      <c r="EW2372" s="48"/>
      <c r="FB2372" s="5"/>
      <c r="FI2372" s="5"/>
      <c r="FJ2372" s="164"/>
      <c r="FL2372" s="2"/>
      <c r="FN2372" s="2"/>
    </row>
    <row r="2373" spans="153:170" x14ac:dyDescent="0.35">
      <c r="EW2373" s="48"/>
      <c r="FB2373" s="5"/>
      <c r="FI2373" s="5"/>
      <c r="FJ2373" s="164"/>
      <c r="FL2373" s="2"/>
      <c r="FN2373" s="2"/>
    </row>
    <row r="2374" spans="153:170" x14ac:dyDescent="0.35">
      <c r="EW2374" s="48"/>
      <c r="FB2374" s="5"/>
      <c r="FI2374" s="5"/>
      <c r="FJ2374" s="164"/>
      <c r="FL2374" s="2"/>
      <c r="FN2374" s="2"/>
    </row>
    <row r="2375" spans="153:170" x14ac:dyDescent="0.35">
      <c r="EW2375" s="48"/>
      <c r="FB2375" s="5"/>
      <c r="FI2375" s="5"/>
      <c r="FJ2375" s="164"/>
      <c r="FL2375" s="2"/>
      <c r="FN2375" s="2"/>
    </row>
    <row r="2376" spans="153:170" x14ac:dyDescent="0.35">
      <c r="EW2376" s="48"/>
      <c r="FB2376" s="5"/>
      <c r="FI2376" s="5"/>
      <c r="FJ2376" s="164"/>
      <c r="FL2376" s="2"/>
      <c r="FN2376" s="2"/>
    </row>
    <row r="2377" spans="153:170" x14ac:dyDescent="0.35">
      <c r="EW2377" s="48"/>
      <c r="FB2377" s="5"/>
      <c r="FI2377" s="5"/>
      <c r="FJ2377" s="164"/>
      <c r="FL2377" s="2"/>
      <c r="FN2377" s="2"/>
    </row>
    <row r="2378" spans="153:170" x14ac:dyDescent="0.35">
      <c r="EW2378" s="48"/>
      <c r="FB2378" s="5"/>
      <c r="FI2378" s="5"/>
      <c r="FJ2378" s="164"/>
      <c r="FL2378" s="2"/>
      <c r="FN2378" s="2"/>
    </row>
    <row r="2379" spans="153:170" x14ac:dyDescent="0.35">
      <c r="EW2379" s="48"/>
      <c r="FB2379" s="5"/>
      <c r="FI2379" s="5"/>
      <c r="FJ2379" s="164"/>
      <c r="FL2379" s="2"/>
      <c r="FN2379" s="2"/>
    </row>
    <row r="2380" spans="153:170" x14ac:dyDescent="0.35">
      <c r="EW2380" s="48"/>
      <c r="FB2380" s="5"/>
      <c r="FI2380" s="5"/>
      <c r="FJ2380" s="164"/>
      <c r="FL2380" s="2"/>
      <c r="FN2380" s="2"/>
    </row>
    <row r="2381" spans="153:170" x14ac:dyDescent="0.35">
      <c r="EW2381" s="48"/>
      <c r="FB2381" s="5"/>
      <c r="FI2381" s="5"/>
      <c r="FJ2381" s="164"/>
      <c r="FL2381" s="2"/>
      <c r="FN2381" s="2"/>
    </row>
    <row r="2382" spans="153:170" x14ac:dyDescent="0.35">
      <c r="EW2382" s="48"/>
      <c r="FB2382" s="5"/>
      <c r="FI2382" s="5"/>
      <c r="FJ2382" s="164"/>
      <c r="FL2382" s="2"/>
      <c r="FN2382" s="2"/>
    </row>
    <row r="2383" spans="153:170" x14ac:dyDescent="0.35">
      <c r="EW2383" s="48"/>
      <c r="FB2383" s="5"/>
      <c r="FI2383" s="5"/>
      <c r="FJ2383" s="164"/>
      <c r="FL2383" s="2"/>
      <c r="FN2383" s="2"/>
    </row>
    <row r="2384" spans="153:170" x14ac:dyDescent="0.35">
      <c r="EW2384" s="48"/>
      <c r="FB2384" s="5"/>
      <c r="FI2384" s="5"/>
      <c r="FJ2384" s="164"/>
      <c r="FL2384" s="2"/>
      <c r="FN2384" s="2"/>
    </row>
    <row r="2385" spans="153:170" x14ac:dyDescent="0.35">
      <c r="EW2385" s="48"/>
      <c r="FB2385" s="5"/>
      <c r="FI2385" s="5"/>
      <c r="FJ2385" s="164"/>
      <c r="FL2385" s="2"/>
      <c r="FN2385" s="2"/>
    </row>
    <row r="2386" spans="153:170" x14ac:dyDescent="0.35">
      <c r="EW2386" s="48"/>
      <c r="FB2386" s="5"/>
      <c r="FI2386" s="5"/>
      <c r="FJ2386" s="164"/>
      <c r="FL2386" s="2"/>
      <c r="FN2386" s="2"/>
    </row>
    <row r="2387" spans="153:170" x14ac:dyDescent="0.35">
      <c r="EW2387" s="48"/>
      <c r="FB2387" s="5"/>
      <c r="FI2387" s="5"/>
      <c r="FJ2387" s="164"/>
      <c r="FL2387" s="2"/>
      <c r="FN2387" s="2"/>
    </row>
    <row r="2388" spans="153:170" x14ac:dyDescent="0.35">
      <c r="EW2388" s="48"/>
      <c r="FB2388" s="5"/>
      <c r="FI2388" s="5"/>
      <c r="FJ2388" s="164"/>
      <c r="FL2388" s="2"/>
      <c r="FN2388" s="2"/>
    </row>
    <row r="2389" spans="153:170" x14ac:dyDescent="0.35">
      <c r="EW2389" s="48"/>
      <c r="FB2389" s="5"/>
      <c r="FI2389" s="5"/>
      <c r="FJ2389" s="164"/>
      <c r="FL2389" s="2"/>
      <c r="FN2389" s="2"/>
    </row>
    <row r="2390" spans="153:170" x14ac:dyDescent="0.35">
      <c r="EW2390" s="48"/>
      <c r="FB2390" s="5"/>
      <c r="FI2390" s="5"/>
      <c r="FJ2390" s="164"/>
      <c r="FL2390" s="2"/>
      <c r="FN2390" s="2"/>
    </row>
    <row r="2391" spans="153:170" x14ac:dyDescent="0.35">
      <c r="EW2391" s="48"/>
      <c r="FB2391" s="5"/>
      <c r="FI2391" s="5"/>
      <c r="FJ2391" s="164"/>
      <c r="FL2391" s="2"/>
      <c r="FN2391" s="2"/>
    </row>
    <row r="2392" spans="153:170" x14ac:dyDescent="0.35">
      <c r="EW2392" s="48"/>
      <c r="FB2392" s="5"/>
      <c r="FI2392" s="5"/>
      <c r="FJ2392" s="164"/>
      <c r="FL2392" s="2"/>
      <c r="FN2392" s="2"/>
    </row>
    <row r="2393" spans="153:170" x14ac:dyDescent="0.35">
      <c r="EW2393" s="48"/>
      <c r="FB2393" s="5"/>
      <c r="FI2393" s="5"/>
      <c r="FJ2393" s="164"/>
      <c r="FL2393" s="2"/>
      <c r="FN2393" s="2"/>
    </row>
    <row r="2394" spans="153:170" x14ac:dyDescent="0.35">
      <c r="EW2394" s="48"/>
      <c r="FB2394" s="5"/>
      <c r="FI2394" s="5"/>
      <c r="FJ2394" s="164"/>
      <c r="FL2394" s="2"/>
      <c r="FN2394" s="2"/>
    </row>
    <row r="2395" spans="153:170" x14ac:dyDescent="0.35">
      <c r="EW2395" s="48"/>
      <c r="FB2395" s="5"/>
      <c r="FI2395" s="5"/>
      <c r="FJ2395" s="164"/>
      <c r="FL2395" s="2"/>
      <c r="FN2395" s="2"/>
    </row>
    <row r="2396" spans="153:170" x14ac:dyDescent="0.35">
      <c r="EW2396" s="48"/>
      <c r="FB2396" s="5"/>
      <c r="FI2396" s="5"/>
      <c r="FJ2396" s="164"/>
      <c r="FL2396" s="2"/>
      <c r="FN2396" s="2"/>
    </row>
    <row r="2397" spans="153:170" x14ac:dyDescent="0.35">
      <c r="EW2397" s="48"/>
      <c r="FB2397" s="5"/>
      <c r="FI2397" s="5"/>
      <c r="FJ2397" s="164"/>
      <c r="FL2397" s="2"/>
      <c r="FN2397" s="2"/>
    </row>
    <row r="2398" spans="153:170" x14ac:dyDescent="0.35">
      <c r="EW2398" s="48"/>
      <c r="FB2398" s="5"/>
      <c r="FI2398" s="5"/>
      <c r="FJ2398" s="164"/>
      <c r="FL2398" s="2"/>
      <c r="FN2398" s="2"/>
    </row>
    <row r="2399" spans="153:170" x14ac:dyDescent="0.35">
      <c r="EW2399" s="48"/>
      <c r="FB2399" s="5"/>
      <c r="FI2399" s="5"/>
      <c r="FJ2399" s="164"/>
      <c r="FL2399" s="2"/>
      <c r="FN2399" s="2"/>
    </row>
    <row r="2400" spans="153:170" x14ac:dyDescent="0.35">
      <c r="EW2400" s="48"/>
      <c r="FB2400" s="5"/>
      <c r="FI2400" s="5"/>
      <c r="FJ2400" s="164"/>
      <c r="FL2400" s="2"/>
      <c r="FN2400" s="2"/>
    </row>
    <row r="2401" spans="153:170" x14ac:dyDescent="0.35">
      <c r="EW2401" s="48"/>
      <c r="FB2401" s="5"/>
      <c r="FI2401" s="5"/>
      <c r="FJ2401" s="164"/>
      <c r="FL2401" s="2"/>
      <c r="FN2401" s="2"/>
    </row>
    <row r="2402" spans="153:170" x14ac:dyDescent="0.35">
      <c r="EW2402" s="48"/>
      <c r="FB2402" s="5"/>
      <c r="FI2402" s="5"/>
      <c r="FJ2402" s="164"/>
      <c r="FL2402" s="2"/>
      <c r="FN2402" s="2"/>
    </row>
    <row r="2403" spans="153:170" x14ac:dyDescent="0.35">
      <c r="EW2403" s="48"/>
      <c r="FB2403" s="5"/>
      <c r="FI2403" s="5"/>
      <c r="FJ2403" s="164"/>
      <c r="FL2403" s="2"/>
      <c r="FN2403" s="2"/>
    </row>
    <row r="2404" spans="153:170" x14ac:dyDescent="0.35">
      <c r="EW2404" s="48"/>
      <c r="FB2404" s="5"/>
      <c r="FI2404" s="5"/>
      <c r="FJ2404" s="164"/>
      <c r="FL2404" s="2"/>
      <c r="FN2404" s="2"/>
    </row>
    <row r="2405" spans="153:170" x14ac:dyDescent="0.35">
      <c r="EW2405" s="48"/>
      <c r="FB2405" s="5"/>
      <c r="FI2405" s="5"/>
      <c r="FJ2405" s="164"/>
      <c r="FL2405" s="2"/>
      <c r="FN2405" s="2"/>
    </row>
    <row r="2406" spans="153:170" x14ac:dyDescent="0.35">
      <c r="EW2406" s="48"/>
      <c r="FB2406" s="5"/>
      <c r="FI2406" s="5"/>
      <c r="FJ2406" s="164"/>
      <c r="FL2406" s="2"/>
      <c r="FN2406" s="2"/>
    </row>
    <row r="2407" spans="153:170" x14ac:dyDescent="0.35">
      <c r="EW2407" s="48"/>
      <c r="FB2407" s="5"/>
      <c r="FI2407" s="5"/>
      <c r="FJ2407" s="164"/>
      <c r="FL2407" s="2"/>
      <c r="FN2407" s="2"/>
    </row>
    <row r="2408" spans="153:170" x14ac:dyDescent="0.35">
      <c r="EW2408" s="48"/>
      <c r="FB2408" s="5"/>
      <c r="FI2408" s="5"/>
      <c r="FJ2408" s="164"/>
      <c r="FL2408" s="2"/>
      <c r="FN2408" s="2"/>
    </row>
    <row r="2409" spans="153:170" x14ac:dyDescent="0.35">
      <c r="EW2409" s="48"/>
      <c r="FB2409" s="5"/>
      <c r="FI2409" s="5"/>
      <c r="FJ2409" s="164"/>
      <c r="FL2409" s="2"/>
      <c r="FN2409" s="2"/>
    </row>
    <row r="2410" spans="153:170" x14ac:dyDescent="0.35">
      <c r="EW2410" s="48"/>
      <c r="FB2410" s="5"/>
      <c r="FI2410" s="5"/>
      <c r="FJ2410" s="164"/>
      <c r="FL2410" s="2"/>
      <c r="FN2410" s="2"/>
    </row>
    <row r="2411" spans="153:170" x14ac:dyDescent="0.35">
      <c r="EW2411" s="48"/>
      <c r="FB2411" s="5"/>
      <c r="FI2411" s="5"/>
      <c r="FJ2411" s="164"/>
      <c r="FL2411" s="2"/>
      <c r="FN2411" s="2"/>
    </row>
    <row r="2412" spans="153:170" x14ac:dyDescent="0.35">
      <c r="EW2412" s="48"/>
      <c r="FB2412" s="5"/>
      <c r="FI2412" s="5"/>
      <c r="FJ2412" s="164"/>
      <c r="FL2412" s="2"/>
      <c r="FN2412" s="2"/>
    </row>
    <row r="2413" spans="153:170" x14ac:dyDescent="0.35">
      <c r="EW2413" s="48"/>
      <c r="FB2413" s="5"/>
      <c r="FI2413" s="5"/>
      <c r="FJ2413" s="164"/>
      <c r="FL2413" s="2"/>
      <c r="FN2413" s="2"/>
    </row>
    <row r="2414" spans="153:170" x14ac:dyDescent="0.35">
      <c r="EW2414" s="48"/>
      <c r="FB2414" s="5"/>
      <c r="FI2414" s="5"/>
      <c r="FJ2414" s="164"/>
      <c r="FL2414" s="2"/>
      <c r="FN2414" s="2"/>
    </row>
    <row r="2415" spans="153:170" x14ac:dyDescent="0.35">
      <c r="EW2415" s="48"/>
      <c r="FB2415" s="5"/>
      <c r="FI2415" s="5"/>
      <c r="FJ2415" s="164"/>
      <c r="FL2415" s="2"/>
      <c r="FN2415" s="2"/>
    </row>
    <row r="2416" spans="153:170" x14ac:dyDescent="0.35">
      <c r="EW2416" s="48"/>
      <c r="FB2416" s="5"/>
      <c r="FI2416" s="5"/>
      <c r="FJ2416" s="164"/>
      <c r="FL2416" s="2"/>
      <c r="FN2416" s="2"/>
    </row>
    <row r="2417" spans="153:170" x14ac:dyDescent="0.35">
      <c r="EW2417" s="48"/>
      <c r="FB2417" s="5"/>
      <c r="FI2417" s="5"/>
      <c r="FJ2417" s="164"/>
      <c r="FL2417" s="2"/>
      <c r="FN2417" s="2"/>
    </row>
    <row r="2418" spans="153:170" x14ac:dyDescent="0.35">
      <c r="EW2418" s="48"/>
      <c r="FB2418" s="5"/>
      <c r="FI2418" s="5"/>
      <c r="FJ2418" s="164"/>
      <c r="FL2418" s="2"/>
      <c r="FN2418" s="2"/>
    </row>
    <row r="2419" spans="153:170" x14ac:dyDescent="0.35">
      <c r="EW2419" s="48"/>
      <c r="FB2419" s="5"/>
      <c r="FI2419" s="5"/>
      <c r="FJ2419" s="164"/>
      <c r="FL2419" s="2"/>
      <c r="FN2419" s="2"/>
    </row>
    <row r="2420" spans="153:170" x14ac:dyDescent="0.35">
      <c r="EW2420" s="48"/>
      <c r="FB2420" s="5"/>
      <c r="FI2420" s="5"/>
      <c r="FJ2420" s="164"/>
      <c r="FL2420" s="2"/>
      <c r="FN2420" s="2"/>
    </row>
    <row r="2421" spans="153:170" x14ac:dyDescent="0.35">
      <c r="EW2421" s="48"/>
      <c r="FB2421" s="5"/>
      <c r="FI2421" s="5"/>
      <c r="FJ2421" s="164"/>
      <c r="FL2421" s="2"/>
      <c r="FN2421" s="2"/>
    </row>
    <row r="2422" spans="153:170" x14ac:dyDescent="0.35">
      <c r="EW2422" s="48"/>
      <c r="FB2422" s="5"/>
      <c r="FI2422" s="5"/>
      <c r="FJ2422" s="164"/>
      <c r="FL2422" s="2"/>
      <c r="FN2422" s="2"/>
    </row>
    <row r="2423" spans="153:170" x14ac:dyDescent="0.35">
      <c r="EW2423" s="48"/>
      <c r="FB2423" s="5"/>
      <c r="FI2423" s="5"/>
      <c r="FJ2423" s="164"/>
      <c r="FL2423" s="2"/>
      <c r="FN2423" s="2"/>
    </row>
    <row r="2424" spans="153:170" x14ac:dyDescent="0.35">
      <c r="EW2424" s="48"/>
      <c r="FB2424" s="5"/>
      <c r="FI2424" s="5"/>
      <c r="FJ2424" s="164"/>
      <c r="FL2424" s="2"/>
      <c r="FN2424" s="2"/>
    </row>
    <row r="2425" spans="153:170" x14ac:dyDescent="0.35">
      <c r="EW2425" s="48"/>
      <c r="FB2425" s="5"/>
      <c r="FI2425" s="5"/>
      <c r="FJ2425" s="164"/>
      <c r="FL2425" s="2"/>
      <c r="FN2425" s="2"/>
    </row>
    <row r="2426" spans="153:170" x14ac:dyDescent="0.35">
      <c r="EW2426" s="48"/>
      <c r="FB2426" s="5"/>
      <c r="FI2426" s="5"/>
      <c r="FJ2426" s="164"/>
      <c r="FL2426" s="2"/>
      <c r="FN2426" s="2"/>
    </row>
    <row r="2427" spans="153:170" x14ac:dyDescent="0.35">
      <c r="EW2427" s="48"/>
      <c r="FB2427" s="5"/>
      <c r="FI2427" s="5"/>
      <c r="FJ2427" s="164"/>
      <c r="FL2427" s="2"/>
      <c r="FN2427" s="2"/>
    </row>
    <row r="2428" spans="153:170" x14ac:dyDescent="0.35">
      <c r="EW2428" s="48"/>
      <c r="FB2428" s="5"/>
      <c r="FI2428" s="5"/>
      <c r="FJ2428" s="164"/>
      <c r="FL2428" s="2"/>
      <c r="FN2428" s="2"/>
    </row>
    <row r="2429" spans="153:170" x14ac:dyDescent="0.35">
      <c r="EW2429" s="48"/>
      <c r="FB2429" s="5"/>
      <c r="FI2429" s="5"/>
      <c r="FJ2429" s="164"/>
      <c r="FL2429" s="2"/>
      <c r="FN2429" s="2"/>
    </row>
    <row r="2430" spans="153:170" x14ac:dyDescent="0.35">
      <c r="EW2430" s="48"/>
      <c r="FB2430" s="5"/>
      <c r="FI2430" s="5"/>
      <c r="FJ2430" s="164"/>
      <c r="FL2430" s="2"/>
      <c r="FN2430" s="2"/>
    </row>
    <row r="2431" spans="153:170" x14ac:dyDescent="0.35">
      <c r="EW2431" s="48"/>
      <c r="FB2431" s="5"/>
      <c r="FI2431" s="5"/>
      <c r="FJ2431" s="164"/>
      <c r="FL2431" s="2"/>
      <c r="FN2431" s="2"/>
    </row>
    <row r="2432" spans="153:170" x14ac:dyDescent="0.35">
      <c r="EW2432" s="48"/>
      <c r="FB2432" s="5"/>
      <c r="FI2432" s="5"/>
      <c r="FJ2432" s="164"/>
      <c r="FL2432" s="2"/>
      <c r="FN2432" s="2"/>
    </row>
    <row r="2433" spans="153:170" x14ac:dyDescent="0.35">
      <c r="EW2433" s="48"/>
      <c r="FB2433" s="5"/>
      <c r="FI2433" s="5"/>
      <c r="FJ2433" s="164"/>
      <c r="FL2433" s="2"/>
      <c r="FN2433" s="2"/>
    </row>
    <row r="2434" spans="153:170" x14ac:dyDescent="0.35">
      <c r="EW2434" s="48"/>
      <c r="FB2434" s="5"/>
      <c r="FI2434" s="5"/>
      <c r="FJ2434" s="164"/>
      <c r="FL2434" s="2"/>
      <c r="FN2434" s="2"/>
    </row>
    <row r="2435" spans="153:170" x14ac:dyDescent="0.35">
      <c r="EW2435" s="48"/>
      <c r="FB2435" s="5"/>
      <c r="FI2435" s="5"/>
      <c r="FJ2435" s="164"/>
      <c r="FL2435" s="2"/>
      <c r="FN2435" s="2"/>
    </row>
    <row r="2436" spans="153:170" x14ac:dyDescent="0.35">
      <c r="EW2436" s="48"/>
      <c r="FB2436" s="5"/>
      <c r="FI2436" s="5"/>
      <c r="FJ2436" s="164"/>
      <c r="FL2436" s="2"/>
      <c r="FN2436" s="2"/>
    </row>
    <row r="2437" spans="153:170" x14ac:dyDescent="0.35">
      <c r="EW2437" s="48"/>
      <c r="FB2437" s="5"/>
      <c r="FI2437" s="5"/>
      <c r="FJ2437" s="164"/>
      <c r="FL2437" s="2"/>
      <c r="FN2437" s="2"/>
    </row>
    <row r="2438" spans="153:170" x14ac:dyDescent="0.35">
      <c r="EW2438" s="48"/>
      <c r="FB2438" s="5"/>
      <c r="FI2438" s="5"/>
      <c r="FJ2438" s="164"/>
      <c r="FL2438" s="2"/>
      <c r="FN2438" s="2"/>
    </row>
    <row r="2439" spans="153:170" x14ac:dyDescent="0.35">
      <c r="EW2439" s="48"/>
      <c r="FB2439" s="5"/>
      <c r="FI2439" s="5"/>
      <c r="FJ2439" s="164"/>
      <c r="FL2439" s="2"/>
      <c r="FN2439" s="2"/>
    </row>
    <row r="2440" spans="153:170" x14ac:dyDescent="0.35">
      <c r="EW2440" s="48"/>
      <c r="FB2440" s="5"/>
      <c r="FI2440" s="5"/>
      <c r="FJ2440" s="164"/>
      <c r="FL2440" s="2"/>
      <c r="FN2440" s="2"/>
    </row>
    <row r="2441" spans="153:170" x14ac:dyDescent="0.35">
      <c r="EW2441" s="48"/>
      <c r="FB2441" s="5"/>
      <c r="FI2441" s="5"/>
      <c r="FJ2441" s="164"/>
      <c r="FL2441" s="2"/>
      <c r="FN2441" s="2"/>
    </row>
    <row r="2442" spans="153:170" x14ac:dyDescent="0.35">
      <c r="EW2442" s="48"/>
      <c r="FB2442" s="5"/>
      <c r="FI2442" s="5"/>
      <c r="FJ2442" s="164"/>
      <c r="FL2442" s="2"/>
      <c r="FN2442" s="2"/>
    </row>
    <row r="2443" spans="153:170" x14ac:dyDescent="0.35">
      <c r="EW2443" s="48"/>
      <c r="FB2443" s="5"/>
      <c r="FI2443" s="5"/>
      <c r="FJ2443" s="164"/>
      <c r="FL2443" s="2"/>
      <c r="FN2443" s="2"/>
    </row>
    <row r="2444" spans="153:170" x14ac:dyDescent="0.35">
      <c r="EW2444" s="48"/>
      <c r="FB2444" s="5"/>
      <c r="FI2444" s="5"/>
      <c r="FJ2444" s="164"/>
      <c r="FL2444" s="2"/>
      <c r="FN2444" s="2"/>
    </row>
    <row r="2445" spans="153:170" x14ac:dyDescent="0.35">
      <c r="EW2445" s="48"/>
      <c r="FB2445" s="5"/>
      <c r="FI2445" s="5"/>
      <c r="FJ2445" s="164"/>
      <c r="FL2445" s="2"/>
      <c r="FN2445" s="2"/>
    </row>
    <row r="2446" spans="153:170" x14ac:dyDescent="0.35">
      <c r="EW2446" s="48"/>
      <c r="FB2446" s="5"/>
      <c r="FI2446" s="5"/>
      <c r="FJ2446" s="164"/>
      <c r="FL2446" s="2"/>
      <c r="FN2446" s="2"/>
    </row>
    <row r="2447" spans="153:170" x14ac:dyDescent="0.35">
      <c r="EW2447" s="48"/>
      <c r="FB2447" s="5"/>
      <c r="FI2447" s="5"/>
      <c r="FJ2447" s="164"/>
      <c r="FL2447" s="2"/>
      <c r="FN2447" s="2"/>
    </row>
    <row r="2448" spans="153:170" x14ac:dyDescent="0.35">
      <c r="EW2448" s="48"/>
      <c r="FB2448" s="5"/>
      <c r="FI2448" s="5"/>
      <c r="FJ2448" s="164"/>
      <c r="FL2448" s="2"/>
      <c r="FN2448" s="2"/>
    </row>
    <row r="2449" spans="153:170" x14ac:dyDescent="0.35">
      <c r="EW2449" s="48"/>
      <c r="FB2449" s="5"/>
      <c r="FI2449" s="5"/>
      <c r="FJ2449" s="164"/>
      <c r="FL2449" s="2"/>
      <c r="FN2449" s="2"/>
    </row>
    <row r="2450" spans="153:170" x14ac:dyDescent="0.35">
      <c r="EW2450" s="48"/>
      <c r="FB2450" s="5"/>
      <c r="FI2450" s="5"/>
      <c r="FJ2450" s="164"/>
      <c r="FL2450" s="2"/>
      <c r="FN2450" s="2"/>
    </row>
    <row r="2451" spans="153:170" x14ac:dyDescent="0.35">
      <c r="EW2451" s="48"/>
      <c r="FB2451" s="5"/>
      <c r="FI2451" s="5"/>
      <c r="FJ2451" s="164"/>
      <c r="FL2451" s="2"/>
      <c r="FN2451" s="2"/>
    </row>
    <row r="2452" spans="153:170" x14ac:dyDescent="0.35">
      <c r="EW2452" s="48"/>
      <c r="FB2452" s="5"/>
      <c r="FI2452" s="5"/>
      <c r="FJ2452" s="164"/>
      <c r="FL2452" s="2"/>
      <c r="FN2452" s="2"/>
    </row>
    <row r="2453" spans="153:170" x14ac:dyDescent="0.35">
      <c r="EW2453" s="48"/>
      <c r="FB2453" s="5"/>
      <c r="FI2453" s="5"/>
      <c r="FJ2453" s="164"/>
      <c r="FL2453" s="2"/>
      <c r="FN2453" s="2"/>
    </row>
    <row r="2454" spans="153:170" x14ac:dyDescent="0.35">
      <c r="EW2454" s="48"/>
      <c r="FB2454" s="5"/>
      <c r="FI2454" s="5"/>
      <c r="FJ2454" s="164"/>
      <c r="FL2454" s="2"/>
      <c r="FN2454" s="2"/>
    </row>
    <row r="2455" spans="153:170" x14ac:dyDescent="0.35">
      <c r="EW2455" s="48"/>
      <c r="FB2455" s="5"/>
      <c r="FI2455" s="5"/>
      <c r="FJ2455" s="164"/>
      <c r="FL2455" s="2"/>
      <c r="FN2455" s="2"/>
    </row>
    <row r="2456" spans="153:170" x14ac:dyDescent="0.35">
      <c r="EW2456" s="48"/>
      <c r="FB2456" s="5"/>
      <c r="FI2456" s="5"/>
      <c r="FJ2456" s="164"/>
      <c r="FL2456" s="2"/>
      <c r="FN2456" s="2"/>
    </row>
    <row r="2457" spans="153:170" x14ac:dyDescent="0.35">
      <c r="EW2457" s="48"/>
      <c r="FB2457" s="5"/>
      <c r="FI2457" s="5"/>
      <c r="FJ2457" s="164"/>
      <c r="FL2457" s="2"/>
      <c r="FN2457" s="2"/>
    </row>
    <row r="2458" spans="153:170" x14ac:dyDescent="0.35">
      <c r="EW2458" s="48"/>
      <c r="FB2458" s="5"/>
      <c r="FI2458" s="5"/>
      <c r="FJ2458" s="164"/>
      <c r="FL2458" s="2"/>
      <c r="FN2458" s="2"/>
    </row>
    <row r="2459" spans="153:170" x14ac:dyDescent="0.35">
      <c r="EW2459" s="48"/>
      <c r="FB2459" s="5"/>
      <c r="FI2459" s="5"/>
      <c r="FJ2459" s="164"/>
      <c r="FL2459" s="2"/>
      <c r="FN2459" s="2"/>
    </row>
    <row r="2460" spans="153:170" x14ac:dyDescent="0.35">
      <c r="EW2460" s="48"/>
      <c r="FB2460" s="5"/>
      <c r="FI2460" s="5"/>
      <c r="FJ2460" s="164"/>
      <c r="FL2460" s="2"/>
      <c r="FN2460" s="2"/>
    </row>
    <row r="2461" spans="153:170" x14ac:dyDescent="0.35">
      <c r="EW2461" s="48"/>
      <c r="FB2461" s="5"/>
      <c r="FI2461" s="5"/>
      <c r="FJ2461" s="164"/>
      <c r="FL2461" s="2"/>
      <c r="FN2461" s="2"/>
    </row>
    <row r="2462" spans="153:170" x14ac:dyDescent="0.35">
      <c r="EW2462" s="48"/>
      <c r="FB2462" s="5"/>
      <c r="FI2462" s="5"/>
      <c r="FJ2462" s="164"/>
      <c r="FL2462" s="2"/>
      <c r="FN2462" s="2"/>
    </row>
    <row r="2463" spans="153:170" x14ac:dyDescent="0.35">
      <c r="EW2463" s="48"/>
      <c r="FB2463" s="5"/>
      <c r="FI2463" s="5"/>
      <c r="FJ2463" s="164"/>
      <c r="FL2463" s="2"/>
      <c r="FN2463" s="2"/>
    </row>
    <row r="2464" spans="153:170" x14ac:dyDescent="0.35">
      <c r="EW2464" s="48"/>
      <c r="FB2464" s="5"/>
      <c r="FI2464" s="5"/>
      <c r="FJ2464" s="164"/>
      <c r="FL2464" s="2"/>
      <c r="FN2464" s="2"/>
    </row>
    <row r="2465" spans="153:170" x14ac:dyDescent="0.35">
      <c r="EW2465" s="48"/>
      <c r="FB2465" s="5"/>
      <c r="FI2465" s="5"/>
      <c r="FJ2465" s="164"/>
      <c r="FL2465" s="2"/>
      <c r="FN2465" s="2"/>
    </row>
    <row r="2466" spans="153:170" x14ac:dyDescent="0.35">
      <c r="EW2466" s="48"/>
      <c r="FB2466" s="5"/>
      <c r="FI2466" s="5"/>
      <c r="FJ2466" s="164"/>
      <c r="FL2466" s="2"/>
      <c r="FN2466" s="2"/>
    </row>
    <row r="2467" spans="153:170" x14ac:dyDescent="0.35">
      <c r="EW2467" s="48"/>
      <c r="FB2467" s="5"/>
      <c r="FI2467" s="5"/>
      <c r="FJ2467" s="164"/>
      <c r="FL2467" s="2"/>
      <c r="FN2467" s="2"/>
    </row>
    <row r="2468" spans="153:170" x14ac:dyDescent="0.35">
      <c r="EW2468" s="48"/>
      <c r="FB2468" s="5"/>
      <c r="FI2468" s="5"/>
      <c r="FJ2468" s="164"/>
      <c r="FL2468" s="2"/>
      <c r="FN2468" s="2"/>
    </row>
    <row r="2469" spans="153:170" x14ac:dyDescent="0.35">
      <c r="EW2469" s="48"/>
      <c r="FB2469" s="5"/>
      <c r="FI2469" s="5"/>
      <c r="FJ2469" s="164"/>
      <c r="FL2469" s="2"/>
      <c r="FN2469" s="2"/>
    </row>
    <row r="2470" spans="153:170" x14ac:dyDescent="0.35">
      <c r="EW2470" s="48"/>
      <c r="FB2470" s="5"/>
      <c r="FI2470" s="5"/>
      <c r="FJ2470" s="164"/>
      <c r="FL2470" s="2"/>
      <c r="FN2470" s="2"/>
    </row>
    <row r="2471" spans="153:170" x14ac:dyDescent="0.35">
      <c r="EW2471" s="48"/>
      <c r="FB2471" s="5"/>
      <c r="FI2471" s="5"/>
      <c r="FJ2471" s="164"/>
      <c r="FL2471" s="2"/>
      <c r="FN2471" s="2"/>
    </row>
    <row r="2472" spans="153:170" x14ac:dyDescent="0.35">
      <c r="EW2472" s="48"/>
      <c r="FB2472" s="5"/>
      <c r="FI2472" s="5"/>
      <c r="FJ2472" s="164"/>
      <c r="FL2472" s="2"/>
      <c r="FN2472" s="2"/>
    </row>
    <row r="2473" spans="153:170" x14ac:dyDescent="0.35">
      <c r="EW2473" s="48"/>
      <c r="FB2473" s="5"/>
      <c r="FI2473" s="5"/>
      <c r="FJ2473" s="164"/>
      <c r="FL2473" s="2"/>
      <c r="FN2473" s="2"/>
    </row>
    <row r="2474" spans="153:170" x14ac:dyDescent="0.35">
      <c r="EW2474" s="48"/>
      <c r="FB2474" s="5"/>
      <c r="FI2474" s="5"/>
      <c r="FJ2474" s="164"/>
      <c r="FL2474" s="2"/>
      <c r="FN2474" s="2"/>
    </row>
    <row r="2475" spans="153:170" x14ac:dyDescent="0.35">
      <c r="EW2475" s="48"/>
      <c r="FB2475" s="5"/>
      <c r="FI2475" s="5"/>
      <c r="FJ2475" s="164"/>
      <c r="FL2475" s="2"/>
      <c r="FN2475" s="2"/>
    </row>
    <row r="2476" spans="153:170" x14ac:dyDescent="0.35">
      <c r="EW2476" s="48"/>
      <c r="FB2476" s="5"/>
      <c r="FI2476" s="5"/>
      <c r="FJ2476" s="164"/>
      <c r="FL2476" s="2"/>
      <c r="FN2476" s="2"/>
    </row>
    <row r="2477" spans="153:170" x14ac:dyDescent="0.35">
      <c r="EW2477" s="48"/>
      <c r="FB2477" s="5"/>
      <c r="FI2477" s="5"/>
      <c r="FJ2477" s="164"/>
      <c r="FL2477" s="2"/>
      <c r="FN2477" s="2"/>
    </row>
    <row r="2478" spans="153:170" x14ac:dyDescent="0.35">
      <c r="EW2478" s="48"/>
      <c r="FB2478" s="5"/>
      <c r="FI2478" s="5"/>
      <c r="FJ2478" s="164"/>
      <c r="FL2478" s="2"/>
      <c r="FN2478" s="2"/>
    </row>
    <row r="2479" spans="153:170" x14ac:dyDescent="0.35">
      <c r="EW2479" s="48"/>
      <c r="FB2479" s="5"/>
      <c r="FI2479" s="5"/>
      <c r="FJ2479" s="164"/>
      <c r="FL2479" s="2"/>
      <c r="FN2479" s="2"/>
    </row>
    <row r="2480" spans="153:170" x14ac:dyDescent="0.35">
      <c r="EW2480" s="48"/>
      <c r="FB2480" s="5"/>
      <c r="FI2480" s="5"/>
      <c r="FJ2480" s="164"/>
      <c r="FL2480" s="2"/>
      <c r="FN2480" s="2"/>
    </row>
    <row r="2481" spans="153:170" x14ac:dyDescent="0.35">
      <c r="EW2481" s="48"/>
      <c r="FB2481" s="5"/>
      <c r="FI2481" s="5"/>
      <c r="FJ2481" s="164"/>
      <c r="FL2481" s="2"/>
      <c r="FN2481" s="2"/>
    </row>
    <row r="2482" spans="153:170" x14ac:dyDescent="0.35">
      <c r="EW2482" s="48"/>
      <c r="FB2482" s="5"/>
      <c r="FI2482" s="5"/>
      <c r="FJ2482" s="164"/>
      <c r="FL2482" s="2"/>
      <c r="FN2482" s="2"/>
    </row>
    <row r="2483" spans="153:170" x14ac:dyDescent="0.35">
      <c r="EW2483" s="48"/>
      <c r="FB2483" s="5"/>
      <c r="FI2483" s="5"/>
      <c r="FJ2483" s="164"/>
      <c r="FL2483" s="2"/>
      <c r="FN2483" s="2"/>
    </row>
    <row r="2484" spans="153:170" x14ac:dyDescent="0.35">
      <c r="EW2484" s="48"/>
      <c r="FB2484" s="5"/>
      <c r="FI2484" s="5"/>
      <c r="FJ2484" s="164"/>
      <c r="FL2484" s="2"/>
      <c r="FN2484" s="2"/>
    </row>
    <row r="2485" spans="153:170" x14ac:dyDescent="0.35">
      <c r="EW2485" s="48"/>
      <c r="FB2485" s="5"/>
      <c r="FI2485" s="5"/>
      <c r="FJ2485" s="164"/>
      <c r="FL2485" s="2"/>
      <c r="FN2485" s="2"/>
    </row>
    <row r="2486" spans="153:170" x14ac:dyDescent="0.35">
      <c r="EW2486" s="48"/>
      <c r="FB2486" s="5"/>
      <c r="FI2486" s="5"/>
      <c r="FJ2486" s="164"/>
      <c r="FL2486" s="2"/>
      <c r="FN2486" s="2"/>
    </row>
    <row r="2487" spans="153:170" x14ac:dyDescent="0.35">
      <c r="EW2487" s="48"/>
      <c r="FB2487" s="5"/>
      <c r="FI2487" s="5"/>
      <c r="FJ2487" s="164"/>
      <c r="FL2487" s="2"/>
      <c r="FN2487" s="2"/>
    </row>
    <row r="2488" spans="153:170" x14ac:dyDescent="0.35">
      <c r="EW2488" s="48"/>
      <c r="FB2488" s="5"/>
      <c r="FI2488" s="5"/>
      <c r="FJ2488" s="164"/>
      <c r="FL2488" s="2"/>
      <c r="FN2488" s="2"/>
    </row>
    <row r="2489" spans="153:170" x14ac:dyDescent="0.35">
      <c r="EW2489" s="48"/>
      <c r="FB2489" s="5"/>
      <c r="FI2489" s="5"/>
      <c r="FJ2489" s="164"/>
      <c r="FL2489" s="2"/>
      <c r="FN2489" s="2"/>
    </row>
    <row r="2490" spans="153:170" x14ac:dyDescent="0.35">
      <c r="EW2490" s="48"/>
      <c r="FB2490" s="5"/>
      <c r="FI2490" s="5"/>
      <c r="FJ2490" s="164"/>
      <c r="FL2490" s="2"/>
      <c r="FN2490" s="2"/>
    </row>
    <row r="2491" spans="153:170" x14ac:dyDescent="0.35">
      <c r="EW2491" s="48"/>
      <c r="FB2491" s="5"/>
      <c r="FI2491" s="5"/>
      <c r="FJ2491" s="164"/>
      <c r="FL2491" s="2"/>
      <c r="FN2491" s="2"/>
    </row>
    <row r="2492" spans="153:170" x14ac:dyDescent="0.35">
      <c r="EW2492" s="48"/>
      <c r="FB2492" s="5"/>
      <c r="FI2492" s="5"/>
      <c r="FJ2492" s="164"/>
      <c r="FL2492" s="2"/>
      <c r="FN2492" s="2"/>
    </row>
    <row r="2493" spans="153:170" x14ac:dyDescent="0.35">
      <c r="EW2493" s="48"/>
      <c r="FB2493" s="5"/>
      <c r="FI2493" s="5"/>
      <c r="FJ2493" s="164"/>
      <c r="FL2493" s="2"/>
      <c r="FN2493" s="2"/>
    </row>
    <row r="2494" spans="153:170" x14ac:dyDescent="0.35">
      <c r="EW2494" s="48"/>
      <c r="FB2494" s="5"/>
      <c r="FI2494" s="5"/>
      <c r="FJ2494" s="164"/>
      <c r="FL2494" s="2"/>
      <c r="FN2494" s="2"/>
    </row>
    <row r="2495" spans="153:170" x14ac:dyDescent="0.35">
      <c r="EW2495" s="48"/>
      <c r="FB2495" s="5"/>
      <c r="FI2495" s="5"/>
      <c r="FJ2495" s="164"/>
      <c r="FL2495" s="2"/>
      <c r="FN2495" s="2"/>
    </row>
    <row r="2496" spans="153:170" x14ac:dyDescent="0.35">
      <c r="EW2496" s="48"/>
      <c r="FB2496" s="5"/>
      <c r="FI2496" s="5"/>
      <c r="FJ2496" s="164"/>
      <c r="FL2496" s="2"/>
      <c r="FN2496" s="2"/>
    </row>
    <row r="2497" spans="153:170" x14ac:dyDescent="0.35">
      <c r="EW2497" s="48"/>
      <c r="FB2497" s="5"/>
      <c r="FI2497" s="5"/>
      <c r="FJ2497" s="164"/>
      <c r="FL2497" s="2"/>
      <c r="FN2497" s="2"/>
    </row>
    <row r="2498" spans="153:170" x14ac:dyDescent="0.35">
      <c r="EW2498" s="48"/>
      <c r="FB2498" s="5"/>
      <c r="FI2498" s="5"/>
      <c r="FJ2498" s="164"/>
      <c r="FL2498" s="2"/>
      <c r="FN2498" s="2"/>
    </row>
    <row r="2499" spans="153:170" x14ac:dyDescent="0.35">
      <c r="EW2499" s="48"/>
      <c r="FB2499" s="5"/>
      <c r="FI2499" s="5"/>
      <c r="FJ2499" s="164"/>
      <c r="FL2499" s="2"/>
      <c r="FN2499" s="2"/>
    </row>
    <row r="2500" spans="153:170" x14ac:dyDescent="0.35">
      <c r="EW2500" s="48"/>
      <c r="FB2500" s="5"/>
      <c r="FI2500" s="5"/>
      <c r="FJ2500" s="164"/>
      <c r="FL2500" s="2"/>
      <c r="FN2500" s="2"/>
    </row>
    <row r="2501" spans="153:170" x14ac:dyDescent="0.35">
      <c r="EW2501" s="48"/>
      <c r="FB2501" s="5"/>
      <c r="FI2501" s="5"/>
      <c r="FJ2501" s="164"/>
      <c r="FL2501" s="2"/>
      <c r="FN2501" s="2"/>
    </row>
    <row r="2502" spans="153:170" x14ac:dyDescent="0.35">
      <c r="EW2502" s="48"/>
      <c r="FB2502" s="5"/>
      <c r="FI2502" s="5"/>
      <c r="FJ2502" s="164"/>
      <c r="FL2502" s="2"/>
      <c r="FN2502" s="2"/>
    </row>
    <row r="2503" spans="153:170" x14ac:dyDescent="0.35">
      <c r="EW2503" s="48"/>
      <c r="FB2503" s="5"/>
      <c r="FI2503" s="5"/>
      <c r="FJ2503" s="164"/>
      <c r="FL2503" s="2"/>
      <c r="FN2503" s="2"/>
    </row>
    <row r="2504" spans="153:170" x14ac:dyDescent="0.35">
      <c r="EW2504" s="48"/>
      <c r="FB2504" s="5"/>
      <c r="FI2504" s="5"/>
      <c r="FJ2504" s="164"/>
      <c r="FL2504" s="2"/>
      <c r="FN2504" s="2"/>
    </row>
    <row r="2505" spans="153:170" x14ac:dyDescent="0.35">
      <c r="EW2505" s="48"/>
      <c r="FB2505" s="5"/>
      <c r="FI2505" s="5"/>
      <c r="FJ2505" s="164"/>
      <c r="FL2505" s="2"/>
      <c r="FN2505" s="2"/>
    </row>
    <row r="2506" spans="153:170" x14ac:dyDescent="0.35">
      <c r="EW2506" s="48"/>
      <c r="FB2506" s="5"/>
      <c r="FI2506" s="5"/>
      <c r="FJ2506" s="164"/>
      <c r="FL2506" s="2"/>
      <c r="FN2506" s="2"/>
    </row>
    <row r="2507" spans="153:170" x14ac:dyDescent="0.35">
      <c r="EW2507" s="48"/>
      <c r="FB2507" s="5"/>
      <c r="FI2507" s="5"/>
      <c r="FJ2507" s="164"/>
      <c r="FL2507" s="2"/>
      <c r="FN2507" s="2"/>
    </row>
    <row r="2508" spans="153:170" x14ac:dyDescent="0.35">
      <c r="EW2508" s="48"/>
      <c r="FB2508" s="5"/>
      <c r="FI2508" s="5"/>
      <c r="FJ2508" s="164"/>
      <c r="FL2508" s="2"/>
      <c r="FN2508" s="2"/>
    </row>
    <row r="2509" spans="153:170" x14ac:dyDescent="0.35">
      <c r="EW2509" s="48"/>
      <c r="FB2509" s="5"/>
      <c r="FI2509" s="5"/>
      <c r="FJ2509" s="164"/>
      <c r="FL2509" s="2"/>
      <c r="FN2509" s="2"/>
    </row>
    <row r="2510" spans="153:170" x14ac:dyDescent="0.35">
      <c r="EW2510" s="48"/>
      <c r="FB2510" s="5"/>
      <c r="FI2510" s="5"/>
      <c r="FJ2510" s="164"/>
      <c r="FL2510" s="2"/>
      <c r="FN2510" s="2"/>
    </row>
    <row r="2511" spans="153:170" x14ac:dyDescent="0.35">
      <c r="EW2511" s="48"/>
      <c r="FB2511" s="5"/>
      <c r="FI2511" s="5"/>
      <c r="FJ2511" s="164"/>
      <c r="FL2511" s="2"/>
      <c r="FN2511" s="2"/>
    </row>
    <row r="2512" spans="153:170" x14ac:dyDescent="0.35">
      <c r="EW2512" s="48"/>
      <c r="FB2512" s="5"/>
      <c r="FI2512" s="5"/>
      <c r="FJ2512" s="164"/>
      <c r="FL2512" s="2"/>
      <c r="FN2512" s="2"/>
    </row>
    <row r="2513" spans="153:170" x14ac:dyDescent="0.35">
      <c r="EW2513" s="48"/>
      <c r="FB2513" s="5"/>
      <c r="FI2513" s="5"/>
      <c r="FJ2513" s="164"/>
      <c r="FL2513" s="2"/>
      <c r="FN2513" s="2"/>
    </row>
    <row r="2514" spans="153:170" x14ac:dyDescent="0.35">
      <c r="EW2514" s="48"/>
      <c r="FB2514" s="5"/>
      <c r="FI2514" s="5"/>
      <c r="FJ2514" s="164"/>
      <c r="FL2514" s="2"/>
      <c r="FN2514" s="2"/>
    </row>
    <row r="2515" spans="153:170" x14ac:dyDescent="0.35">
      <c r="EW2515" s="48"/>
      <c r="FB2515" s="5"/>
      <c r="FI2515" s="5"/>
      <c r="FJ2515" s="164"/>
      <c r="FL2515" s="2"/>
      <c r="FN2515" s="2"/>
    </row>
    <row r="2516" spans="153:170" x14ac:dyDescent="0.35">
      <c r="EW2516" s="48"/>
      <c r="FB2516" s="5"/>
      <c r="FI2516" s="5"/>
      <c r="FJ2516" s="164"/>
      <c r="FL2516" s="2"/>
      <c r="FN2516" s="2"/>
    </row>
    <row r="2517" spans="153:170" x14ac:dyDescent="0.35">
      <c r="EW2517" s="48"/>
      <c r="FB2517" s="5"/>
      <c r="FI2517" s="5"/>
      <c r="FJ2517" s="164"/>
      <c r="FL2517" s="2"/>
      <c r="FN2517" s="2"/>
    </row>
    <row r="2518" spans="153:170" x14ac:dyDescent="0.35">
      <c r="EW2518" s="48"/>
      <c r="FB2518" s="5"/>
      <c r="FI2518" s="5"/>
      <c r="FJ2518" s="164"/>
      <c r="FL2518" s="2"/>
      <c r="FN2518" s="2"/>
    </row>
    <row r="2519" spans="153:170" x14ac:dyDescent="0.35">
      <c r="EW2519" s="48"/>
      <c r="FB2519" s="5"/>
      <c r="FI2519" s="5"/>
      <c r="FJ2519" s="164"/>
      <c r="FL2519" s="2"/>
      <c r="FN2519" s="2"/>
    </row>
    <row r="2520" spans="153:170" x14ac:dyDescent="0.35">
      <c r="EW2520" s="48"/>
      <c r="FB2520" s="5"/>
      <c r="FI2520" s="5"/>
      <c r="FJ2520" s="164"/>
      <c r="FL2520" s="2"/>
      <c r="FN2520" s="2"/>
    </row>
    <row r="2521" spans="153:170" x14ac:dyDescent="0.35">
      <c r="EW2521" s="48"/>
      <c r="FB2521" s="5"/>
      <c r="FI2521" s="5"/>
      <c r="FJ2521" s="164"/>
      <c r="FL2521" s="2"/>
      <c r="FN2521" s="2"/>
    </row>
    <row r="2522" spans="153:170" x14ac:dyDescent="0.35">
      <c r="EW2522" s="48"/>
      <c r="FB2522" s="5"/>
      <c r="FI2522" s="5"/>
      <c r="FJ2522" s="164"/>
      <c r="FL2522" s="2"/>
      <c r="FN2522" s="2"/>
    </row>
    <row r="2523" spans="153:170" x14ac:dyDescent="0.35">
      <c r="EW2523" s="48"/>
      <c r="FB2523" s="5"/>
      <c r="FI2523" s="5"/>
      <c r="FJ2523" s="164"/>
      <c r="FL2523" s="2"/>
      <c r="FN2523" s="2"/>
    </row>
    <row r="2524" spans="153:170" x14ac:dyDescent="0.35">
      <c r="EW2524" s="48"/>
      <c r="FB2524" s="5"/>
      <c r="FI2524" s="5"/>
      <c r="FJ2524" s="164"/>
      <c r="FL2524" s="2"/>
      <c r="FN2524" s="2"/>
    </row>
    <row r="2525" spans="153:170" x14ac:dyDescent="0.35">
      <c r="EW2525" s="48"/>
      <c r="FB2525" s="5"/>
      <c r="FI2525" s="5"/>
      <c r="FJ2525" s="164"/>
      <c r="FL2525" s="2"/>
      <c r="FN2525" s="2"/>
    </row>
    <row r="2526" spans="153:170" x14ac:dyDescent="0.35">
      <c r="EW2526" s="48"/>
      <c r="FB2526" s="5"/>
      <c r="FI2526" s="5"/>
      <c r="FJ2526" s="164"/>
      <c r="FL2526" s="2"/>
      <c r="FN2526" s="2"/>
    </row>
    <row r="2527" spans="153:170" x14ac:dyDescent="0.35">
      <c r="EW2527" s="48"/>
      <c r="FB2527" s="5"/>
      <c r="FI2527" s="5"/>
      <c r="FJ2527" s="164"/>
      <c r="FL2527" s="2"/>
      <c r="FN2527" s="2"/>
    </row>
    <row r="2528" spans="153:170" x14ac:dyDescent="0.35">
      <c r="EW2528" s="48"/>
      <c r="FB2528" s="5"/>
      <c r="FI2528" s="5"/>
      <c r="FJ2528" s="164"/>
      <c r="FL2528" s="2"/>
      <c r="FN2528" s="2"/>
    </row>
    <row r="2529" spans="153:170" x14ac:dyDescent="0.35">
      <c r="EW2529" s="48"/>
      <c r="FB2529" s="5"/>
      <c r="FI2529" s="5"/>
      <c r="FJ2529" s="164"/>
      <c r="FL2529" s="2"/>
      <c r="FN2529" s="2"/>
    </row>
    <row r="2530" spans="153:170" x14ac:dyDescent="0.35">
      <c r="EW2530" s="48"/>
      <c r="FB2530" s="5"/>
      <c r="FI2530" s="5"/>
      <c r="FJ2530" s="164"/>
      <c r="FL2530" s="2"/>
      <c r="FN2530" s="2"/>
    </row>
    <row r="2531" spans="153:170" x14ac:dyDescent="0.35">
      <c r="EW2531" s="48"/>
      <c r="FB2531" s="5"/>
      <c r="FI2531" s="5"/>
      <c r="FJ2531" s="164"/>
      <c r="FL2531" s="2"/>
      <c r="FN2531" s="2"/>
    </row>
    <row r="2532" spans="153:170" x14ac:dyDescent="0.35">
      <c r="EW2532" s="48"/>
      <c r="FB2532" s="5"/>
      <c r="FI2532" s="5"/>
      <c r="FJ2532" s="164"/>
      <c r="FL2532" s="2"/>
      <c r="FN2532" s="2"/>
    </row>
    <row r="2533" spans="153:170" x14ac:dyDescent="0.35">
      <c r="EW2533" s="48"/>
      <c r="FB2533" s="5"/>
      <c r="FI2533" s="5"/>
      <c r="FJ2533" s="164"/>
      <c r="FL2533" s="2"/>
      <c r="FN2533" s="2"/>
    </row>
    <row r="2534" spans="153:170" x14ac:dyDescent="0.35">
      <c r="EW2534" s="48"/>
      <c r="FB2534" s="5"/>
      <c r="FI2534" s="5"/>
      <c r="FJ2534" s="164"/>
      <c r="FL2534" s="2"/>
      <c r="FN2534" s="2"/>
    </row>
    <row r="2535" spans="153:170" x14ac:dyDescent="0.35">
      <c r="EW2535" s="48"/>
      <c r="FB2535" s="5"/>
      <c r="FI2535" s="5"/>
      <c r="FJ2535" s="164"/>
      <c r="FL2535" s="2"/>
      <c r="FN2535" s="2"/>
    </row>
    <row r="2536" spans="153:170" x14ac:dyDescent="0.35">
      <c r="EW2536" s="48"/>
      <c r="FB2536" s="5"/>
      <c r="FI2536" s="5"/>
      <c r="FJ2536" s="164"/>
      <c r="FL2536" s="2"/>
      <c r="FN2536" s="2"/>
    </row>
    <row r="2537" spans="153:170" x14ac:dyDescent="0.35">
      <c r="EW2537" s="48"/>
      <c r="FB2537" s="5"/>
      <c r="FI2537" s="5"/>
      <c r="FJ2537" s="164"/>
      <c r="FL2537" s="2"/>
      <c r="FN2537" s="2"/>
    </row>
    <row r="2538" spans="153:170" x14ac:dyDescent="0.35">
      <c r="EW2538" s="48"/>
      <c r="FB2538" s="5"/>
      <c r="FI2538" s="5"/>
      <c r="FJ2538" s="164"/>
      <c r="FL2538" s="2"/>
      <c r="FN2538" s="2"/>
    </row>
    <row r="2539" spans="153:170" x14ac:dyDescent="0.35">
      <c r="EW2539" s="48"/>
      <c r="FB2539" s="5"/>
      <c r="FI2539" s="5"/>
      <c r="FJ2539" s="164"/>
      <c r="FL2539" s="2"/>
      <c r="FN2539" s="2"/>
    </row>
    <row r="2540" spans="153:170" x14ac:dyDescent="0.35">
      <c r="EW2540" s="48"/>
      <c r="FB2540" s="5"/>
      <c r="FI2540" s="5"/>
      <c r="FJ2540" s="164"/>
      <c r="FL2540" s="2"/>
      <c r="FN2540" s="2"/>
    </row>
    <row r="2541" spans="153:170" x14ac:dyDescent="0.35">
      <c r="EW2541" s="48"/>
      <c r="FB2541" s="5"/>
      <c r="FI2541" s="5"/>
      <c r="FJ2541" s="164"/>
      <c r="FL2541" s="2"/>
      <c r="FN2541" s="2"/>
    </row>
    <row r="2542" spans="153:170" x14ac:dyDescent="0.35">
      <c r="EW2542" s="48"/>
      <c r="FB2542" s="5"/>
      <c r="FI2542" s="5"/>
      <c r="FJ2542" s="164"/>
      <c r="FL2542" s="2"/>
      <c r="FN2542" s="2"/>
    </row>
    <row r="2543" spans="153:170" x14ac:dyDescent="0.35">
      <c r="EW2543" s="48"/>
      <c r="FB2543" s="5"/>
      <c r="FI2543" s="5"/>
      <c r="FJ2543" s="164"/>
      <c r="FL2543" s="2"/>
      <c r="FN2543" s="2"/>
    </row>
    <row r="2544" spans="153:170" x14ac:dyDescent="0.35">
      <c r="EW2544" s="48"/>
      <c r="FB2544" s="5"/>
      <c r="FI2544" s="5"/>
      <c r="FJ2544" s="164"/>
      <c r="FL2544" s="2"/>
      <c r="FN2544" s="2"/>
    </row>
    <row r="2545" spans="153:170" x14ac:dyDescent="0.35">
      <c r="EW2545" s="48"/>
      <c r="FB2545" s="5"/>
      <c r="FI2545" s="5"/>
      <c r="FJ2545" s="164"/>
      <c r="FL2545" s="2"/>
      <c r="FN2545" s="2"/>
    </row>
    <row r="2546" spans="153:170" x14ac:dyDescent="0.35">
      <c r="EW2546" s="48"/>
      <c r="FB2546" s="5"/>
      <c r="FI2546" s="5"/>
      <c r="FJ2546" s="164"/>
      <c r="FL2546" s="2"/>
      <c r="FN2546" s="2"/>
    </row>
    <row r="2547" spans="153:170" x14ac:dyDescent="0.35">
      <c r="EW2547" s="48"/>
      <c r="FB2547" s="5"/>
      <c r="FI2547" s="5"/>
      <c r="FJ2547" s="164"/>
      <c r="FL2547" s="2"/>
      <c r="FN2547" s="2"/>
    </row>
    <row r="2548" spans="153:170" x14ac:dyDescent="0.35">
      <c r="EW2548" s="48"/>
      <c r="FB2548" s="5"/>
      <c r="FI2548" s="5"/>
      <c r="FJ2548" s="164"/>
      <c r="FL2548" s="2"/>
      <c r="FN2548" s="2"/>
    </row>
    <row r="2549" spans="153:170" x14ac:dyDescent="0.35">
      <c r="EW2549" s="48"/>
      <c r="FB2549" s="5"/>
      <c r="FI2549" s="5"/>
      <c r="FJ2549" s="164"/>
      <c r="FL2549" s="2"/>
      <c r="FN2549" s="2"/>
    </row>
    <row r="2550" spans="153:170" x14ac:dyDescent="0.35">
      <c r="EW2550" s="48"/>
      <c r="FB2550" s="5"/>
      <c r="FI2550" s="5"/>
      <c r="FJ2550" s="164"/>
      <c r="FL2550" s="2"/>
      <c r="FN2550" s="2"/>
    </row>
    <row r="2551" spans="153:170" x14ac:dyDescent="0.35">
      <c r="EW2551" s="48"/>
      <c r="FB2551" s="5"/>
      <c r="FI2551" s="5"/>
      <c r="FJ2551" s="164"/>
      <c r="FL2551" s="2"/>
      <c r="FN2551" s="2"/>
    </row>
    <row r="2552" spans="153:170" x14ac:dyDescent="0.35">
      <c r="EW2552" s="48"/>
      <c r="FB2552" s="5"/>
      <c r="FI2552" s="5"/>
      <c r="FJ2552" s="164"/>
      <c r="FL2552" s="2"/>
      <c r="FN2552" s="2"/>
    </row>
    <row r="2553" spans="153:170" x14ac:dyDescent="0.35">
      <c r="EW2553" s="48"/>
      <c r="FB2553" s="5"/>
      <c r="FI2553" s="5"/>
      <c r="FJ2553" s="164"/>
      <c r="FL2553" s="2"/>
      <c r="FN2553" s="2"/>
    </row>
    <row r="2554" spans="153:170" x14ac:dyDescent="0.35">
      <c r="EW2554" s="48"/>
      <c r="FB2554" s="5"/>
      <c r="FI2554" s="5"/>
      <c r="FJ2554" s="164"/>
      <c r="FL2554" s="2"/>
      <c r="FN2554" s="2"/>
    </row>
    <row r="2555" spans="153:170" x14ac:dyDescent="0.35">
      <c r="EW2555" s="48"/>
      <c r="FB2555" s="5"/>
      <c r="FI2555" s="5"/>
      <c r="FJ2555" s="164"/>
      <c r="FL2555" s="2"/>
      <c r="FN2555" s="2"/>
    </row>
    <row r="2556" spans="153:170" x14ac:dyDescent="0.35">
      <c r="EW2556" s="48"/>
      <c r="FB2556" s="5"/>
      <c r="FI2556" s="5"/>
      <c r="FJ2556" s="164"/>
      <c r="FL2556" s="2"/>
      <c r="FN2556" s="2"/>
    </row>
    <row r="2557" spans="153:170" x14ac:dyDescent="0.35">
      <c r="EW2557" s="48"/>
      <c r="FB2557" s="5"/>
      <c r="FI2557" s="5"/>
      <c r="FJ2557" s="164"/>
      <c r="FL2557" s="2"/>
      <c r="FN2557" s="2"/>
    </row>
    <row r="2558" spans="153:170" x14ac:dyDescent="0.35">
      <c r="EW2558" s="48"/>
      <c r="FB2558" s="5"/>
      <c r="FI2558" s="5"/>
      <c r="FJ2558" s="164"/>
      <c r="FL2558" s="2"/>
      <c r="FN2558" s="2"/>
    </row>
    <row r="2559" spans="153:170" x14ac:dyDescent="0.35">
      <c r="EW2559" s="48"/>
      <c r="FB2559" s="5"/>
      <c r="FI2559" s="5"/>
      <c r="FJ2559" s="164"/>
      <c r="FL2559" s="2"/>
      <c r="FN2559" s="2"/>
    </row>
    <row r="2560" spans="153:170" x14ac:dyDescent="0.35">
      <c r="EW2560" s="48"/>
      <c r="FB2560" s="5"/>
      <c r="FI2560" s="5"/>
      <c r="FJ2560" s="164"/>
      <c r="FL2560" s="2"/>
      <c r="FN2560" s="2"/>
    </row>
    <row r="2561" spans="153:170" x14ac:dyDescent="0.35">
      <c r="EW2561" s="48"/>
      <c r="FB2561" s="5"/>
      <c r="FI2561" s="5"/>
      <c r="FJ2561" s="164"/>
      <c r="FL2561" s="2"/>
      <c r="FN2561" s="2"/>
    </row>
    <row r="2562" spans="153:170" x14ac:dyDescent="0.35">
      <c r="EW2562" s="48"/>
      <c r="FB2562" s="5"/>
      <c r="FI2562" s="5"/>
      <c r="FJ2562" s="164"/>
      <c r="FL2562" s="2"/>
      <c r="FN2562" s="2"/>
    </row>
    <row r="2563" spans="153:170" x14ac:dyDescent="0.35">
      <c r="EW2563" s="48"/>
      <c r="FB2563" s="5"/>
      <c r="FI2563" s="5"/>
      <c r="FJ2563" s="164"/>
      <c r="FL2563" s="2"/>
      <c r="FN2563" s="2"/>
    </row>
    <row r="2564" spans="153:170" x14ac:dyDescent="0.35">
      <c r="EW2564" s="48"/>
      <c r="FB2564" s="5"/>
      <c r="FI2564" s="5"/>
      <c r="FJ2564" s="164"/>
      <c r="FL2564" s="2"/>
      <c r="FN2564" s="2"/>
    </row>
    <row r="2565" spans="153:170" x14ac:dyDescent="0.35">
      <c r="EW2565" s="48"/>
      <c r="FB2565" s="5"/>
      <c r="FI2565" s="5"/>
      <c r="FJ2565" s="164"/>
      <c r="FL2565" s="2"/>
      <c r="FN2565" s="2"/>
    </row>
    <row r="2566" spans="153:170" x14ac:dyDescent="0.35">
      <c r="EW2566" s="48"/>
      <c r="FB2566" s="5"/>
      <c r="FI2566" s="5"/>
      <c r="FJ2566" s="164"/>
      <c r="FL2566" s="2"/>
      <c r="FN2566" s="2"/>
    </row>
    <row r="2567" spans="153:170" x14ac:dyDescent="0.35">
      <c r="EW2567" s="48"/>
      <c r="FB2567" s="5"/>
      <c r="FI2567" s="5"/>
      <c r="FJ2567" s="164"/>
      <c r="FL2567" s="2"/>
      <c r="FN2567" s="2"/>
    </row>
    <row r="2568" spans="153:170" x14ac:dyDescent="0.35">
      <c r="EW2568" s="48"/>
      <c r="FB2568" s="5"/>
      <c r="FI2568" s="5"/>
      <c r="FJ2568" s="164"/>
      <c r="FL2568" s="2"/>
      <c r="FN2568" s="2"/>
    </row>
    <row r="2569" spans="153:170" x14ac:dyDescent="0.35">
      <c r="EW2569" s="48"/>
      <c r="FB2569" s="5"/>
      <c r="FI2569" s="5"/>
      <c r="FJ2569" s="164"/>
      <c r="FL2569" s="2"/>
      <c r="FN2569" s="2"/>
    </row>
    <row r="2570" spans="153:170" x14ac:dyDescent="0.35">
      <c r="EW2570" s="48"/>
      <c r="FB2570" s="5"/>
      <c r="FI2570" s="5"/>
      <c r="FJ2570" s="164"/>
      <c r="FL2570" s="2"/>
      <c r="FN2570" s="2"/>
    </row>
    <row r="2571" spans="153:170" x14ac:dyDescent="0.35">
      <c r="EW2571" s="48"/>
      <c r="FB2571" s="5"/>
      <c r="FI2571" s="5"/>
      <c r="FJ2571" s="164"/>
      <c r="FL2571" s="2"/>
      <c r="FN2571" s="2"/>
    </row>
    <row r="2572" spans="153:170" x14ac:dyDescent="0.35">
      <c r="EW2572" s="48"/>
      <c r="FB2572" s="5"/>
      <c r="FI2572" s="5"/>
      <c r="FJ2572" s="164"/>
      <c r="FL2572" s="2"/>
      <c r="FN2572" s="2"/>
    </row>
    <row r="2573" spans="153:170" x14ac:dyDescent="0.35">
      <c r="EW2573" s="48"/>
      <c r="FB2573" s="5"/>
      <c r="FI2573" s="5"/>
      <c r="FJ2573" s="164"/>
      <c r="FL2573" s="2"/>
      <c r="FN2573" s="2"/>
    </row>
    <row r="2574" spans="153:170" x14ac:dyDescent="0.35">
      <c r="EW2574" s="48"/>
      <c r="FB2574" s="5"/>
      <c r="FI2574" s="5"/>
      <c r="FJ2574" s="164"/>
      <c r="FL2574" s="2"/>
      <c r="FN2574" s="2"/>
    </row>
    <row r="2575" spans="153:170" x14ac:dyDescent="0.35">
      <c r="EW2575" s="48"/>
      <c r="FB2575" s="5"/>
      <c r="FI2575" s="5"/>
      <c r="FJ2575" s="164"/>
      <c r="FL2575" s="2"/>
      <c r="FN2575" s="2"/>
    </row>
    <row r="2576" spans="153:170" x14ac:dyDescent="0.35">
      <c r="EW2576" s="48"/>
      <c r="FB2576" s="5"/>
      <c r="FI2576" s="5"/>
      <c r="FJ2576" s="164"/>
      <c r="FL2576" s="2"/>
      <c r="FN2576" s="2"/>
    </row>
    <row r="2577" spans="153:170" x14ac:dyDescent="0.35">
      <c r="EW2577" s="48"/>
      <c r="FB2577" s="5"/>
      <c r="FI2577" s="5"/>
      <c r="FJ2577" s="164"/>
      <c r="FL2577" s="2"/>
      <c r="FN2577" s="2"/>
    </row>
    <row r="2578" spans="153:170" x14ac:dyDescent="0.35">
      <c r="EW2578" s="48"/>
      <c r="FB2578" s="5"/>
      <c r="FI2578" s="5"/>
      <c r="FJ2578" s="164"/>
      <c r="FL2578" s="2"/>
      <c r="FN2578" s="2"/>
    </row>
    <row r="2579" spans="153:170" x14ac:dyDescent="0.35">
      <c r="EW2579" s="48"/>
      <c r="FB2579" s="5"/>
      <c r="FI2579" s="5"/>
      <c r="FJ2579" s="164"/>
      <c r="FL2579" s="2"/>
      <c r="FN2579" s="2"/>
    </row>
    <row r="2580" spans="153:170" x14ac:dyDescent="0.35">
      <c r="EW2580" s="48"/>
      <c r="FB2580" s="5"/>
      <c r="FI2580" s="5"/>
      <c r="FJ2580" s="164"/>
      <c r="FL2580" s="2"/>
      <c r="FN2580" s="2"/>
    </row>
    <row r="2581" spans="153:170" x14ac:dyDescent="0.35">
      <c r="EW2581" s="48"/>
      <c r="FB2581" s="5"/>
      <c r="FI2581" s="5"/>
      <c r="FJ2581" s="164"/>
      <c r="FL2581" s="2"/>
      <c r="FN2581" s="2"/>
    </row>
    <row r="2582" spans="153:170" x14ac:dyDescent="0.35">
      <c r="EW2582" s="48"/>
      <c r="FB2582" s="5"/>
      <c r="FI2582" s="5"/>
      <c r="FJ2582" s="164"/>
      <c r="FL2582" s="2"/>
      <c r="FN2582" s="2"/>
    </row>
    <row r="2583" spans="153:170" x14ac:dyDescent="0.35">
      <c r="EW2583" s="48"/>
      <c r="FB2583" s="5"/>
      <c r="FI2583" s="5"/>
      <c r="FJ2583" s="164"/>
      <c r="FL2583" s="2"/>
      <c r="FN2583" s="2"/>
    </row>
    <row r="2584" spans="153:170" x14ac:dyDescent="0.35">
      <c r="EW2584" s="48"/>
      <c r="FB2584" s="5"/>
      <c r="FI2584" s="5"/>
      <c r="FJ2584" s="164"/>
      <c r="FL2584" s="2"/>
      <c r="FN2584" s="2"/>
    </row>
    <row r="2585" spans="153:170" x14ac:dyDescent="0.35">
      <c r="EW2585" s="48"/>
      <c r="FB2585" s="5"/>
      <c r="FI2585" s="5"/>
      <c r="FJ2585" s="164"/>
      <c r="FL2585" s="2"/>
      <c r="FN2585" s="2"/>
    </row>
    <row r="2586" spans="153:170" x14ac:dyDescent="0.35">
      <c r="EW2586" s="48"/>
      <c r="FB2586" s="5"/>
      <c r="FI2586" s="5"/>
      <c r="FJ2586" s="164"/>
      <c r="FL2586" s="2"/>
      <c r="FN2586" s="2"/>
    </row>
    <row r="2587" spans="153:170" x14ac:dyDescent="0.35">
      <c r="EW2587" s="48"/>
      <c r="FB2587" s="5"/>
      <c r="FI2587" s="5"/>
      <c r="FJ2587" s="164"/>
      <c r="FL2587" s="2"/>
      <c r="FN2587" s="2"/>
    </row>
    <row r="2588" spans="153:170" x14ac:dyDescent="0.35">
      <c r="EW2588" s="48"/>
      <c r="FB2588" s="5"/>
      <c r="FI2588" s="5"/>
      <c r="FJ2588" s="164"/>
      <c r="FL2588" s="2"/>
      <c r="FN2588" s="2"/>
    </row>
    <row r="2589" spans="153:170" x14ac:dyDescent="0.35">
      <c r="EW2589" s="48"/>
      <c r="FB2589" s="5"/>
      <c r="FI2589" s="5"/>
      <c r="FJ2589" s="164"/>
      <c r="FL2589" s="2"/>
      <c r="FN2589" s="2"/>
    </row>
    <row r="2590" spans="153:170" x14ac:dyDescent="0.35">
      <c r="EW2590" s="48"/>
      <c r="FB2590" s="5"/>
      <c r="FI2590" s="5"/>
      <c r="FJ2590" s="164"/>
      <c r="FL2590" s="2"/>
      <c r="FN2590" s="2"/>
    </row>
    <row r="2591" spans="153:170" x14ac:dyDescent="0.35">
      <c r="EW2591" s="48"/>
      <c r="FB2591" s="5"/>
      <c r="FI2591" s="5"/>
      <c r="FJ2591" s="164"/>
      <c r="FL2591" s="2"/>
      <c r="FN2591" s="2"/>
    </row>
    <row r="2592" spans="153:170" x14ac:dyDescent="0.35">
      <c r="EW2592" s="48"/>
      <c r="FB2592" s="5"/>
      <c r="FI2592" s="5"/>
      <c r="FJ2592" s="164"/>
      <c r="FL2592" s="2"/>
      <c r="FN2592" s="2"/>
    </row>
    <row r="2593" spans="153:170" x14ac:dyDescent="0.35">
      <c r="EW2593" s="48"/>
      <c r="FB2593" s="5"/>
      <c r="FI2593" s="5"/>
      <c r="FJ2593" s="164"/>
      <c r="FL2593" s="2"/>
      <c r="FN2593" s="2"/>
    </row>
    <row r="2594" spans="153:170" x14ac:dyDescent="0.35">
      <c r="EW2594" s="48"/>
      <c r="FB2594" s="5"/>
      <c r="FI2594" s="5"/>
      <c r="FJ2594" s="164"/>
      <c r="FL2594" s="2"/>
      <c r="FN2594" s="2"/>
    </row>
    <row r="2595" spans="153:170" x14ac:dyDescent="0.35">
      <c r="EW2595" s="48"/>
      <c r="FB2595" s="5"/>
      <c r="FI2595" s="5"/>
      <c r="FJ2595" s="164"/>
      <c r="FL2595" s="2"/>
      <c r="FN2595" s="2"/>
    </row>
    <row r="2596" spans="153:170" x14ac:dyDescent="0.35">
      <c r="EW2596" s="48"/>
      <c r="FB2596" s="5"/>
      <c r="FI2596" s="5"/>
      <c r="FJ2596" s="164"/>
      <c r="FL2596" s="2"/>
      <c r="FN2596" s="2"/>
    </row>
    <row r="2597" spans="153:170" x14ac:dyDescent="0.35">
      <c r="EW2597" s="48"/>
      <c r="FB2597" s="5"/>
      <c r="FI2597" s="5"/>
      <c r="FJ2597" s="164"/>
      <c r="FL2597" s="2"/>
      <c r="FN2597" s="2"/>
    </row>
    <row r="2598" spans="153:170" x14ac:dyDescent="0.35">
      <c r="EW2598" s="48"/>
      <c r="FB2598" s="5"/>
      <c r="FI2598" s="5"/>
      <c r="FJ2598" s="164"/>
      <c r="FL2598" s="2"/>
      <c r="FN2598" s="2"/>
    </row>
    <row r="2599" spans="153:170" x14ac:dyDescent="0.35">
      <c r="EW2599" s="48"/>
      <c r="FB2599" s="5"/>
      <c r="FI2599" s="5"/>
      <c r="FJ2599" s="164"/>
      <c r="FL2599" s="2"/>
      <c r="FN2599" s="2"/>
    </row>
    <row r="2600" spans="153:170" x14ac:dyDescent="0.35">
      <c r="EW2600" s="48"/>
      <c r="FB2600" s="5"/>
      <c r="FI2600" s="5"/>
      <c r="FJ2600" s="164"/>
      <c r="FL2600" s="2"/>
      <c r="FN2600" s="2"/>
    </row>
    <row r="2601" spans="153:170" x14ac:dyDescent="0.35">
      <c r="EW2601" s="48"/>
      <c r="FB2601" s="5"/>
      <c r="FI2601" s="5"/>
      <c r="FJ2601" s="164"/>
      <c r="FL2601" s="2"/>
      <c r="FN2601" s="2"/>
    </row>
    <row r="2602" spans="153:170" x14ac:dyDescent="0.35">
      <c r="EW2602" s="48"/>
      <c r="FB2602" s="5"/>
      <c r="FI2602" s="5"/>
      <c r="FJ2602" s="164"/>
      <c r="FL2602" s="2"/>
      <c r="FN2602" s="2"/>
    </row>
    <row r="2603" spans="153:170" x14ac:dyDescent="0.35">
      <c r="EW2603" s="48"/>
      <c r="FB2603" s="5"/>
      <c r="FI2603" s="5"/>
      <c r="FJ2603" s="164"/>
      <c r="FL2603" s="2"/>
      <c r="FN2603" s="2"/>
    </row>
    <row r="2604" spans="153:170" x14ac:dyDescent="0.35">
      <c r="EW2604" s="48"/>
      <c r="FB2604" s="5"/>
      <c r="FI2604" s="5"/>
      <c r="FJ2604" s="164"/>
      <c r="FL2604" s="2"/>
      <c r="FN2604" s="2"/>
    </row>
    <row r="2605" spans="153:170" x14ac:dyDescent="0.35">
      <c r="EW2605" s="48"/>
      <c r="FB2605" s="5"/>
      <c r="FI2605" s="5"/>
      <c r="FJ2605" s="164"/>
      <c r="FL2605" s="2"/>
      <c r="FN2605" s="2"/>
    </row>
    <row r="2606" spans="153:170" x14ac:dyDescent="0.35">
      <c r="EW2606" s="48"/>
      <c r="FB2606" s="5"/>
      <c r="FI2606" s="5"/>
      <c r="FJ2606" s="164"/>
      <c r="FL2606" s="2"/>
      <c r="FN2606" s="2"/>
    </row>
    <row r="2607" spans="153:170" x14ac:dyDescent="0.35">
      <c r="EW2607" s="48"/>
      <c r="FB2607" s="5"/>
      <c r="FI2607" s="5"/>
      <c r="FJ2607" s="164"/>
      <c r="FL2607" s="2"/>
      <c r="FN2607" s="2"/>
    </row>
    <row r="2608" spans="153:170" x14ac:dyDescent="0.35">
      <c r="EW2608" s="48"/>
      <c r="FB2608" s="5"/>
      <c r="FI2608" s="5"/>
      <c r="FJ2608" s="164"/>
      <c r="FL2608" s="2"/>
      <c r="FN2608" s="2"/>
    </row>
    <row r="2609" spans="153:170" x14ac:dyDescent="0.35">
      <c r="EW2609" s="48"/>
      <c r="FB2609" s="5"/>
      <c r="FI2609" s="5"/>
      <c r="FJ2609" s="164"/>
      <c r="FL2609" s="2"/>
      <c r="FN2609" s="2"/>
    </row>
    <row r="2610" spans="153:170" x14ac:dyDescent="0.35">
      <c r="EW2610" s="48"/>
      <c r="FB2610" s="5"/>
      <c r="FI2610" s="5"/>
      <c r="FJ2610" s="164"/>
      <c r="FL2610" s="2"/>
      <c r="FN2610" s="2"/>
    </row>
    <row r="2611" spans="153:170" x14ac:dyDescent="0.35">
      <c r="EW2611" s="48"/>
      <c r="FB2611" s="5"/>
      <c r="FI2611" s="5"/>
      <c r="FJ2611" s="164"/>
      <c r="FL2611" s="2"/>
      <c r="FN2611" s="2"/>
    </row>
    <row r="2612" spans="153:170" x14ac:dyDescent="0.35">
      <c r="EW2612" s="48"/>
      <c r="FB2612" s="5"/>
      <c r="FI2612" s="5"/>
      <c r="FJ2612" s="164"/>
      <c r="FL2612" s="2"/>
      <c r="FN2612" s="2"/>
    </row>
    <row r="2613" spans="153:170" x14ac:dyDescent="0.35">
      <c r="EW2613" s="48"/>
      <c r="FB2613" s="5"/>
      <c r="FI2613" s="5"/>
      <c r="FJ2613" s="164"/>
      <c r="FL2613" s="2"/>
      <c r="FN2613" s="2"/>
    </row>
    <row r="2614" spans="153:170" x14ac:dyDescent="0.35">
      <c r="EW2614" s="48"/>
      <c r="FB2614" s="5"/>
      <c r="FI2614" s="5"/>
      <c r="FJ2614" s="164"/>
      <c r="FL2614" s="2"/>
      <c r="FN2614" s="2"/>
    </row>
    <row r="2615" spans="153:170" x14ac:dyDescent="0.35">
      <c r="EW2615" s="48"/>
      <c r="FB2615" s="5"/>
      <c r="FI2615" s="5"/>
      <c r="FJ2615" s="164"/>
      <c r="FL2615" s="2"/>
      <c r="FN2615" s="2"/>
    </row>
    <row r="2616" spans="153:170" x14ac:dyDescent="0.35">
      <c r="EW2616" s="48"/>
      <c r="FB2616" s="5"/>
      <c r="FI2616" s="5"/>
      <c r="FJ2616" s="164"/>
      <c r="FL2616" s="2"/>
      <c r="FN2616" s="2"/>
    </row>
    <row r="2617" spans="153:170" x14ac:dyDescent="0.35">
      <c r="EW2617" s="48"/>
      <c r="FB2617" s="5"/>
      <c r="FI2617" s="5"/>
      <c r="FJ2617" s="164"/>
      <c r="FL2617" s="2"/>
      <c r="FN2617" s="2"/>
    </row>
    <row r="2618" spans="153:170" x14ac:dyDescent="0.35">
      <c r="EW2618" s="48"/>
      <c r="FB2618" s="5"/>
      <c r="FI2618" s="5"/>
      <c r="FJ2618" s="164"/>
      <c r="FL2618" s="2"/>
      <c r="FN2618" s="2"/>
    </row>
    <row r="2619" spans="153:170" x14ac:dyDescent="0.35">
      <c r="EW2619" s="48"/>
      <c r="FB2619" s="5"/>
      <c r="FI2619" s="5"/>
      <c r="FJ2619" s="164"/>
      <c r="FL2619" s="2"/>
      <c r="FN2619" s="2"/>
    </row>
    <row r="2620" spans="153:170" x14ac:dyDescent="0.35">
      <c r="EW2620" s="48"/>
      <c r="FB2620" s="5"/>
      <c r="FI2620" s="5"/>
      <c r="FJ2620" s="164"/>
      <c r="FL2620" s="2"/>
      <c r="FN2620" s="2"/>
    </row>
    <row r="2621" spans="153:170" x14ac:dyDescent="0.35">
      <c r="EW2621" s="48"/>
      <c r="FB2621" s="5"/>
      <c r="FI2621" s="5"/>
      <c r="FJ2621" s="164"/>
      <c r="FL2621" s="2"/>
      <c r="FN2621" s="2"/>
    </row>
    <row r="2622" spans="153:170" x14ac:dyDescent="0.35">
      <c r="EW2622" s="48"/>
      <c r="FB2622" s="5"/>
      <c r="FI2622" s="5"/>
      <c r="FJ2622" s="164"/>
      <c r="FL2622" s="2"/>
      <c r="FN2622" s="2"/>
    </row>
    <row r="2623" spans="153:170" x14ac:dyDescent="0.35">
      <c r="EW2623" s="48"/>
      <c r="FB2623" s="5"/>
      <c r="FI2623" s="5"/>
      <c r="FJ2623" s="164"/>
      <c r="FL2623" s="2"/>
      <c r="FN2623" s="2"/>
    </row>
    <row r="2624" spans="153:170" x14ac:dyDescent="0.35">
      <c r="EW2624" s="48"/>
      <c r="FB2624" s="5"/>
      <c r="FI2624" s="5"/>
      <c r="FJ2624" s="164"/>
      <c r="FL2624" s="2"/>
      <c r="FN2624" s="2"/>
    </row>
    <row r="2625" spans="153:170" x14ac:dyDescent="0.35">
      <c r="EW2625" s="48"/>
      <c r="FB2625" s="5"/>
      <c r="FI2625" s="5"/>
      <c r="FJ2625" s="164"/>
      <c r="FL2625" s="2"/>
      <c r="FN2625" s="2"/>
    </row>
    <row r="2626" spans="153:170" x14ac:dyDescent="0.35">
      <c r="EW2626" s="48"/>
      <c r="FB2626" s="5"/>
      <c r="FI2626" s="5"/>
      <c r="FJ2626" s="164"/>
      <c r="FL2626" s="2"/>
      <c r="FN2626" s="2"/>
    </row>
    <row r="2627" spans="153:170" x14ac:dyDescent="0.35">
      <c r="EW2627" s="48"/>
      <c r="FB2627" s="5"/>
      <c r="FI2627" s="5"/>
      <c r="FJ2627" s="164"/>
      <c r="FL2627" s="2"/>
      <c r="FN2627" s="2"/>
    </row>
    <row r="2628" spans="153:170" x14ac:dyDescent="0.35">
      <c r="EW2628" s="48"/>
      <c r="FB2628" s="5"/>
      <c r="FI2628" s="5"/>
      <c r="FJ2628" s="164"/>
      <c r="FL2628" s="2"/>
      <c r="FN2628" s="2"/>
    </row>
    <row r="2629" spans="153:170" x14ac:dyDescent="0.35">
      <c r="EW2629" s="48"/>
      <c r="FB2629" s="5"/>
      <c r="FI2629" s="5"/>
      <c r="FJ2629" s="164"/>
      <c r="FL2629" s="2"/>
      <c r="FN2629" s="2"/>
    </row>
    <row r="2630" spans="153:170" x14ac:dyDescent="0.35">
      <c r="EW2630" s="48"/>
      <c r="FB2630" s="5"/>
      <c r="FI2630" s="5"/>
      <c r="FJ2630" s="164"/>
      <c r="FL2630" s="2"/>
      <c r="FN2630" s="2"/>
    </row>
    <row r="2631" spans="153:170" x14ac:dyDescent="0.35">
      <c r="EW2631" s="48"/>
      <c r="FB2631" s="5"/>
      <c r="FI2631" s="5"/>
      <c r="FJ2631" s="164"/>
      <c r="FL2631" s="2"/>
      <c r="FN2631" s="2"/>
    </row>
    <row r="2632" spans="153:170" x14ac:dyDescent="0.35">
      <c r="EW2632" s="48"/>
      <c r="FB2632" s="5"/>
      <c r="FI2632" s="5"/>
      <c r="FJ2632" s="164"/>
      <c r="FL2632" s="2"/>
      <c r="FN2632" s="2"/>
    </row>
    <row r="2633" spans="153:170" x14ac:dyDescent="0.35">
      <c r="EW2633" s="48"/>
      <c r="FB2633" s="5"/>
      <c r="FI2633" s="5"/>
      <c r="FJ2633" s="164"/>
      <c r="FL2633" s="2"/>
      <c r="FN2633" s="2"/>
    </row>
    <row r="2634" spans="153:170" x14ac:dyDescent="0.35">
      <c r="EW2634" s="48"/>
      <c r="FB2634" s="5"/>
      <c r="FI2634" s="5"/>
      <c r="FJ2634" s="164"/>
      <c r="FL2634" s="2"/>
      <c r="FN2634" s="2"/>
    </row>
    <row r="2635" spans="153:170" x14ac:dyDescent="0.35">
      <c r="EW2635" s="48"/>
      <c r="FB2635" s="5"/>
      <c r="FI2635" s="5"/>
      <c r="FJ2635" s="164"/>
      <c r="FL2635" s="2"/>
      <c r="FN2635" s="2"/>
    </row>
    <row r="2636" spans="153:170" x14ac:dyDescent="0.35">
      <c r="EW2636" s="48"/>
      <c r="FB2636" s="5"/>
      <c r="FI2636" s="5"/>
      <c r="FJ2636" s="164"/>
      <c r="FL2636" s="2"/>
      <c r="FN2636" s="2"/>
    </row>
    <row r="2637" spans="153:170" x14ac:dyDescent="0.35">
      <c r="EW2637" s="48"/>
      <c r="FB2637" s="5"/>
      <c r="FI2637" s="5"/>
      <c r="FJ2637" s="164"/>
      <c r="FL2637" s="2"/>
      <c r="FN2637" s="2"/>
    </row>
    <row r="2638" spans="153:170" x14ac:dyDescent="0.35">
      <c r="EW2638" s="48"/>
      <c r="FB2638" s="5"/>
      <c r="FI2638" s="5"/>
      <c r="FJ2638" s="164"/>
      <c r="FL2638" s="2"/>
      <c r="FN2638" s="2"/>
    </row>
    <row r="2639" spans="153:170" x14ac:dyDescent="0.35">
      <c r="EW2639" s="48"/>
      <c r="FB2639" s="5"/>
      <c r="FI2639" s="5"/>
      <c r="FJ2639" s="164"/>
      <c r="FL2639" s="2"/>
      <c r="FN2639" s="2"/>
    </row>
    <row r="2640" spans="153:170" x14ac:dyDescent="0.35">
      <c r="EW2640" s="48"/>
      <c r="FB2640" s="5"/>
      <c r="FI2640" s="5"/>
      <c r="FJ2640" s="164"/>
      <c r="FL2640" s="2"/>
      <c r="FN2640" s="2"/>
    </row>
    <row r="2641" spans="153:170" x14ac:dyDescent="0.35">
      <c r="EW2641" s="48"/>
      <c r="FB2641" s="5"/>
      <c r="FI2641" s="5"/>
      <c r="FJ2641" s="164"/>
      <c r="FL2641" s="2"/>
      <c r="FN2641" s="2"/>
    </row>
    <row r="2642" spans="153:170" x14ac:dyDescent="0.35">
      <c r="EW2642" s="48"/>
      <c r="FB2642" s="5"/>
      <c r="FI2642" s="5"/>
      <c r="FJ2642" s="164"/>
      <c r="FL2642" s="2"/>
      <c r="FN2642" s="2"/>
    </row>
    <row r="2643" spans="153:170" x14ac:dyDescent="0.35">
      <c r="EW2643" s="48"/>
      <c r="FB2643" s="5"/>
      <c r="FI2643" s="5"/>
      <c r="FJ2643" s="164"/>
      <c r="FL2643" s="2"/>
      <c r="FN2643" s="2"/>
    </row>
    <row r="2644" spans="153:170" x14ac:dyDescent="0.35">
      <c r="EW2644" s="48"/>
      <c r="FB2644" s="5"/>
      <c r="FI2644" s="5"/>
      <c r="FJ2644" s="164"/>
      <c r="FL2644" s="2"/>
      <c r="FN2644" s="2"/>
    </row>
    <row r="2645" spans="153:170" x14ac:dyDescent="0.35">
      <c r="EW2645" s="48"/>
      <c r="FB2645" s="5"/>
      <c r="FI2645" s="5"/>
      <c r="FJ2645" s="164"/>
      <c r="FL2645" s="2"/>
      <c r="FN2645" s="2"/>
    </row>
    <row r="2646" spans="153:170" x14ac:dyDescent="0.35">
      <c r="EW2646" s="48"/>
      <c r="FB2646" s="5"/>
      <c r="FI2646" s="5"/>
      <c r="FJ2646" s="164"/>
      <c r="FL2646" s="2"/>
      <c r="FN2646" s="2"/>
    </row>
    <row r="2647" spans="153:170" x14ac:dyDescent="0.35">
      <c r="EW2647" s="48"/>
      <c r="FB2647" s="5"/>
      <c r="FI2647" s="5"/>
      <c r="FJ2647" s="164"/>
      <c r="FL2647" s="2"/>
      <c r="FN2647" s="2"/>
    </row>
    <row r="2648" spans="153:170" x14ac:dyDescent="0.35">
      <c r="EW2648" s="48"/>
      <c r="FB2648" s="5"/>
      <c r="FI2648" s="5"/>
      <c r="FJ2648" s="164"/>
      <c r="FL2648" s="2"/>
      <c r="FN2648" s="2"/>
    </row>
    <row r="2649" spans="153:170" x14ac:dyDescent="0.35">
      <c r="EW2649" s="48"/>
      <c r="FB2649" s="5"/>
      <c r="FI2649" s="5"/>
      <c r="FJ2649" s="164"/>
      <c r="FL2649" s="2"/>
      <c r="FN2649" s="2"/>
    </row>
    <row r="2650" spans="153:170" x14ac:dyDescent="0.35">
      <c r="EW2650" s="48"/>
      <c r="FB2650" s="5"/>
      <c r="FI2650" s="5"/>
      <c r="FJ2650" s="164"/>
      <c r="FL2650" s="2"/>
      <c r="FN2650" s="2"/>
    </row>
    <row r="2651" spans="153:170" x14ac:dyDescent="0.35">
      <c r="EW2651" s="48"/>
      <c r="FB2651" s="5"/>
      <c r="FI2651" s="5"/>
      <c r="FJ2651" s="164"/>
      <c r="FL2651" s="2"/>
      <c r="FN2651" s="2"/>
    </row>
    <row r="2652" spans="153:170" x14ac:dyDescent="0.35">
      <c r="EW2652" s="48"/>
      <c r="FB2652" s="5"/>
      <c r="FI2652" s="5"/>
      <c r="FJ2652" s="164"/>
      <c r="FL2652" s="2"/>
      <c r="FN2652" s="2"/>
    </row>
    <row r="2653" spans="153:170" x14ac:dyDescent="0.35">
      <c r="EW2653" s="48"/>
      <c r="FB2653" s="5"/>
      <c r="FI2653" s="5"/>
      <c r="FJ2653" s="164"/>
      <c r="FL2653" s="2"/>
      <c r="FN2653" s="2"/>
    </row>
    <row r="2654" spans="153:170" x14ac:dyDescent="0.35">
      <c r="EW2654" s="48"/>
      <c r="FB2654" s="5"/>
      <c r="FI2654" s="5"/>
      <c r="FJ2654" s="164"/>
      <c r="FL2654" s="2"/>
      <c r="FN2654" s="2"/>
    </row>
    <row r="2655" spans="153:170" x14ac:dyDescent="0.35">
      <c r="EW2655" s="48"/>
      <c r="FB2655" s="5"/>
      <c r="FI2655" s="5"/>
      <c r="FJ2655" s="164"/>
      <c r="FL2655" s="2"/>
      <c r="FN2655" s="2"/>
    </row>
    <row r="2656" spans="153:170" x14ac:dyDescent="0.35">
      <c r="EW2656" s="48"/>
      <c r="FB2656" s="5"/>
      <c r="FI2656" s="5"/>
      <c r="FJ2656" s="164"/>
      <c r="FL2656" s="2"/>
      <c r="FN2656" s="2"/>
    </row>
    <row r="2657" spans="153:170" x14ac:dyDescent="0.35">
      <c r="EW2657" s="48"/>
      <c r="FB2657" s="5"/>
      <c r="FI2657" s="5"/>
      <c r="FJ2657" s="164"/>
      <c r="FL2657" s="2"/>
      <c r="FN2657" s="2"/>
    </row>
    <row r="2658" spans="153:170" x14ac:dyDescent="0.35">
      <c r="EW2658" s="48"/>
      <c r="FB2658" s="5"/>
      <c r="FI2658" s="5"/>
      <c r="FJ2658" s="164"/>
      <c r="FL2658" s="2"/>
      <c r="FN2658" s="2"/>
    </row>
    <row r="2659" spans="153:170" x14ac:dyDescent="0.35">
      <c r="EW2659" s="48"/>
      <c r="FB2659" s="5"/>
      <c r="FI2659" s="5"/>
      <c r="FJ2659" s="164"/>
      <c r="FL2659" s="2"/>
      <c r="FN2659" s="2"/>
    </row>
    <row r="2660" spans="153:170" x14ac:dyDescent="0.35">
      <c r="EW2660" s="48"/>
      <c r="FB2660" s="5"/>
      <c r="FI2660" s="5"/>
      <c r="FJ2660" s="164"/>
      <c r="FL2660" s="2"/>
      <c r="FN2660" s="2"/>
    </row>
    <row r="2661" spans="153:170" x14ac:dyDescent="0.35">
      <c r="EW2661" s="48"/>
      <c r="FB2661" s="5"/>
      <c r="FI2661" s="5"/>
      <c r="FJ2661" s="164"/>
      <c r="FL2661" s="2"/>
      <c r="FN2661" s="2"/>
    </row>
    <row r="2662" spans="153:170" x14ac:dyDescent="0.35">
      <c r="EW2662" s="48"/>
      <c r="FB2662" s="5"/>
      <c r="FI2662" s="5"/>
      <c r="FJ2662" s="164"/>
      <c r="FL2662" s="2"/>
      <c r="FN2662" s="2"/>
    </row>
    <row r="2663" spans="153:170" x14ac:dyDescent="0.35">
      <c r="EW2663" s="48"/>
      <c r="FB2663" s="5"/>
      <c r="FI2663" s="5"/>
      <c r="FJ2663" s="164"/>
      <c r="FL2663" s="2"/>
      <c r="FN2663" s="2"/>
    </row>
    <row r="2664" spans="153:170" x14ac:dyDescent="0.35">
      <c r="EW2664" s="48"/>
      <c r="FB2664" s="5"/>
      <c r="FI2664" s="5"/>
      <c r="FJ2664" s="164"/>
      <c r="FL2664" s="2"/>
      <c r="FN2664" s="2"/>
    </row>
    <row r="2665" spans="153:170" x14ac:dyDescent="0.35">
      <c r="EW2665" s="48"/>
      <c r="FB2665" s="5"/>
      <c r="FI2665" s="5"/>
      <c r="FJ2665" s="164"/>
      <c r="FL2665" s="2"/>
      <c r="FN2665" s="2"/>
    </row>
    <row r="2666" spans="153:170" x14ac:dyDescent="0.35">
      <c r="EW2666" s="48"/>
      <c r="FB2666" s="5"/>
      <c r="FI2666" s="5"/>
      <c r="FJ2666" s="164"/>
      <c r="FL2666" s="2"/>
      <c r="FN2666" s="2"/>
    </row>
    <row r="2667" spans="153:170" x14ac:dyDescent="0.35">
      <c r="EW2667" s="48"/>
      <c r="FB2667" s="5"/>
      <c r="FI2667" s="5"/>
      <c r="FJ2667" s="164"/>
      <c r="FL2667" s="2"/>
      <c r="FN2667" s="2"/>
    </row>
    <row r="2668" spans="153:170" x14ac:dyDescent="0.35">
      <c r="EW2668" s="48"/>
      <c r="FB2668" s="5"/>
      <c r="FI2668" s="5"/>
      <c r="FJ2668" s="164"/>
      <c r="FL2668" s="2"/>
      <c r="FN2668" s="2"/>
    </row>
    <row r="2669" spans="153:170" x14ac:dyDescent="0.35">
      <c r="EW2669" s="48"/>
      <c r="FB2669" s="5"/>
      <c r="FI2669" s="5"/>
      <c r="FJ2669" s="164"/>
      <c r="FL2669" s="2"/>
      <c r="FN2669" s="2"/>
    </row>
    <row r="2670" spans="153:170" x14ac:dyDescent="0.35">
      <c r="EW2670" s="48"/>
      <c r="FB2670" s="5"/>
      <c r="FI2670" s="5"/>
      <c r="FJ2670" s="164"/>
      <c r="FL2670" s="2"/>
      <c r="FN2670" s="2"/>
    </row>
    <row r="2671" spans="153:170" x14ac:dyDescent="0.35">
      <c r="EW2671" s="48"/>
      <c r="FB2671" s="5"/>
      <c r="FI2671" s="5"/>
      <c r="FJ2671" s="164"/>
      <c r="FL2671" s="2"/>
      <c r="FN2671" s="2"/>
    </row>
    <row r="2672" spans="153:170" x14ac:dyDescent="0.35">
      <c r="EW2672" s="48"/>
      <c r="FB2672" s="5"/>
      <c r="FI2672" s="5"/>
      <c r="FJ2672" s="164"/>
      <c r="FL2672" s="2"/>
      <c r="FN2672" s="2"/>
    </row>
    <row r="2673" spans="153:170" x14ac:dyDescent="0.35">
      <c r="EW2673" s="48"/>
      <c r="FB2673" s="5"/>
      <c r="FI2673" s="5"/>
      <c r="FJ2673" s="164"/>
      <c r="FL2673" s="2"/>
      <c r="FN2673" s="2"/>
    </row>
    <row r="2674" spans="153:170" x14ac:dyDescent="0.35">
      <c r="EW2674" s="48"/>
      <c r="FB2674" s="5"/>
      <c r="FI2674" s="5"/>
      <c r="FJ2674" s="164"/>
      <c r="FL2674" s="2"/>
      <c r="FN2674" s="2"/>
    </row>
    <row r="2675" spans="153:170" x14ac:dyDescent="0.35">
      <c r="EW2675" s="48"/>
      <c r="FB2675" s="5"/>
      <c r="FI2675" s="5"/>
      <c r="FJ2675" s="164"/>
      <c r="FL2675" s="2"/>
      <c r="FN2675" s="2"/>
    </row>
    <row r="2676" spans="153:170" x14ac:dyDescent="0.35">
      <c r="EW2676" s="48"/>
      <c r="FB2676" s="5"/>
      <c r="FI2676" s="5"/>
      <c r="FJ2676" s="164"/>
      <c r="FL2676" s="2"/>
      <c r="FN2676" s="2"/>
    </row>
    <row r="2677" spans="153:170" x14ac:dyDescent="0.35">
      <c r="EW2677" s="48"/>
      <c r="FB2677" s="5"/>
      <c r="FI2677" s="5"/>
      <c r="FJ2677" s="164"/>
      <c r="FL2677" s="2"/>
      <c r="FN2677" s="2"/>
    </row>
    <row r="2678" spans="153:170" x14ac:dyDescent="0.35">
      <c r="EW2678" s="48"/>
      <c r="FB2678" s="5"/>
      <c r="FI2678" s="5"/>
      <c r="FJ2678" s="164"/>
      <c r="FL2678" s="2"/>
      <c r="FN2678" s="2"/>
    </row>
    <row r="2679" spans="153:170" x14ac:dyDescent="0.35">
      <c r="EW2679" s="48"/>
      <c r="FB2679" s="5"/>
      <c r="FI2679" s="5"/>
      <c r="FJ2679" s="164"/>
      <c r="FL2679" s="2"/>
      <c r="FN2679" s="2"/>
    </row>
    <row r="2680" spans="153:170" x14ac:dyDescent="0.35">
      <c r="EW2680" s="48"/>
      <c r="FB2680" s="5"/>
      <c r="FI2680" s="5"/>
      <c r="FJ2680" s="164"/>
      <c r="FL2680" s="2"/>
      <c r="FN2680" s="2"/>
    </row>
    <row r="2681" spans="153:170" x14ac:dyDescent="0.35">
      <c r="EW2681" s="48"/>
      <c r="FB2681" s="5"/>
      <c r="FI2681" s="5"/>
      <c r="FJ2681" s="164"/>
      <c r="FL2681" s="2"/>
      <c r="FN2681" s="2"/>
    </row>
    <row r="2682" spans="153:170" x14ac:dyDescent="0.35">
      <c r="EW2682" s="48"/>
      <c r="FB2682" s="5"/>
      <c r="FI2682" s="5"/>
      <c r="FJ2682" s="164"/>
      <c r="FL2682" s="2"/>
      <c r="FN2682" s="2"/>
    </row>
    <row r="2683" spans="153:170" x14ac:dyDescent="0.35">
      <c r="EW2683" s="48"/>
      <c r="FB2683" s="5"/>
      <c r="FI2683" s="5"/>
      <c r="FJ2683" s="164"/>
      <c r="FL2683" s="2"/>
      <c r="FN2683" s="2"/>
    </row>
    <row r="2684" spans="153:170" x14ac:dyDescent="0.35">
      <c r="EW2684" s="48"/>
      <c r="FB2684" s="5"/>
      <c r="FI2684" s="5"/>
      <c r="FJ2684" s="164"/>
      <c r="FL2684" s="2"/>
      <c r="FN2684" s="2"/>
    </row>
    <row r="2685" spans="153:170" x14ac:dyDescent="0.35">
      <c r="EW2685" s="48"/>
      <c r="FB2685" s="5"/>
      <c r="FI2685" s="5"/>
      <c r="FJ2685" s="164"/>
      <c r="FL2685" s="2"/>
      <c r="FN2685" s="2"/>
    </row>
    <row r="2686" spans="153:170" x14ac:dyDescent="0.35">
      <c r="EW2686" s="48"/>
      <c r="FB2686" s="5"/>
      <c r="FI2686" s="5"/>
      <c r="FJ2686" s="164"/>
      <c r="FL2686" s="2"/>
      <c r="FN2686" s="2"/>
    </row>
    <row r="2687" spans="153:170" x14ac:dyDescent="0.35">
      <c r="EW2687" s="48"/>
      <c r="FB2687" s="5"/>
      <c r="FI2687" s="5"/>
      <c r="FJ2687" s="164"/>
      <c r="FL2687" s="2"/>
      <c r="FN2687" s="2"/>
    </row>
    <row r="2688" spans="153:170" x14ac:dyDescent="0.35">
      <c r="EW2688" s="48"/>
      <c r="FB2688" s="5"/>
      <c r="FI2688" s="5"/>
      <c r="FJ2688" s="164"/>
      <c r="FL2688" s="2"/>
      <c r="FN2688" s="2"/>
    </row>
    <row r="2689" spans="153:170" x14ac:dyDescent="0.35">
      <c r="EW2689" s="48"/>
      <c r="FB2689" s="5"/>
      <c r="FI2689" s="5"/>
      <c r="FJ2689" s="164"/>
      <c r="FL2689" s="2"/>
      <c r="FN2689" s="2"/>
    </row>
    <row r="2690" spans="153:170" x14ac:dyDescent="0.35">
      <c r="EW2690" s="48"/>
      <c r="FB2690" s="5"/>
      <c r="FI2690" s="5"/>
      <c r="FJ2690" s="164"/>
      <c r="FL2690" s="2"/>
      <c r="FN2690" s="2"/>
    </row>
    <row r="2691" spans="153:170" x14ac:dyDescent="0.35">
      <c r="EW2691" s="48"/>
      <c r="FB2691" s="5"/>
      <c r="FI2691" s="5"/>
      <c r="FJ2691" s="164"/>
      <c r="FL2691" s="2"/>
      <c r="FN2691" s="2"/>
    </row>
    <row r="2692" spans="153:170" x14ac:dyDescent="0.35">
      <c r="EW2692" s="48"/>
      <c r="FB2692" s="5"/>
      <c r="FI2692" s="5"/>
      <c r="FJ2692" s="164"/>
      <c r="FL2692" s="2"/>
      <c r="FN2692" s="2"/>
    </row>
    <row r="2693" spans="153:170" x14ac:dyDescent="0.35">
      <c r="EW2693" s="48"/>
      <c r="FB2693" s="5"/>
      <c r="FI2693" s="5"/>
      <c r="FJ2693" s="164"/>
      <c r="FL2693" s="2"/>
      <c r="FN2693" s="2"/>
    </row>
    <row r="2694" spans="153:170" x14ac:dyDescent="0.35">
      <c r="EW2694" s="48"/>
      <c r="FB2694" s="5"/>
      <c r="FI2694" s="5"/>
      <c r="FJ2694" s="164"/>
      <c r="FL2694" s="2"/>
      <c r="FN2694" s="2"/>
    </row>
    <row r="2695" spans="153:170" x14ac:dyDescent="0.35">
      <c r="EW2695" s="48"/>
      <c r="FB2695" s="5"/>
      <c r="FI2695" s="5"/>
      <c r="FJ2695" s="164"/>
      <c r="FL2695" s="2"/>
      <c r="FN2695" s="2"/>
    </row>
    <row r="2696" spans="153:170" x14ac:dyDescent="0.35">
      <c r="EW2696" s="48"/>
      <c r="FB2696" s="5"/>
      <c r="FI2696" s="5"/>
      <c r="FJ2696" s="164"/>
      <c r="FL2696" s="2"/>
      <c r="FN2696" s="2"/>
    </row>
    <row r="2697" spans="153:170" x14ac:dyDescent="0.35">
      <c r="EW2697" s="48"/>
      <c r="FB2697" s="5"/>
      <c r="FI2697" s="5"/>
      <c r="FJ2697" s="164"/>
      <c r="FL2697" s="2"/>
      <c r="FN2697" s="2"/>
    </row>
    <row r="2698" spans="153:170" x14ac:dyDescent="0.35">
      <c r="EW2698" s="48"/>
      <c r="FB2698" s="5"/>
      <c r="FI2698" s="5"/>
      <c r="FJ2698" s="164"/>
      <c r="FL2698" s="2"/>
      <c r="FN2698" s="2"/>
    </row>
    <row r="2699" spans="153:170" x14ac:dyDescent="0.35">
      <c r="EW2699" s="48"/>
      <c r="FB2699" s="5"/>
      <c r="FI2699" s="5"/>
      <c r="FJ2699" s="164"/>
      <c r="FL2699" s="2"/>
      <c r="FN2699" s="2"/>
    </row>
    <row r="2700" spans="153:170" x14ac:dyDescent="0.35">
      <c r="EW2700" s="48"/>
      <c r="FB2700" s="5"/>
      <c r="FI2700" s="5"/>
      <c r="FJ2700" s="164"/>
      <c r="FL2700" s="2"/>
      <c r="FN2700" s="2"/>
    </row>
    <row r="2701" spans="153:170" x14ac:dyDescent="0.35">
      <c r="EW2701" s="48"/>
      <c r="FB2701" s="5"/>
      <c r="FI2701" s="5"/>
      <c r="FJ2701" s="164"/>
      <c r="FL2701" s="2"/>
      <c r="FN2701" s="2"/>
    </row>
    <row r="2702" spans="153:170" x14ac:dyDescent="0.35">
      <c r="EW2702" s="48"/>
      <c r="FB2702" s="5"/>
      <c r="FI2702" s="5"/>
      <c r="FJ2702" s="164"/>
      <c r="FL2702" s="2"/>
      <c r="FN2702" s="2"/>
    </row>
    <row r="2703" spans="153:170" x14ac:dyDescent="0.35">
      <c r="EW2703" s="48"/>
      <c r="FB2703" s="5"/>
      <c r="FI2703" s="5"/>
      <c r="FJ2703" s="164"/>
      <c r="FL2703" s="2"/>
      <c r="FN2703" s="2"/>
    </row>
    <row r="2704" spans="153:170" x14ac:dyDescent="0.35">
      <c r="EW2704" s="48"/>
      <c r="FB2704" s="5"/>
      <c r="FI2704" s="5"/>
      <c r="FJ2704" s="164"/>
      <c r="FL2704" s="2"/>
      <c r="FN2704" s="2"/>
    </row>
    <row r="2705" spans="153:170" x14ac:dyDescent="0.35">
      <c r="EW2705" s="48"/>
      <c r="FB2705" s="5"/>
      <c r="FI2705" s="5"/>
      <c r="FJ2705" s="164"/>
      <c r="FL2705" s="2"/>
      <c r="FN2705" s="2"/>
    </row>
    <row r="2706" spans="153:170" x14ac:dyDescent="0.35">
      <c r="EW2706" s="48"/>
      <c r="FB2706" s="5"/>
      <c r="FI2706" s="5"/>
      <c r="FJ2706" s="164"/>
      <c r="FL2706" s="2"/>
      <c r="FN2706" s="2"/>
    </row>
    <row r="2707" spans="153:170" x14ac:dyDescent="0.35">
      <c r="EW2707" s="48"/>
      <c r="FB2707" s="5"/>
      <c r="FI2707" s="5"/>
      <c r="FJ2707" s="164"/>
      <c r="FL2707" s="2"/>
      <c r="FN2707" s="2"/>
    </row>
    <row r="2708" spans="153:170" x14ac:dyDescent="0.35">
      <c r="EW2708" s="48"/>
      <c r="FB2708" s="5"/>
      <c r="FI2708" s="5"/>
      <c r="FJ2708" s="164"/>
      <c r="FL2708" s="2"/>
      <c r="FN2708" s="2"/>
    </row>
    <row r="2709" spans="153:170" x14ac:dyDescent="0.35">
      <c r="EW2709" s="48"/>
      <c r="FB2709" s="5"/>
      <c r="FI2709" s="5"/>
      <c r="FJ2709" s="164"/>
      <c r="FL2709" s="2"/>
      <c r="FN2709" s="2"/>
    </row>
    <row r="2710" spans="153:170" x14ac:dyDescent="0.35">
      <c r="EW2710" s="48"/>
      <c r="FB2710" s="5"/>
      <c r="FI2710" s="5"/>
      <c r="FJ2710" s="164"/>
      <c r="FL2710" s="2"/>
      <c r="FN2710" s="2"/>
    </row>
    <row r="2711" spans="153:170" x14ac:dyDescent="0.35">
      <c r="EW2711" s="48"/>
      <c r="FB2711" s="5"/>
      <c r="FI2711" s="5"/>
      <c r="FJ2711" s="164"/>
      <c r="FL2711" s="2"/>
      <c r="FN2711" s="2"/>
    </row>
    <row r="2712" spans="153:170" x14ac:dyDescent="0.35">
      <c r="EW2712" s="48"/>
      <c r="FB2712" s="5"/>
      <c r="FI2712" s="5"/>
      <c r="FJ2712" s="164"/>
      <c r="FL2712" s="2"/>
      <c r="FN2712" s="2"/>
    </row>
    <row r="2713" spans="153:170" x14ac:dyDescent="0.35">
      <c r="EW2713" s="48"/>
      <c r="FB2713" s="5"/>
      <c r="FI2713" s="5"/>
      <c r="FJ2713" s="164"/>
      <c r="FL2713" s="2"/>
      <c r="FN2713" s="2"/>
    </row>
    <row r="2714" spans="153:170" x14ac:dyDescent="0.35">
      <c r="EW2714" s="48"/>
      <c r="FB2714" s="5"/>
      <c r="FI2714" s="5"/>
      <c r="FJ2714" s="164"/>
      <c r="FL2714" s="2"/>
      <c r="FN2714" s="2"/>
    </row>
    <row r="2715" spans="153:170" x14ac:dyDescent="0.35">
      <c r="EW2715" s="48"/>
      <c r="FB2715" s="5"/>
      <c r="FI2715" s="5"/>
      <c r="FJ2715" s="164"/>
      <c r="FL2715" s="2"/>
      <c r="FN2715" s="2"/>
    </row>
    <row r="2716" spans="153:170" x14ac:dyDescent="0.35">
      <c r="EW2716" s="48"/>
      <c r="FB2716" s="5"/>
      <c r="FI2716" s="5"/>
      <c r="FJ2716" s="164"/>
      <c r="FL2716" s="2"/>
      <c r="FN2716" s="2"/>
    </row>
    <row r="2717" spans="153:170" x14ac:dyDescent="0.35">
      <c r="EW2717" s="48"/>
      <c r="FB2717" s="5"/>
      <c r="FI2717" s="5"/>
      <c r="FJ2717" s="164"/>
      <c r="FL2717" s="2"/>
      <c r="FN2717" s="2"/>
    </row>
    <row r="2718" spans="153:170" x14ac:dyDescent="0.35">
      <c r="EW2718" s="48"/>
      <c r="FB2718" s="5"/>
      <c r="FI2718" s="5"/>
      <c r="FJ2718" s="164"/>
      <c r="FL2718" s="2"/>
      <c r="FN2718" s="2"/>
    </row>
    <row r="2719" spans="153:170" x14ac:dyDescent="0.35">
      <c r="EW2719" s="48"/>
      <c r="FB2719" s="5"/>
      <c r="FI2719" s="5"/>
      <c r="FJ2719" s="164"/>
      <c r="FL2719" s="2"/>
      <c r="FN2719" s="2"/>
    </row>
    <row r="2720" spans="153:170" x14ac:dyDescent="0.35">
      <c r="EW2720" s="48"/>
      <c r="FB2720" s="5"/>
      <c r="FI2720" s="5"/>
      <c r="FJ2720" s="164"/>
      <c r="FL2720" s="2"/>
      <c r="FN2720" s="2"/>
    </row>
    <row r="2721" spans="153:170" x14ac:dyDescent="0.35">
      <c r="EW2721" s="48"/>
      <c r="FB2721" s="5"/>
      <c r="FI2721" s="5"/>
      <c r="FJ2721" s="164"/>
      <c r="FL2721" s="2"/>
      <c r="FN2721" s="2"/>
    </row>
    <row r="2722" spans="153:170" x14ac:dyDescent="0.35">
      <c r="EW2722" s="48"/>
      <c r="FB2722" s="5"/>
      <c r="FI2722" s="5"/>
      <c r="FJ2722" s="164"/>
      <c r="FL2722" s="2"/>
      <c r="FN2722" s="2"/>
    </row>
    <row r="2723" spans="153:170" x14ac:dyDescent="0.35">
      <c r="EW2723" s="48"/>
      <c r="FB2723" s="5"/>
      <c r="FI2723" s="5"/>
      <c r="FJ2723" s="164"/>
      <c r="FL2723" s="2"/>
      <c r="FN2723" s="2"/>
    </row>
    <row r="2724" spans="153:170" x14ac:dyDescent="0.35">
      <c r="EW2724" s="48"/>
      <c r="FB2724" s="5"/>
      <c r="FI2724" s="5"/>
      <c r="FJ2724" s="164"/>
      <c r="FL2724" s="2"/>
      <c r="FN2724" s="2"/>
    </row>
    <row r="2725" spans="153:170" x14ac:dyDescent="0.35">
      <c r="EW2725" s="48"/>
      <c r="FB2725" s="5"/>
      <c r="FI2725" s="5"/>
      <c r="FJ2725" s="164"/>
      <c r="FL2725" s="2"/>
      <c r="FN2725" s="2"/>
    </row>
    <row r="2726" spans="153:170" x14ac:dyDescent="0.35">
      <c r="EW2726" s="48"/>
      <c r="FB2726" s="5"/>
      <c r="FI2726" s="5"/>
      <c r="FJ2726" s="164"/>
      <c r="FL2726" s="2"/>
      <c r="FN2726" s="2"/>
    </row>
    <row r="2727" spans="153:170" x14ac:dyDescent="0.35">
      <c r="EW2727" s="48"/>
      <c r="FB2727" s="5"/>
      <c r="FI2727" s="5"/>
      <c r="FJ2727" s="164"/>
      <c r="FL2727" s="2"/>
      <c r="FN2727" s="2"/>
    </row>
    <row r="2728" spans="153:170" x14ac:dyDescent="0.35">
      <c r="EW2728" s="48"/>
      <c r="FB2728" s="5"/>
      <c r="FI2728" s="5"/>
      <c r="FJ2728" s="164"/>
      <c r="FL2728" s="2"/>
      <c r="FN2728" s="2"/>
    </row>
    <row r="2729" spans="153:170" x14ac:dyDescent="0.35">
      <c r="EW2729" s="48"/>
      <c r="FB2729" s="5"/>
      <c r="FI2729" s="5"/>
      <c r="FJ2729" s="164"/>
      <c r="FL2729" s="2"/>
      <c r="FN2729" s="2"/>
    </row>
    <row r="2730" spans="153:170" x14ac:dyDescent="0.35">
      <c r="EW2730" s="48"/>
      <c r="FB2730" s="5"/>
      <c r="FI2730" s="5"/>
      <c r="FJ2730" s="164"/>
      <c r="FL2730" s="2"/>
      <c r="FN2730" s="2"/>
    </row>
    <row r="2731" spans="153:170" x14ac:dyDescent="0.35">
      <c r="EW2731" s="48"/>
      <c r="FB2731" s="5"/>
      <c r="FI2731" s="5"/>
      <c r="FJ2731" s="164"/>
      <c r="FL2731" s="2"/>
      <c r="FN2731" s="2"/>
    </row>
    <row r="2732" spans="153:170" x14ac:dyDescent="0.35">
      <c r="EW2732" s="48"/>
      <c r="FB2732" s="5"/>
      <c r="FI2732" s="5"/>
      <c r="FJ2732" s="164"/>
      <c r="FL2732" s="2"/>
      <c r="FN2732" s="2"/>
    </row>
    <row r="2733" spans="153:170" x14ac:dyDescent="0.35">
      <c r="EW2733" s="48"/>
      <c r="FB2733" s="5"/>
      <c r="FI2733" s="5"/>
      <c r="FJ2733" s="164"/>
      <c r="FL2733" s="2"/>
      <c r="FN2733" s="2"/>
    </row>
    <row r="2734" spans="153:170" x14ac:dyDescent="0.35">
      <c r="EW2734" s="48"/>
      <c r="FB2734" s="5"/>
      <c r="FI2734" s="5"/>
      <c r="FJ2734" s="164"/>
      <c r="FL2734" s="2"/>
      <c r="FN2734" s="2"/>
    </row>
    <row r="2735" spans="153:170" x14ac:dyDescent="0.35">
      <c r="EW2735" s="48"/>
      <c r="FB2735" s="5"/>
      <c r="FI2735" s="5"/>
      <c r="FJ2735" s="164"/>
      <c r="FL2735" s="2"/>
      <c r="FN2735" s="2"/>
    </row>
    <row r="2736" spans="153:170" x14ac:dyDescent="0.35">
      <c r="EW2736" s="48"/>
      <c r="FB2736" s="5"/>
      <c r="FI2736" s="5"/>
      <c r="FJ2736" s="164"/>
      <c r="FL2736" s="2"/>
      <c r="FN2736" s="2"/>
    </row>
    <row r="2737" spans="153:170" x14ac:dyDescent="0.35">
      <c r="EW2737" s="48"/>
      <c r="FB2737" s="5"/>
      <c r="FI2737" s="5"/>
      <c r="FJ2737" s="164"/>
      <c r="FL2737" s="2"/>
      <c r="FN2737" s="2"/>
    </row>
    <row r="2738" spans="153:170" x14ac:dyDescent="0.35">
      <c r="EW2738" s="48"/>
      <c r="FB2738" s="5"/>
      <c r="FI2738" s="5"/>
      <c r="FJ2738" s="164"/>
      <c r="FL2738" s="2"/>
      <c r="FN2738" s="2"/>
    </row>
    <row r="2739" spans="153:170" x14ac:dyDescent="0.35">
      <c r="EW2739" s="48"/>
      <c r="FB2739" s="5"/>
      <c r="FI2739" s="5"/>
      <c r="FJ2739" s="164"/>
      <c r="FL2739" s="2"/>
      <c r="FN2739" s="2"/>
    </row>
    <row r="2740" spans="153:170" x14ac:dyDescent="0.35">
      <c r="EW2740" s="48"/>
      <c r="FB2740" s="5"/>
      <c r="FI2740" s="5"/>
      <c r="FJ2740" s="164"/>
      <c r="FL2740" s="2"/>
      <c r="FN2740" s="2"/>
    </row>
    <row r="2741" spans="153:170" x14ac:dyDescent="0.35">
      <c r="EW2741" s="48"/>
      <c r="FB2741" s="5"/>
      <c r="FI2741" s="5"/>
      <c r="FJ2741" s="164"/>
      <c r="FL2741" s="2"/>
      <c r="FN2741" s="2"/>
    </row>
    <row r="2742" spans="153:170" x14ac:dyDescent="0.35">
      <c r="EW2742" s="48"/>
      <c r="FB2742" s="5"/>
      <c r="FI2742" s="5"/>
      <c r="FJ2742" s="164"/>
      <c r="FL2742" s="2"/>
      <c r="FN2742" s="2"/>
    </row>
    <row r="2743" spans="153:170" x14ac:dyDescent="0.35">
      <c r="EW2743" s="48"/>
      <c r="FB2743" s="5"/>
      <c r="FI2743" s="5"/>
      <c r="FJ2743" s="164"/>
      <c r="FL2743" s="2"/>
      <c r="FN2743" s="2"/>
    </row>
    <row r="2744" spans="153:170" x14ac:dyDescent="0.35">
      <c r="EW2744" s="48"/>
      <c r="FB2744" s="5"/>
      <c r="FI2744" s="5"/>
      <c r="FJ2744" s="164"/>
      <c r="FL2744" s="2"/>
      <c r="FN2744" s="2"/>
    </row>
    <row r="2745" spans="153:170" x14ac:dyDescent="0.35">
      <c r="EW2745" s="48"/>
      <c r="FB2745" s="5"/>
      <c r="FI2745" s="5"/>
      <c r="FJ2745" s="164"/>
      <c r="FL2745" s="2"/>
      <c r="FN2745" s="2"/>
    </row>
    <row r="2746" spans="153:170" x14ac:dyDescent="0.35">
      <c r="EW2746" s="48"/>
      <c r="FB2746" s="5"/>
      <c r="FI2746" s="5"/>
      <c r="FJ2746" s="164"/>
      <c r="FL2746" s="2"/>
      <c r="FN2746" s="2"/>
    </row>
    <row r="2747" spans="153:170" x14ac:dyDescent="0.35">
      <c r="EW2747" s="48"/>
      <c r="FB2747" s="5"/>
      <c r="FI2747" s="5"/>
      <c r="FJ2747" s="164"/>
      <c r="FL2747" s="2"/>
      <c r="FN2747" s="2"/>
    </row>
    <row r="2748" spans="153:170" x14ac:dyDescent="0.35">
      <c r="EW2748" s="48"/>
      <c r="FB2748" s="5"/>
      <c r="FI2748" s="5"/>
      <c r="FJ2748" s="164"/>
      <c r="FL2748" s="2"/>
      <c r="FN2748" s="2"/>
    </row>
    <row r="2749" spans="153:170" x14ac:dyDescent="0.35">
      <c r="EW2749" s="48"/>
      <c r="FB2749" s="5"/>
      <c r="FI2749" s="5"/>
      <c r="FJ2749" s="164"/>
      <c r="FL2749" s="2"/>
      <c r="FN2749" s="2"/>
    </row>
    <row r="2750" spans="153:170" x14ac:dyDescent="0.35">
      <c r="EW2750" s="48"/>
      <c r="FB2750" s="5"/>
      <c r="FI2750" s="5"/>
      <c r="FJ2750" s="164"/>
      <c r="FL2750" s="2"/>
      <c r="FN2750" s="2"/>
    </row>
    <row r="2751" spans="153:170" x14ac:dyDescent="0.35">
      <c r="EW2751" s="48"/>
      <c r="FB2751" s="5"/>
      <c r="FI2751" s="5"/>
      <c r="FJ2751" s="164"/>
      <c r="FL2751" s="2"/>
      <c r="FN2751" s="2"/>
    </row>
    <row r="2752" spans="153:170" x14ac:dyDescent="0.35">
      <c r="EW2752" s="48"/>
      <c r="FB2752" s="5"/>
      <c r="FI2752" s="5"/>
      <c r="FJ2752" s="164"/>
      <c r="FL2752" s="2"/>
      <c r="FN2752" s="2"/>
    </row>
    <row r="2753" spans="153:170" x14ac:dyDescent="0.35">
      <c r="EW2753" s="48"/>
      <c r="FB2753" s="5"/>
      <c r="FI2753" s="5"/>
      <c r="FJ2753" s="164"/>
      <c r="FL2753" s="2"/>
      <c r="FN2753" s="2"/>
    </row>
    <row r="2754" spans="153:170" x14ac:dyDescent="0.35">
      <c r="EW2754" s="48"/>
      <c r="FB2754" s="5"/>
      <c r="FI2754" s="5"/>
      <c r="FJ2754" s="164"/>
      <c r="FL2754" s="2"/>
      <c r="FN2754" s="2"/>
    </row>
    <row r="2755" spans="153:170" x14ac:dyDescent="0.35">
      <c r="EW2755" s="48"/>
      <c r="FB2755" s="5"/>
      <c r="FI2755" s="5"/>
      <c r="FJ2755" s="164"/>
      <c r="FL2755" s="2"/>
      <c r="FN2755" s="2"/>
    </row>
    <row r="2756" spans="153:170" x14ac:dyDescent="0.35">
      <c r="EW2756" s="48"/>
      <c r="FB2756" s="5"/>
      <c r="FI2756" s="5"/>
      <c r="FJ2756" s="164"/>
      <c r="FL2756" s="2"/>
      <c r="FN2756" s="2"/>
    </row>
    <row r="2757" spans="153:170" x14ac:dyDescent="0.35">
      <c r="EW2757" s="48"/>
      <c r="FB2757" s="5"/>
      <c r="FI2757" s="5"/>
      <c r="FJ2757" s="164"/>
      <c r="FL2757" s="2"/>
      <c r="FN2757" s="2"/>
    </row>
    <row r="2758" spans="153:170" x14ac:dyDescent="0.35">
      <c r="EW2758" s="48"/>
      <c r="FB2758" s="5"/>
      <c r="FI2758" s="5"/>
      <c r="FJ2758" s="164"/>
      <c r="FL2758" s="2"/>
      <c r="FN2758" s="2"/>
    </row>
    <row r="2759" spans="153:170" x14ac:dyDescent="0.35">
      <c r="EW2759" s="48"/>
      <c r="FB2759" s="5"/>
      <c r="FI2759" s="5"/>
      <c r="FJ2759" s="164"/>
      <c r="FL2759" s="2"/>
      <c r="FN2759" s="2"/>
    </row>
    <row r="2760" spans="153:170" x14ac:dyDescent="0.35">
      <c r="EW2760" s="48"/>
      <c r="FB2760" s="5"/>
      <c r="FI2760" s="5"/>
      <c r="FJ2760" s="164"/>
      <c r="FL2760" s="2"/>
      <c r="FN2760" s="2"/>
    </row>
    <row r="2761" spans="153:170" x14ac:dyDescent="0.35">
      <c r="EW2761" s="48"/>
      <c r="FB2761" s="5"/>
      <c r="FI2761" s="5"/>
      <c r="FJ2761" s="164"/>
      <c r="FL2761" s="2"/>
      <c r="FN2761" s="2"/>
    </row>
    <row r="2762" spans="153:170" x14ac:dyDescent="0.35">
      <c r="EW2762" s="48"/>
      <c r="FB2762" s="5"/>
      <c r="FI2762" s="5"/>
      <c r="FJ2762" s="164"/>
      <c r="FL2762" s="2"/>
      <c r="FN2762" s="2"/>
    </row>
    <row r="2763" spans="153:170" x14ac:dyDescent="0.35">
      <c r="EW2763" s="48"/>
      <c r="FB2763" s="5"/>
      <c r="FI2763" s="5"/>
      <c r="FJ2763" s="164"/>
      <c r="FL2763" s="2"/>
      <c r="FN2763" s="2"/>
    </row>
    <row r="2764" spans="153:170" x14ac:dyDescent="0.35">
      <c r="EW2764" s="48"/>
      <c r="FB2764" s="5"/>
      <c r="FI2764" s="5"/>
      <c r="FJ2764" s="164"/>
      <c r="FL2764" s="2"/>
      <c r="FN2764" s="2"/>
    </row>
    <row r="2765" spans="153:170" x14ac:dyDescent="0.35">
      <c r="EW2765" s="48"/>
      <c r="FB2765" s="5"/>
      <c r="FI2765" s="5"/>
      <c r="FJ2765" s="164"/>
      <c r="FL2765" s="2"/>
      <c r="FN2765" s="2"/>
    </row>
    <row r="2766" spans="153:170" x14ac:dyDescent="0.35">
      <c r="EW2766" s="48"/>
      <c r="FB2766" s="5"/>
      <c r="FI2766" s="5"/>
      <c r="FJ2766" s="164"/>
      <c r="FL2766" s="2"/>
      <c r="FN2766" s="2"/>
    </row>
    <row r="2767" spans="153:170" x14ac:dyDescent="0.35">
      <c r="EW2767" s="48"/>
      <c r="FB2767" s="5"/>
      <c r="FI2767" s="5"/>
      <c r="FJ2767" s="164"/>
      <c r="FL2767" s="2"/>
      <c r="FN2767" s="2"/>
    </row>
    <row r="2768" spans="153:170" x14ac:dyDescent="0.35">
      <c r="EW2768" s="48"/>
      <c r="FB2768" s="5"/>
      <c r="FI2768" s="5"/>
      <c r="FJ2768" s="164"/>
      <c r="FL2768" s="2"/>
      <c r="FN2768" s="2"/>
    </row>
    <row r="2769" spans="153:170" x14ac:dyDescent="0.35">
      <c r="EW2769" s="48"/>
      <c r="FB2769" s="5"/>
      <c r="FI2769" s="5"/>
      <c r="FJ2769" s="164"/>
      <c r="FL2769" s="2"/>
      <c r="FN2769" s="2"/>
    </row>
    <row r="2770" spans="153:170" x14ac:dyDescent="0.35">
      <c r="EW2770" s="48"/>
      <c r="FB2770" s="5"/>
      <c r="FI2770" s="5"/>
      <c r="FJ2770" s="164"/>
      <c r="FL2770" s="2"/>
      <c r="FN2770" s="2"/>
    </row>
    <row r="2771" spans="153:170" x14ac:dyDescent="0.35">
      <c r="EW2771" s="48"/>
      <c r="FB2771" s="5"/>
      <c r="FI2771" s="5"/>
      <c r="FJ2771" s="164"/>
      <c r="FL2771" s="2"/>
      <c r="FN2771" s="2"/>
    </row>
    <row r="2772" spans="153:170" x14ac:dyDescent="0.35">
      <c r="EW2772" s="48"/>
      <c r="FB2772" s="5"/>
      <c r="FI2772" s="5"/>
      <c r="FJ2772" s="164"/>
      <c r="FL2772" s="2"/>
      <c r="FN2772" s="2"/>
    </row>
    <row r="2773" spans="153:170" x14ac:dyDescent="0.35">
      <c r="EW2773" s="48"/>
      <c r="FB2773" s="5"/>
      <c r="FI2773" s="5"/>
      <c r="FJ2773" s="164"/>
      <c r="FL2773" s="2"/>
      <c r="FN2773" s="2"/>
    </row>
    <row r="2774" spans="153:170" x14ac:dyDescent="0.35">
      <c r="EW2774" s="48"/>
      <c r="FB2774" s="5"/>
      <c r="FI2774" s="5"/>
      <c r="FJ2774" s="164"/>
      <c r="FL2774" s="2"/>
      <c r="FN2774" s="2"/>
    </row>
    <row r="2775" spans="153:170" x14ac:dyDescent="0.35">
      <c r="EW2775" s="48"/>
      <c r="FB2775" s="5"/>
      <c r="FI2775" s="5"/>
      <c r="FJ2775" s="164"/>
      <c r="FL2775" s="2"/>
      <c r="FN2775" s="2"/>
    </row>
    <row r="2776" spans="153:170" x14ac:dyDescent="0.35">
      <c r="EW2776" s="48"/>
      <c r="FB2776" s="5"/>
      <c r="FI2776" s="5"/>
      <c r="FJ2776" s="164"/>
      <c r="FL2776" s="2"/>
      <c r="FN2776" s="2"/>
    </row>
    <row r="2777" spans="153:170" x14ac:dyDescent="0.35">
      <c r="EW2777" s="48"/>
      <c r="FB2777" s="5"/>
      <c r="FI2777" s="5"/>
      <c r="FJ2777" s="164"/>
      <c r="FL2777" s="2"/>
      <c r="FN2777" s="2"/>
    </row>
    <row r="2778" spans="153:170" x14ac:dyDescent="0.35">
      <c r="EW2778" s="48"/>
      <c r="FB2778" s="5"/>
      <c r="FI2778" s="5"/>
      <c r="FJ2778" s="164"/>
      <c r="FL2778" s="2"/>
      <c r="FN2778" s="2"/>
    </row>
    <row r="2779" spans="153:170" x14ac:dyDescent="0.35">
      <c r="EW2779" s="48"/>
      <c r="FB2779" s="5"/>
      <c r="FI2779" s="5"/>
      <c r="FJ2779" s="164"/>
      <c r="FL2779" s="2"/>
      <c r="FN2779" s="2"/>
    </row>
    <row r="2780" spans="153:170" x14ac:dyDescent="0.35">
      <c r="EW2780" s="48"/>
      <c r="FB2780" s="5"/>
      <c r="FI2780" s="5"/>
      <c r="FJ2780" s="164"/>
      <c r="FL2780" s="2"/>
      <c r="FN2780" s="2"/>
    </row>
    <row r="2781" spans="153:170" x14ac:dyDescent="0.35">
      <c r="EW2781" s="48"/>
      <c r="FB2781" s="5"/>
      <c r="FI2781" s="5"/>
      <c r="FJ2781" s="164"/>
      <c r="FL2781" s="2"/>
      <c r="FN2781" s="2"/>
    </row>
    <row r="2782" spans="153:170" x14ac:dyDescent="0.35">
      <c r="EW2782" s="48"/>
      <c r="FB2782" s="5"/>
      <c r="FI2782" s="5"/>
      <c r="FJ2782" s="164"/>
      <c r="FL2782" s="2"/>
      <c r="FN2782" s="2"/>
    </row>
    <row r="2783" spans="153:170" x14ac:dyDescent="0.35">
      <c r="EW2783" s="48"/>
      <c r="FB2783" s="5"/>
      <c r="FI2783" s="5"/>
      <c r="FJ2783" s="164"/>
      <c r="FL2783" s="2"/>
      <c r="FN2783" s="2"/>
    </row>
    <row r="2784" spans="153:170" x14ac:dyDescent="0.35">
      <c r="EW2784" s="48"/>
      <c r="FB2784" s="5"/>
      <c r="FI2784" s="5"/>
      <c r="FJ2784" s="164"/>
      <c r="FL2784" s="2"/>
      <c r="FN2784" s="2"/>
    </row>
    <row r="2785" spans="153:170" x14ac:dyDescent="0.35">
      <c r="EW2785" s="48"/>
      <c r="FB2785" s="5"/>
      <c r="FI2785" s="5"/>
      <c r="FJ2785" s="164"/>
      <c r="FL2785" s="2"/>
      <c r="FN2785" s="2"/>
    </row>
    <row r="2786" spans="153:170" x14ac:dyDescent="0.35">
      <c r="EW2786" s="48"/>
      <c r="FB2786" s="5"/>
      <c r="FI2786" s="5"/>
      <c r="FJ2786" s="164"/>
      <c r="FL2786" s="2"/>
      <c r="FN2786" s="2"/>
    </row>
    <row r="2787" spans="153:170" x14ac:dyDescent="0.35">
      <c r="EW2787" s="48"/>
      <c r="FB2787" s="5"/>
      <c r="FI2787" s="5"/>
      <c r="FJ2787" s="164"/>
      <c r="FL2787" s="2"/>
      <c r="FN2787" s="2"/>
    </row>
    <row r="2788" spans="153:170" x14ac:dyDescent="0.35">
      <c r="EW2788" s="48"/>
      <c r="FB2788" s="5"/>
      <c r="FI2788" s="5"/>
      <c r="FJ2788" s="164"/>
      <c r="FL2788" s="2"/>
      <c r="FN2788" s="2"/>
    </row>
    <row r="2789" spans="153:170" x14ac:dyDescent="0.35">
      <c r="EW2789" s="48"/>
      <c r="FB2789" s="5"/>
      <c r="FI2789" s="5"/>
      <c r="FJ2789" s="164"/>
      <c r="FL2789" s="2"/>
      <c r="FN2789" s="2"/>
    </row>
    <row r="2790" spans="153:170" x14ac:dyDescent="0.35">
      <c r="EW2790" s="48"/>
      <c r="FB2790" s="5"/>
      <c r="FI2790" s="5"/>
      <c r="FJ2790" s="164"/>
      <c r="FL2790" s="2"/>
      <c r="FN2790" s="2"/>
    </row>
    <row r="2791" spans="153:170" x14ac:dyDescent="0.35">
      <c r="EW2791" s="48"/>
      <c r="FB2791" s="5"/>
      <c r="FI2791" s="5"/>
      <c r="FJ2791" s="164"/>
      <c r="FL2791" s="2"/>
      <c r="FN2791" s="2"/>
    </row>
    <row r="2792" spans="153:170" x14ac:dyDescent="0.35">
      <c r="EW2792" s="48"/>
      <c r="FB2792" s="5"/>
      <c r="FI2792" s="5"/>
      <c r="FJ2792" s="164"/>
      <c r="FL2792" s="2"/>
      <c r="FN2792" s="2"/>
    </row>
    <row r="2793" spans="153:170" x14ac:dyDescent="0.35">
      <c r="EW2793" s="48"/>
      <c r="FB2793" s="5"/>
      <c r="FI2793" s="5"/>
      <c r="FJ2793" s="164"/>
      <c r="FL2793" s="2"/>
      <c r="FN2793" s="2"/>
    </row>
    <row r="2794" spans="153:170" x14ac:dyDescent="0.35">
      <c r="EW2794" s="48"/>
      <c r="FB2794" s="5"/>
      <c r="FI2794" s="5"/>
      <c r="FJ2794" s="164"/>
      <c r="FL2794" s="2"/>
      <c r="FN2794" s="2"/>
    </row>
    <row r="2795" spans="153:170" x14ac:dyDescent="0.35">
      <c r="EW2795" s="48"/>
      <c r="FB2795" s="5"/>
      <c r="FI2795" s="5"/>
      <c r="FJ2795" s="164"/>
      <c r="FL2795" s="2"/>
      <c r="FN2795" s="2"/>
    </row>
    <row r="2796" spans="153:170" x14ac:dyDescent="0.35">
      <c r="EW2796" s="48"/>
      <c r="FB2796" s="5"/>
      <c r="FI2796" s="5"/>
      <c r="FJ2796" s="164"/>
      <c r="FL2796" s="2"/>
      <c r="FN2796" s="2"/>
    </row>
    <row r="2797" spans="153:170" x14ac:dyDescent="0.35">
      <c r="EW2797" s="48"/>
      <c r="FB2797" s="5"/>
      <c r="FI2797" s="5"/>
      <c r="FJ2797" s="164"/>
      <c r="FL2797" s="2"/>
      <c r="FN2797" s="2"/>
    </row>
    <row r="2798" spans="153:170" x14ac:dyDescent="0.35">
      <c r="EW2798" s="48"/>
      <c r="FB2798" s="5"/>
      <c r="FI2798" s="5"/>
      <c r="FJ2798" s="164"/>
      <c r="FL2798" s="2"/>
      <c r="FN2798" s="2"/>
    </row>
    <row r="2799" spans="153:170" x14ac:dyDescent="0.35">
      <c r="EW2799" s="48"/>
      <c r="FB2799" s="5"/>
      <c r="FI2799" s="5"/>
      <c r="FJ2799" s="164"/>
      <c r="FL2799" s="2"/>
      <c r="FN2799" s="2"/>
    </row>
    <row r="2800" spans="153:170" x14ac:dyDescent="0.35">
      <c r="EW2800" s="48"/>
      <c r="FB2800" s="5"/>
      <c r="FI2800" s="5"/>
      <c r="FJ2800" s="164"/>
      <c r="FL2800" s="2"/>
      <c r="FN2800" s="2"/>
    </row>
    <row r="2801" spans="153:170" x14ac:dyDescent="0.35">
      <c r="EW2801" s="48"/>
      <c r="FB2801" s="5"/>
      <c r="FI2801" s="5"/>
      <c r="FJ2801" s="164"/>
      <c r="FL2801" s="2"/>
      <c r="FN2801" s="2"/>
    </row>
    <row r="2802" spans="153:170" x14ac:dyDescent="0.35">
      <c r="EW2802" s="48"/>
      <c r="FB2802" s="5"/>
      <c r="FI2802" s="5"/>
      <c r="FJ2802" s="164"/>
      <c r="FL2802" s="2"/>
      <c r="FN2802" s="2"/>
    </row>
    <row r="2803" spans="153:170" x14ac:dyDescent="0.35">
      <c r="EW2803" s="48"/>
      <c r="FB2803" s="5"/>
      <c r="FI2803" s="5"/>
      <c r="FJ2803" s="164"/>
      <c r="FL2803" s="2"/>
      <c r="FN2803" s="2"/>
    </row>
    <row r="2804" spans="153:170" x14ac:dyDescent="0.35">
      <c r="EW2804" s="48"/>
      <c r="FB2804" s="5"/>
      <c r="FI2804" s="5"/>
      <c r="FJ2804" s="164"/>
      <c r="FL2804" s="2"/>
      <c r="FN2804" s="2"/>
    </row>
    <row r="2805" spans="153:170" x14ac:dyDescent="0.35">
      <c r="EW2805" s="48"/>
      <c r="FB2805" s="5"/>
      <c r="FI2805" s="5"/>
      <c r="FJ2805" s="164"/>
      <c r="FL2805" s="2"/>
      <c r="FN2805" s="2"/>
    </row>
    <row r="2806" spans="153:170" x14ac:dyDescent="0.35">
      <c r="EW2806" s="48"/>
      <c r="FB2806" s="5"/>
      <c r="FI2806" s="5"/>
      <c r="FJ2806" s="164"/>
      <c r="FL2806" s="2"/>
      <c r="FN2806" s="2"/>
    </row>
    <row r="2807" spans="153:170" x14ac:dyDescent="0.35">
      <c r="EW2807" s="48"/>
      <c r="FB2807" s="5"/>
      <c r="FI2807" s="5"/>
      <c r="FJ2807" s="164"/>
      <c r="FL2807" s="2"/>
      <c r="FN2807" s="2"/>
    </row>
    <row r="2808" spans="153:170" x14ac:dyDescent="0.35">
      <c r="EW2808" s="48"/>
      <c r="FB2808" s="5"/>
      <c r="FI2808" s="5"/>
      <c r="FJ2808" s="164"/>
      <c r="FL2808" s="2"/>
      <c r="FN2808" s="2"/>
    </row>
    <row r="2809" spans="153:170" x14ac:dyDescent="0.35">
      <c r="EW2809" s="48"/>
      <c r="FB2809" s="5"/>
      <c r="FI2809" s="5"/>
      <c r="FJ2809" s="164"/>
      <c r="FL2809" s="2"/>
      <c r="FN2809" s="2"/>
    </row>
    <row r="2810" spans="153:170" x14ac:dyDescent="0.35">
      <c r="EW2810" s="48"/>
      <c r="FB2810" s="5"/>
      <c r="FI2810" s="5"/>
      <c r="FJ2810" s="164"/>
      <c r="FL2810" s="2"/>
      <c r="FN2810" s="2"/>
    </row>
    <row r="2811" spans="153:170" x14ac:dyDescent="0.35">
      <c r="EW2811" s="48"/>
      <c r="FB2811" s="5"/>
      <c r="FI2811" s="5"/>
      <c r="FJ2811" s="164"/>
      <c r="FL2811" s="2"/>
      <c r="FN2811" s="2"/>
    </row>
    <row r="2812" spans="153:170" x14ac:dyDescent="0.35">
      <c r="EW2812" s="48"/>
      <c r="FB2812" s="5"/>
      <c r="FI2812" s="5"/>
      <c r="FJ2812" s="164"/>
      <c r="FL2812" s="2"/>
      <c r="FN2812" s="2"/>
    </row>
    <row r="2813" spans="153:170" x14ac:dyDescent="0.35">
      <c r="EW2813" s="48"/>
      <c r="FB2813" s="5"/>
      <c r="FI2813" s="5"/>
      <c r="FJ2813" s="164"/>
      <c r="FL2813" s="2"/>
      <c r="FN2813" s="2"/>
    </row>
    <row r="2814" spans="153:170" x14ac:dyDescent="0.35">
      <c r="EW2814" s="48"/>
      <c r="FB2814" s="5"/>
      <c r="FI2814" s="5"/>
      <c r="FJ2814" s="164"/>
      <c r="FL2814" s="2"/>
      <c r="FN2814" s="2"/>
    </row>
    <row r="2815" spans="153:170" x14ac:dyDescent="0.35">
      <c r="EW2815" s="48"/>
      <c r="FB2815" s="5"/>
      <c r="FI2815" s="5"/>
      <c r="FJ2815" s="164"/>
      <c r="FL2815" s="2"/>
      <c r="FN2815" s="2"/>
    </row>
    <row r="2816" spans="153:170" x14ac:dyDescent="0.35">
      <c r="EW2816" s="48"/>
      <c r="FB2816" s="5"/>
      <c r="FI2816" s="5"/>
      <c r="FJ2816" s="164"/>
      <c r="FL2816" s="2"/>
      <c r="FN2816" s="2"/>
    </row>
    <row r="2817" spans="153:170" x14ac:dyDescent="0.35">
      <c r="EW2817" s="48"/>
      <c r="FB2817" s="5"/>
      <c r="FI2817" s="5"/>
      <c r="FJ2817" s="164"/>
      <c r="FL2817" s="2"/>
      <c r="FN2817" s="2"/>
    </row>
    <row r="2818" spans="153:170" x14ac:dyDescent="0.35">
      <c r="EW2818" s="48"/>
      <c r="FB2818" s="5"/>
      <c r="FI2818" s="5"/>
      <c r="FJ2818" s="164"/>
      <c r="FL2818" s="2"/>
      <c r="FN2818" s="2"/>
    </row>
    <row r="2819" spans="153:170" x14ac:dyDescent="0.35">
      <c r="EW2819" s="48"/>
      <c r="FB2819" s="5"/>
      <c r="FI2819" s="5"/>
      <c r="FJ2819" s="164"/>
      <c r="FL2819" s="2"/>
      <c r="FN2819" s="2"/>
    </row>
    <row r="2820" spans="153:170" x14ac:dyDescent="0.35">
      <c r="EW2820" s="48"/>
      <c r="FB2820" s="5"/>
      <c r="FI2820" s="5"/>
      <c r="FJ2820" s="164"/>
      <c r="FL2820" s="2"/>
      <c r="FN2820" s="2"/>
    </row>
    <row r="2821" spans="153:170" x14ac:dyDescent="0.35">
      <c r="EW2821" s="48"/>
      <c r="FB2821" s="5"/>
      <c r="FI2821" s="5"/>
      <c r="FJ2821" s="164"/>
      <c r="FL2821" s="2"/>
      <c r="FN2821" s="2"/>
    </row>
    <row r="2822" spans="153:170" x14ac:dyDescent="0.35">
      <c r="EW2822" s="48"/>
      <c r="FB2822" s="5"/>
      <c r="FI2822" s="5"/>
      <c r="FJ2822" s="164"/>
      <c r="FL2822" s="2"/>
      <c r="FN2822" s="2"/>
    </row>
    <row r="2823" spans="153:170" x14ac:dyDescent="0.35">
      <c r="EW2823" s="48"/>
      <c r="FB2823" s="5"/>
      <c r="FI2823" s="5"/>
      <c r="FJ2823" s="164"/>
      <c r="FL2823" s="2"/>
      <c r="FN2823" s="2"/>
    </row>
    <row r="2824" spans="153:170" x14ac:dyDescent="0.35">
      <c r="EW2824" s="48"/>
      <c r="FB2824" s="5"/>
      <c r="FI2824" s="5"/>
      <c r="FJ2824" s="164"/>
      <c r="FL2824" s="2"/>
      <c r="FN2824" s="2"/>
    </row>
    <row r="2825" spans="153:170" x14ac:dyDescent="0.35">
      <c r="EW2825" s="48"/>
      <c r="FB2825" s="5"/>
      <c r="FI2825" s="5"/>
      <c r="FJ2825" s="164"/>
      <c r="FL2825" s="2"/>
      <c r="FN2825" s="2"/>
    </row>
    <row r="2826" spans="153:170" x14ac:dyDescent="0.35">
      <c r="EW2826" s="48"/>
      <c r="FB2826" s="5"/>
      <c r="FI2826" s="5"/>
      <c r="FJ2826" s="164"/>
      <c r="FL2826" s="2"/>
      <c r="FN2826" s="2"/>
    </row>
    <row r="2827" spans="153:170" x14ac:dyDescent="0.35">
      <c r="EW2827" s="48"/>
      <c r="FB2827" s="5"/>
      <c r="FI2827" s="5"/>
      <c r="FJ2827" s="164"/>
      <c r="FL2827" s="2"/>
      <c r="FN2827" s="2"/>
    </row>
    <row r="2828" spans="153:170" x14ac:dyDescent="0.35">
      <c r="EW2828" s="48"/>
      <c r="FB2828" s="5"/>
      <c r="FI2828" s="5"/>
      <c r="FJ2828" s="164"/>
      <c r="FL2828" s="2"/>
      <c r="FN2828" s="2"/>
    </row>
    <row r="2829" spans="153:170" x14ac:dyDescent="0.35">
      <c r="EW2829" s="48"/>
      <c r="FB2829" s="5"/>
      <c r="FI2829" s="5"/>
      <c r="FJ2829" s="164"/>
      <c r="FL2829" s="2"/>
      <c r="FN2829" s="2"/>
    </row>
    <row r="2830" spans="153:170" x14ac:dyDescent="0.35">
      <c r="EW2830" s="48"/>
      <c r="FB2830" s="5"/>
      <c r="FI2830" s="5"/>
      <c r="FJ2830" s="164"/>
      <c r="FL2830" s="2"/>
      <c r="FN2830" s="2"/>
    </row>
    <row r="2831" spans="153:170" x14ac:dyDescent="0.35">
      <c r="EW2831" s="48"/>
      <c r="FB2831" s="5"/>
      <c r="FI2831" s="5"/>
      <c r="FJ2831" s="164"/>
      <c r="FL2831" s="2"/>
      <c r="FN2831" s="2"/>
    </row>
    <row r="2832" spans="153:170" x14ac:dyDescent="0.35">
      <c r="EW2832" s="48"/>
      <c r="FB2832" s="5"/>
      <c r="FI2832" s="5"/>
      <c r="FJ2832" s="164"/>
      <c r="FL2832" s="2"/>
      <c r="FN2832" s="2"/>
    </row>
    <row r="2833" spans="153:170" x14ac:dyDescent="0.35">
      <c r="EW2833" s="48"/>
      <c r="FB2833" s="5"/>
      <c r="FI2833" s="5"/>
      <c r="FJ2833" s="164"/>
      <c r="FL2833" s="2"/>
      <c r="FN2833" s="2"/>
    </row>
    <row r="2834" spans="153:170" x14ac:dyDescent="0.35">
      <c r="EW2834" s="48"/>
      <c r="FB2834" s="5"/>
      <c r="FI2834" s="5"/>
      <c r="FJ2834" s="164"/>
      <c r="FL2834" s="2"/>
      <c r="FN2834" s="2"/>
    </row>
    <row r="2835" spans="153:170" x14ac:dyDescent="0.35">
      <c r="EW2835" s="48"/>
      <c r="FB2835" s="5"/>
      <c r="FI2835" s="5"/>
      <c r="FJ2835" s="164"/>
      <c r="FL2835" s="2"/>
      <c r="FN2835" s="2"/>
    </row>
    <row r="2836" spans="153:170" x14ac:dyDescent="0.35">
      <c r="EW2836" s="48"/>
      <c r="FB2836" s="5"/>
      <c r="FI2836" s="5"/>
      <c r="FJ2836" s="164"/>
      <c r="FL2836" s="2"/>
      <c r="FN2836" s="2"/>
    </row>
    <row r="2837" spans="153:170" x14ac:dyDescent="0.35">
      <c r="EW2837" s="48"/>
      <c r="FB2837" s="5"/>
      <c r="FI2837" s="5"/>
      <c r="FJ2837" s="164"/>
      <c r="FL2837" s="2"/>
      <c r="FN2837" s="2"/>
    </row>
    <row r="2838" spans="153:170" x14ac:dyDescent="0.35">
      <c r="EW2838" s="48"/>
      <c r="FB2838" s="5"/>
      <c r="FI2838" s="5"/>
      <c r="FJ2838" s="164"/>
      <c r="FL2838" s="2"/>
      <c r="FN2838" s="2"/>
    </row>
    <row r="2839" spans="153:170" x14ac:dyDescent="0.35">
      <c r="EW2839" s="48"/>
      <c r="FB2839" s="5"/>
      <c r="FI2839" s="5"/>
      <c r="FJ2839" s="164"/>
      <c r="FL2839" s="2"/>
      <c r="FN2839" s="2"/>
    </row>
    <row r="2840" spans="153:170" x14ac:dyDescent="0.35">
      <c r="EW2840" s="48"/>
      <c r="FB2840" s="5"/>
      <c r="FI2840" s="5"/>
      <c r="FJ2840" s="164"/>
      <c r="FL2840" s="2"/>
      <c r="FN2840" s="2"/>
    </row>
    <row r="2841" spans="153:170" x14ac:dyDescent="0.35">
      <c r="EW2841" s="48"/>
      <c r="FB2841" s="5"/>
      <c r="FI2841" s="5"/>
      <c r="FJ2841" s="164"/>
      <c r="FL2841" s="2"/>
      <c r="FN2841" s="2"/>
    </row>
    <row r="2842" spans="153:170" x14ac:dyDescent="0.35">
      <c r="EW2842" s="48"/>
      <c r="FB2842" s="5"/>
      <c r="FI2842" s="5"/>
      <c r="FJ2842" s="164"/>
      <c r="FL2842" s="2"/>
      <c r="FN2842" s="2"/>
    </row>
    <row r="2843" spans="153:170" x14ac:dyDescent="0.35">
      <c r="EW2843" s="48"/>
      <c r="FB2843" s="5"/>
      <c r="FI2843" s="5"/>
      <c r="FJ2843" s="164"/>
      <c r="FL2843" s="2"/>
      <c r="FN2843" s="2"/>
    </row>
    <row r="2844" spans="153:170" x14ac:dyDescent="0.35">
      <c r="EW2844" s="48"/>
      <c r="FB2844" s="5"/>
      <c r="FI2844" s="5"/>
      <c r="FJ2844" s="164"/>
      <c r="FL2844" s="2"/>
      <c r="FN2844" s="2"/>
    </row>
    <row r="2845" spans="153:170" x14ac:dyDescent="0.35">
      <c r="EW2845" s="48"/>
      <c r="FB2845" s="5"/>
      <c r="FI2845" s="5"/>
      <c r="FJ2845" s="164"/>
      <c r="FL2845" s="2"/>
      <c r="FN2845" s="2"/>
    </row>
    <row r="2846" spans="153:170" x14ac:dyDescent="0.35">
      <c r="EW2846" s="48"/>
      <c r="FB2846" s="5"/>
      <c r="FI2846" s="5"/>
      <c r="FJ2846" s="164"/>
      <c r="FL2846" s="2"/>
      <c r="FN2846" s="2"/>
    </row>
    <row r="2847" spans="153:170" x14ac:dyDescent="0.35">
      <c r="EW2847" s="48"/>
      <c r="FB2847" s="5"/>
      <c r="FI2847" s="5"/>
      <c r="FJ2847" s="164"/>
      <c r="FL2847" s="2"/>
      <c r="FN2847" s="2"/>
    </row>
    <row r="2848" spans="153:170" x14ac:dyDescent="0.35">
      <c r="EW2848" s="48"/>
      <c r="FB2848" s="5"/>
      <c r="FI2848" s="5"/>
      <c r="FJ2848" s="164"/>
      <c r="FL2848" s="2"/>
      <c r="FN2848" s="2"/>
    </row>
    <row r="2849" spans="153:170" x14ac:dyDescent="0.35">
      <c r="EW2849" s="48"/>
      <c r="FB2849" s="5"/>
      <c r="FI2849" s="5"/>
      <c r="FJ2849" s="164"/>
      <c r="FL2849" s="2"/>
      <c r="FN2849" s="2"/>
    </row>
    <row r="2850" spans="153:170" x14ac:dyDescent="0.35">
      <c r="EW2850" s="48"/>
      <c r="FB2850" s="5"/>
      <c r="FI2850" s="5"/>
      <c r="FJ2850" s="164"/>
      <c r="FL2850" s="2"/>
      <c r="FN2850" s="2"/>
    </row>
    <row r="2851" spans="153:170" x14ac:dyDescent="0.35">
      <c r="EW2851" s="48"/>
      <c r="FB2851" s="5"/>
      <c r="FI2851" s="5"/>
      <c r="FJ2851" s="164"/>
      <c r="FL2851" s="2"/>
      <c r="FN2851" s="2"/>
    </row>
    <row r="2852" spans="153:170" x14ac:dyDescent="0.35">
      <c r="EW2852" s="48"/>
      <c r="FB2852" s="5"/>
      <c r="FI2852" s="5"/>
      <c r="FJ2852" s="164"/>
      <c r="FL2852" s="2"/>
      <c r="FN2852" s="2"/>
    </row>
    <row r="2853" spans="153:170" x14ac:dyDescent="0.35">
      <c r="EW2853" s="48"/>
      <c r="FB2853" s="5"/>
      <c r="FI2853" s="5"/>
      <c r="FJ2853" s="164"/>
      <c r="FL2853" s="2"/>
      <c r="FN2853" s="2"/>
    </row>
    <row r="2854" spans="153:170" x14ac:dyDescent="0.35">
      <c r="EW2854" s="48"/>
      <c r="FB2854" s="5"/>
      <c r="FI2854" s="5"/>
      <c r="FJ2854" s="164"/>
      <c r="FL2854" s="2"/>
      <c r="FN2854" s="2"/>
    </row>
    <row r="2855" spans="153:170" x14ac:dyDescent="0.35">
      <c r="EW2855" s="48"/>
      <c r="FB2855" s="5"/>
      <c r="FI2855" s="5"/>
      <c r="FJ2855" s="164"/>
      <c r="FL2855" s="2"/>
      <c r="FN2855" s="2"/>
    </row>
    <row r="2856" spans="153:170" x14ac:dyDescent="0.35">
      <c r="EW2856" s="48"/>
      <c r="FB2856" s="5"/>
      <c r="FI2856" s="5"/>
      <c r="FJ2856" s="164"/>
      <c r="FL2856" s="2"/>
      <c r="FN2856" s="2"/>
    </row>
    <row r="2857" spans="153:170" x14ac:dyDescent="0.35">
      <c r="EW2857" s="48"/>
      <c r="FB2857" s="5"/>
      <c r="FI2857" s="5"/>
      <c r="FJ2857" s="164"/>
      <c r="FL2857" s="2"/>
      <c r="FN2857" s="2"/>
    </row>
    <row r="2858" spans="153:170" x14ac:dyDescent="0.35">
      <c r="EW2858" s="48"/>
      <c r="FB2858" s="5"/>
      <c r="FI2858" s="5"/>
      <c r="FJ2858" s="164"/>
      <c r="FL2858" s="2"/>
      <c r="FN2858" s="2"/>
    </row>
    <row r="2859" spans="153:170" x14ac:dyDescent="0.35">
      <c r="EW2859" s="48"/>
      <c r="FB2859" s="5"/>
      <c r="FI2859" s="5"/>
      <c r="FJ2859" s="164"/>
      <c r="FL2859" s="2"/>
      <c r="FN2859" s="2"/>
    </row>
    <row r="2860" spans="153:170" x14ac:dyDescent="0.35">
      <c r="EW2860" s="48"/>
      <c r="FB2860" s="5"/>
      <c r="FI2860" s="5"/>
      <c r="FJ2860" s="164"/>
      <c r="FL2860" s="2"/>
      <c r="FN2860" s="2"/>
    </row>
    <row r="2861" spans="153:170" x14ac:dyDescent="0.35">
      <c r="EW2861" s="48"/>
      <c r="FB2861" s="5"/>
      <c r="FI2861" s="5"/>
      <c r="FJ2861" s="164"/>
      <c r="FL2861" s="2"/>
      <c r="FN2861" s="2"/>
    </row>
    <row r="2862" spans="153:170" x14ac:dyDescent="0.35">
      <c r="EW2862" s="48"/>
      <c r="FB2862" s="5"/>
      <c r="FI2862" s="5"/>
      <c r="FJ2862" s="164"/>
      <c r="FL2862" s="2"/>
      <c r="FN2862" s="2"/>
    </row>
    <row r="2863" spans="153:170" x14ac:dyDescent="0.35">
      <c r="EW2863" s="48"/>
      <c r="FB2863" s="5"/>
      <c r="FI2863" s="5"/>
      <c r="FJ2863" s="164"/>
      <c r="FL2863" s="2"/>
      <c r="FN2863" s="2"/>
    </row>
    <row r="2864" spans="153:170" x14ac:dyDescent="0.35">
      <c r="EW2864" s="48"/>
      <c r="FB2864" s="5"/>
      <c r="FI2864" s="5"/>
      <c r="FJ2864" s="164"/>
      <c r="FL2864" s="2"/>
      <c r="FN2864" s="2"/>
    </row>
    <row r="2865" spans="153:170" x14ac:dyDescent="0.35">
      <c r="EW2865" s="48"/>
      <c r="FB2865" s="5"/>
      <c r="FI2865" s="5"/>
      <c r="FJ2865" s="164"/>
      <c r="FL2865" s="2"/>
      <c r="FN2865" s="2"/>
    </row>
    <row r="2866" spans="153:170" x14ac:dyDescent="0.35">
      <c r="EW2866" s="48"/>
      <c r="FB2866" s="5"/>
      <c r="FI2866" s="5"/>
      <c r="FJ2866" s="164"/>
      <c r="FL2866" s="2"/>
      <c r="FN2866" s="2"/>
    </row>
    <row r="2867" spans="153:170" x14ac:dyDescent="0.35">
      <c r="EW2867" s="48"/>
      <c r="FB2867" s="5"/>
      <c r="FI2867" s="5"/>
      <c r="FJ2867" s="164"/>
      <c r="FL2867" s="2"/>
      <c r="FN2867" s="2"/>
    </row>
    <row r="2868" spans="153:170" x14ac:dyDescent="0.35">
      <c r="EW2868" s="48"/>
      <c r="FB2868" s="5"/>
      <c r="FI2868" s="5"/>
      <c r="FJ2868" s="164"/>
      <c r="FL2868" s="2"/>
      <c r="FN2868" s="2"/>
    </row>
    <row r="2869" spans="153:170" x14ac:dyDescent="0.35">
      <c r="EW2869" s="48"/>
      <c r="FB2869" s="5"/>
      <c r="FI2869" s="5"/>
      <c r="FJ2869" s="164"/>
      <c r="FL2869" s="2"/>
      <c r="FN2869" s="2"/>
    </row>
    <row r="2870" spans="153:170" x14ac:dyDescent="0.35">
      <c r="EW2870" s="48"/>
      <c r="FB2870" s="5"/>
      <c r="FI2870" s="5"/>
      <c r="FJ2870" s="164"/>
      <c r="FL2870" s="2"/>
      <c r="FN2870" s="2"/>
    </row>
    <row r="2871" spans="153:170" x14ac:dyDescent="0.35">
      <c r="EW2871" s="48"/>
      <c r="FB2871" s="5"/>
      <c r="FI2871" s="5"/>
      <c r="FJ2871" s="164"/>
      <c r="FL2871" s="2"/>
      <c r="FN2871" s="2"/>
    </row>
    <row r="2872" spans="153:170" x14ac:dyDescent="0.35">
      <c r="EW2872" s="48"/>
      <c r="FB2872" s="5"/>
      <c r="FI2872" s="5"/>
      <c r="FJ2872" s="164"/>
      <c r="FL2872" s="2"/>
      <c r="FN2872" s="2"/>
    </row>
    <row r="2873" spans="153:170" x14ac:dyDescent="0.35">
      <c r="EW2873" s="48"/>
      <c r="FB2873" s="5"/>
      <c r="FI2873" s="5"/>
      <c r="FJ2873" s="164"/>
      <c r="FL2873" s="2"/>
      <c r="FN2873" s="2"/>
    </row>
    <row r="2874" spans="153:170" x14ac:dyDescent="0.35">
      <c r="EW2874" s="48"/>
      <c r="FB2874" s="5"/>
      <c r="FI2874" s="5"/>
      <c r="FJ2874" s="164"/>
      <c r="FL2874" s="2"/>
      <c r="FN2874" s="2"/>
    </row>
    <row r="2875" spans="153:170" x14ac:dyDescent="0.35">
      <c r="EW2875" s="48"/>
      <c r="FB2875" s="5"/>
      <c r="FI2875" s="5"/>
      <c r="FJ2875" s="164"/>
      <c r="FL2875" s="2"/>
      <c r="FN2875" s="2"/>
    </row>
    <row r="2876" spans="153:170" x14ac:dyDescent="0.35">
      <c r="EW2876" s="48"/>
      <c r="FB2876" s="5"/>
      <c r="FI2876" s="5"/>
      <c r="FJ2876" s="164"/>
      <c r="FL2876" s="2"/>
      <c r="FN2876" s="2"/>
    </row>
    <row r="2877" spans="153:170" x14ac:dyDescent="0.35">
      <c r="EW2877" s="48"/>
      <c r="FB2877" s="5"/>
      <c r="FI2877" s="5"/>
      <c r="FJ2877" s="164"/>
      <c r="FL2877" s="2"/>
      <c r="FN2877" s="2"/>
    </row>
    <row r="2878" spans="153:170" x14ac:dyDescent="0.35">
      <c r="EW2878" s="48"/>
      <c r="FB2878" s="5"/>
      <c r="FI2878" s="5"/>
      <c r="FJ2878" s="164"/>
      <c r="FL2878" s="2"/>
      <c r="FN2878" s="2"/>
    </row>
    <row r="2879" spans="153:170" x14ac:dyDescent="0.35">
      <c r="EW2879" s="48"/>
      <c r="FB2879" s="5"/>
      <c r="FI2879" s="5"/>
      <c r="FJ2879" s="164"/>
      <c r="FL2879" s="2"/>
      <c r="FN2879" s="2"/>
    </row>
    <row r="2880" spans="153:170" x14ac:dyDescent="0.35">
      <c r="EW2880" s="48"/>
      <c r="FB2880" s="5"/>
      <c r="FI2880" s="5"/>
      <c r="FJ2880" s="164"/>
      <c r="FL2880" s="2"/>
      <c r="FN2880" s="2"/>
    </row>
    <row r="2881" spans="153:170" x14ac:dyDescent="0.35">
      <c r="EW2881" s="48"/>
      <c r="FB2881" s="5"/>
      <c r="FI2881" s="5"/>
      <c r="FJ2881" s="164"/>
      <c r="FL2881" s="2"/>
      <c r="FN2881" s="2"/>
    </row>
    <row r="2882" spans="153:170" x14ac:dyDescent="0.35">
      <c r="EW2882" s="48"/>
      <c r="FB2882" s="5"/>
      <c r="FI2882" s="5"/>
      <c r="FJ2882" s="164"/>
      <c r="FL2882" s="2"/>
      <c r="FN2882" s="2"/>
    </row>
    <row r="2883" spans="153:170" x14ac:dyDescent="0.35">
      <c r="EW2883" s="48"/>
      <c r="FB2883" s="5"/>
      <c r="FI2883" s="5"/>
      <c r="FJ2883" s="164"/>
      <c r="FL2883" s="2"/>
      <c r="FN2883" s="2"/>
    </row>
    <row r="2884" spans="153:170" x14ac:dyDescent="0.35">
      <c r="EW2884" s="48"/>
      <c r="FB2884" s="5"/>
      <c r="FI2884" s="5"/>
      <c r="FJ2884" s="164"/>
      <c r="FL2884" s="2"/>
      <c r="FN2884" s="2"/>
    </row>
    <row r="2885" spans="153:170" x14ac:dyDescent="0.35">
      <c r="EW2885" s="48"/>
      <c r="FB2885" s="5"/>
      <c r="FI2885" s="5"/>
      <c r="FJ2885" s="164"/>
      <c r="FL2885" s="2"/>
      <c r="FN2885" s="2"/>
    </row>
    <row r="2886" spans="153:170" x14ac:dyDescent="0.35">
      <c r="EW2886" s="48"/>
      <c r="FB2886" s="5"/>
      <c r="FI2886" s="5"/>
      <c r="FJ2886" s="164"/>
      <c r="FL2886" s="2"/>
      <c r="FN2886" s="2"/>
    </row>
    <row r="2887" spans="153:170" x14ac:dyDescent="0.35">
      <c r="EW2887" s="48"/>
      <c r="FB2887" s="5"/>
      <c r="FI2887" s="5"/>
      <c r="FJ2887" s="164"/>
      <c r="FL2887" s="2"/>
      <c r="FN2887" s="2"/>
    </row>
    <row r="2888" spans="153:170" x14ac:dyDescent="0.35">
      <c r="EW2888" s="48"/>
      <c r="FB2888" s="5"/>
      <c r="FI2888" s="5"/>
      <c r="FJ2888" s="164"/>
      <c r="FL2888" s="2"/>
      <c r="FN2888" s="2"/>
    </row>
    <row r="2889" spans="153:170" x14ac:dyDescent="0.35">
      <c r="EW2889" s="48"/>
      <c r="FB2889" s="5"/>
      <c r="FI2889" s="5"/>
      <c r="FJ2889" s="164"/>
      <c r="FL2889" s="2"/>
      <c r="FN2889" s="2"/>
    </row>
    <row r="2890" spans="153:170" x14ac:dyDescent="0.35">
      <c r="EW2890" s="48"/>
      <c r="FB2890" s="5"/>
      <c r="FI2890" s="5"/>
      <c r="FJ2890" s="164"/>
      <c r="FL2890" s="2"/>
      <c r="FN2890" s="2"/>
    </row>
    <row r="2891" spans="153:170" x14ac:dyDescent="0.35">
      <c r="EW2891" s="48"/>
      <c r="FB2891" s="5"/>
      <c r="FI2891" s="5"/>
      <c r="FJ2891" s="164"/>
      <c r="FL2891" s="2"/>
      <c r="FN2891" s="2"/>
    </row>
    <row r="2892" spans="153:170" x14ac:dyDescent="0.35">
      <c r="EW2892" s="48"/>
      <c r="FB2892" s="5"/>
      <c r="FI2892" s="5"/>
      <c r="FJ2892" s="164"/>
      <c r="FL2892" s="2"/>
      <c r="FN2892" s="2"/>
    </row>
    <row r="2893" spans="153:170" x14ac:dyDescent="0.35">
      <c r="EW2893" s="48"/>
      <c r="FB2893" s="5"/>
      <c r="FI2893" s="5"/>
      <c r="FJ2893" s="164"/>
      <c r="FL2893" s="2"/>
      <c r="FN2893" s="2"/>
    </row>
    <row r="2894" spans="153:170" x14ac:dyDescent="0.35">
      <c r="EW2894" s="48"/>
      <c r="FB2894" s="5"/>
      <c r="FI2894" s="5"/>
      <c r="FJ2894" s="164"/>
      <c r="FL2894" s="2"/>
      <c r="FN2894" s="2"/>
    </row>
    <row r="2895" spans="153:170" x14ac:dyDescent="0.35">
      <c r="EW2895" s="48"/>
      <c r="FB2895" s="5"/>
      <c r="FI2895" s="5"/>
      <c r="FJ2895" s="164"/>
      <c r="FL2895" s="2"/>
      <c r="FN2895" s="2"/>
    </row>
    <row r="2896" spans="153:170" x14ac:dyDescent="0.35">
      <c r="EW2896" s="48"/>
      <c r="FB2896" s="5"/>
      <c r="FI2896" s="5"/>
      <c r="FJ2896" s="164"/>
      <c r="FL2896" s="2"/>
      <c r="FN2896" s="2"/>
    </row>
    <row r="2897" spans="153:170" x14ac:dyDescent="0.35">
      <c r="EW2897" s="48"/>
      <c r="FB2897" s="5"/>
      <c r="FI2897" s="5"/>
      <c r="FJ2897" s="164"/>
      <c r="FL2897" s="2"/>
      <c r="FN2897" s="2"/>
    </row>
    <row r="2898" spans="153:170" x14ac:dyDescent="0.35">
      <c r="EW2898" s="48"/>
      <c r="FB2898" s="5"/>
      <c r="FI2898" s="5"/>
      <c r="FJ2898" s="164"/>
      <c r="FL2898" s="2"/>
      <c r="FN2898" s="2"/>
    </row>
    <row r="2899" spans="153:170" x14ac:dyDescent="0.35">
      <c r="EW2899" s="48"/>
      <c r="FB2899" s="5"/>
      <c r="FI2899" s="5"/>
      <c r="FJ2899" s="164"/>
      <c r="FL2899" s="2"/>
      <c r="FN2899" s="2"/>
    </row>
    <row r="2900" spans="153:170" x14ac:dyDescent="0.35">
      <c r="EW2900" s="48"/>
      <c r="FB2900" s="5"/>
      <c r="FI2900" s="5"/>
      <c r="FJ2900" s="164"/>
      <c r="FL2900" s="2"/>
      <c r="FN2900" s="2"/>
    </row>
    <row r="2901" spans="153:170" x14ac:dyDescent="0.35">
      <c r="EW2901" s="48"/>
      <c r="FB2901" s="5"/>
      <c r="FI2901" s="5"/>
      <c r="FJ2901" s="164"/>
      <c r="FL2901" s="2"/>
      <c r="FN2901" s="2"/>
    </row>
    <row r="2902" spans="153:170" x14ac:dyDescent="0.35">
      <c r="EW2902" s="48"/>
      <c r="FB2902" s="5"/>
      <c r="FI2902" s="5"/>
      <c r="FJ2902" s="164"/>
      <c r="FL2902" s="2"/>
      <c r="FN2902" s="2"/>
    </row>
    <row r="2903" spans="153:170" x14ac:dyDescent="0.35">
      <c r="EW2903" s="48"/>
      <c r="FB2903" s="5"/>
      <c r="FI2903" s="5"/>
      <c r="FJ2903" s="164"/>
      <c r="FL2903" s="2"/>
      <c r="FN2903" s="2"/>
    </row>
    <row r="2904" spans="153:170" x14ac:dyDescent="0.35">
      <c r="EW2904" s="48"/>
      <c r="FB2904" s="5"/>
      <c r="FI2904" s="5"/>
      <c r="FJ2904" s="164"/>
      <c r="FL2904" s="2"/>
      <c r="FN2904" s="2"/>
    </row>
    <row r="2905" spans="153:170" x14ac:dyDescent="0.35">
      <c r="EW2905" s="48"/>
      <c r="FB2905" s="5"/>
      <c r="FI2905" s="5"/>
      <c r="FJ2905" s="164"/>
      <c r="FL2905" s="2"/>
      <c r="FN2905" s="2"/>
    </row>
    <row r="2906" spans="153:170" x14ac:dyDescent="0.35">
      <c r="EW2906" s="48"/>
      <c r="FB2906" s="5"/>
      <c r="FI2906" s="5"/>
      <c r="FJ2906" s="164"/>
      <c r="FL2906" s="2"/>
      <c r="FN2906" s="2"/>
    </row>
    <row r="2907" spans="153:170" x14ac:dyDescent="0.35">
      <c r="EW2907" s="48"/>
      <c r="FB2907" s="5"/>
      <c r="FI2907" s="5"/>
      <c r="FJ2907" s="164"/>
      <c r="FL2907" s="2"/>
      <c r="FN2907" s="2"/>
    </row>
    <row r="2908" spans="153:170" x14ac:dyDescent="0.35">
      <c r="EW2908" s="48"/>
      <c r="FB2908" s="5"/>
      <c r="FI2908" s="5"/>
      <c r="FJ2908" s="164"/>
      <c r="FL2908" s="2"/>
      <c r="FN2908" s="2"/>
    </row>
    <row r="2909" spans="153:170" x14ac:dyDescent="0.35">
      <c r="EW2909" s="48"/>
      <c r="FB2909" s="5"/>
      <c r="FI2909" s="5"/>
      <c r="FJ2909" s="164"/>
      <c r="FL2909" s="2"/>
      <c r="FN2909" s="2"/>
    </row>
    <row r="2910" spans="153:170" x14ac:dyDescent="0.35">
      <c r="EW2910" s="48"/>
      <c r="FB2910" s="5"/>
      <c r="FI2910" s="5"/>
      <c r="FJ2910" s="164"/>
      <c r="FL2910" s="2"/>
      <c r="FN2910" s="2"/>
    </row>
    <row r="2911" spans="153:170" x14ac:dyDescent="0.35">
      <c r="EW2911" s="48"/>
      <c r="FB2911" s="5"/>
      <c r="FI2911" s="5"/>
      <c r="FJ2911" s="164"/>
      <c r="FL2911" s="2"/>
      <c r="FN2911" s="2"/>
    </row>
    <row r="2912" spans="153:170" x14ac:dyDescent="0.35">
      <c r="EW2912" s="48"/>
      <c r="FB2912" s="5"/>
      <c r="FI2912" s="5"/>
      <c r="FJ2912" s="164"/>
      <c r="FL2912" s="2"/>
      <c r="FN2912" s="2"/>
    </row>
    <row r="2913" spans="153:170" x14ac:dyDescent="0.35">
      <c r="EW2913" s="48"/>
      <c r="FB2913" s="5"/>
      <c r="FI2913" s="5"/>
      <c r="FJ2913" s="164"/>
      <c r="FL2913" s="2"/>
      <c r="FN2913" s="2"/>
    </row>
    <row r="2914" spans="153:170" x14ac:dyDescent="0.35">
      <c r="EW2914" s="48"/>
      <c r="FB2914" s="5"/>
      <c r="FI2914" s="5"/>
      <c r="FJ2914" s="164"/>
      <c r="FL2914" s="2"/>
      <c r="FN2914" s="2"/>
    </row>
    <row r="2915" spans="153:170" x14ac:dyDescent="0.35">
      <c r="EW2915" s="48"/>
      <c r="FB2915" s="5"/>
      <c r="FI2915" s="5"/>
      <c r="FJ2915" s="164"/>
      <c r="FL2915" s="2"/>
      <c r="FN2915" s="2"/>
    </row>
    <row r="2916" spans="153:170" x14ac:dyDescent="0.35">
      <c r="EW2916" s="48"/>
      <c r="FB2916" s="5"/>
      <c r="FI2916" s="5"/>
      <c r="FJ2916" s="164"/>
      <c r="FL2916" s="2"/>
      <c r="FN2916" s="2"/>
    </row>
    <row r="2917" spans="153:170" x14ac:dyDescent="0.35">
      <c r="EW2917" s="48"/>
      <c r="FB2917" s="5"/>
      <c r="FI2917" s="5"/>
      <c r="FJ2917" s="164"/>
      <c r="FL2917" s="2"/>
      <c r="FN2917" s="2"/>
    </row>
    <row r="2918" spans="153:170" x14ac:dyDescent="0.35">
      <c r="EW2918" s="48"/>
      <c r="FB2918" s="5"/>
      <c r="FI2918" s="5"/>
      <c r="FJ2918" s="164"/>
      <c r="FL2918" s="2"/>
      <c r="FN2918" s="2"/>
    </row>
    <row r="2919" spans="153:170" x14ac:dyDescent="0.35">
      <c r="EW2919" s="48"/>
      <c r="FB2919" s="5"/>
      <c r="FI2919" s="5"/>
      <c r="FJ2919" s="164"/>
      <c r="FL2919" s="2"/>
      <c r="FN2919" s="2"/>
    </row>
    <row r="2920" spans="153:170" x14ac:dyDescent="0.35">
      <c r="EW2920" s="48"/>
      <c r="FB2920" s="5"/>
      <c r="FI2920" s="5"/>
      <c r="FJ2920" s="164"/>
      <c r="FL2920" s="2"/>
      <c r="FN2920" s="2"/>
    </row>
    <row r="2921" spans="153:170" x14ac:dyDescent="0.35">
      <c r="EW2921" s="48"/>
      <c r="FB2921" s="5"/>
      <c r="FI2921" s="5"/>
      <c r="FJ2921" s="164"/>
      <c r="FL2921" s="2"/>
      <c r="FN2921" s="2"/>
    </row>
    <row r="2922" spans="153:170" x14ac:dyDescent="0.35">
      <c r="EW2922" s="48"/>
      <c r="FB2922" s="5"/>
      <c r="FI2922" s="5"/>
      <c r="FJ2922" s="164"/>
      <c r="FL2922" s="2"/>
      <c r="FN2922" s="2"/>
    </row>
    <row r="2923" spans="153:170" x14ac:dyDescent="0.35">
      <c r="EW2923" s="48"/>
      <c r="FB2923" s="5"/>
      <c r="FI2923" s="5"/>
      <c r="FJ2923" s="164"/>
      <c r="FL2923" s="2"/>
      <c r="FN2923" s="2"/>
    </row>
    <row r="2924" spans="153:170" x14ac:dyDescent="0.35">
      <c r="EW2924" s="48"/>
      <c r="FB2924" s="5"/>
      <c r="FI2924" s="5"/>
      <c r="FJ2924" s="164"/>
      <c r="FL2924" s="2"/>
      <c r="FN2924" s="2"/>
    </row>
    <row r="2925" spans="153:170" x14ac:dyDescent="0.35">
      <c r="EW2925" s="48"/>
      <c r="FB2925" s="5"/>
      <c r="FI2925" s="5"/>
      <c r="FJ2925" s="164"/>
      <c r="FL2925" s="2"/>
      <c r="FN2925" s="2"/>
    </row>
    <row r="2926" spans="153:170" x14ac:dyDescent="0.35">
      <c r="EW2926" s="48"/>
      <c r="FB2926" s="5"/>
      <c r="FI2926" s="5"/>
      <c r="FJ2926" s="164"/>
      <c r="FL2926" s="2"/>
      <c r="FN2926" s="2"/>
    </row>
    <row r="2927" spans="153:170" x14ac:dyDescent="0.35">
      <c r="EW2927" s="48"/>
      <c r="FB2927" s="5"/>
      <c r="FI2927" s="5"/>
      <c r="FJ2927" s="164"/>
      <c r="FL2927" s="2"/>
      <c r="FN2927" s="2"/>
    </row>
    <row r="2928" spans="153:170" x14ac:dyDescent="0.35">
      <c r="EW2928" s="48"/>
      <c r="FB2928" s="5"/>
      <c r="FI2928" s="5"/>
      <c r="FJ2928" s="164"/>
      <c r="FL2928" s="2"/>
      <c r="FN2928" s="2"/>
    </row>
    <row r="2929" spans="153:170" x14ac:dyDescent="0.35">
      <c r="EW2929" s="48"/>
      <c r="FB2929" s="5"/>
      <c r="FI2929" s="5"/>
      <c r="FJ2929" s="164"/>
      <c r="FL2929" s="2"/>
      <c r="FN2929" s="2"/>
    </row>
    <row r="2930" spans="153:170" x14ac:dyDescent="0.35">
      <c r="EW2930" s="48"/>
      <c r="FB2930" s="5"/>
      <c r="FI2930" s="5"/>
      <c r="FJ2930" s="164"/>
      <c r="FL2930" s="2"/>
      <c r="FN2930" s="2"/>
    </row>
    <row r="2931" spans="153:170" x14ac:dyDescent="0.35">
      <c r="EW2931" s="48"/>
      <c r="FB2931" s="5"/>
      <c r="FI2931" s="5"/>
      <c r="FJ2931" s="164"/>
      <c r="FL2931" s="2"/>
      <c r="FN2931" s="2"/>
    </row>
    <row r="2932" spans="153:170" x14ac:dyDescent="0.35">
      <c r="EW2932" s="48"/>
      <c r="FB2932" s="5"/>
      <c r="FI2932" s="5"/>
      <c r="FJ2932" s="164"/>
      <c r="FL2932" s="2"/>
      <c r="FN2932" s="2"/>
    </row>
    <row r="2933" spans="153:170" x14ac:dyDescent="0.35">
      <c r="EW2933" s="48"/>
      <c r="FB2933" s="5"/>
      <c r="FI2933" s="5"/>
      <c r="FJ2933" s="164"/>
      <c r="FL2933" s="2"/>
      <c r="FN2933" s="2"/>
    </row>
    <row r="2934" spans="153:170" x14ac:dyDescent="0.35">
      <c r="EW2934" s="48"/>
      <c r="FB2934" s="5"/>
      <c r="FI2934" s="5"/>
      <c r="FJ2934" s="164"/>
      <c r="FL2934" s="2"/>
      <c r="FN2934" s="2"/>
    </row>
    <row r="2935" spans="153:170" x14ac:dyDescent="0.35">
      <c r="EW2935" s="48"/>
      <c r="FB2935" s="5"/>
      <c r="FI2935" s="5"/>
      <c r="FJ2935" s="164"/>
      <c r="FL2935" s="2"/>
      <c r="FN2935" s="2"/>
    </row>
    <row r="2936" spans="153:170" x14ac:dyDescent="0.35">
      <c r="EW2936" s="48"/>
      <c r="FB2936" s="5"/>
      <c r="FI2936" s="5"/>
      <c r="FJ2936" s="164"/>
      <c r="FL2936" s="2"/>
      <c r="FN2936" s="2"/>
    </row>
    <row r="2937" spans="153:170" x14ac:dyDescent="0.35">
      <c r="EW2937" s="48"/>
      <c r="FB2937" s="5"/>
      <c r="FI2937" s="5"/>
      <c r="FJ2937" s="164"/>
      <c r="FL2937" s="2"/>
      <c r="FN2937" s="2"/>
    </row>
    <row r="2938" spans="153:170" x14ac:dyDescent="0.35">
      <c r="EW2938" s="48"/>
      <c r="FB2938" s="5"/>
      <c r="FI2938" s="5"/>
      <c r="FJ2938" s="164"/>
      <c r="FL2938" s="2"/>
      <c r="FN2938" s="2"/>
    </row>
    <row r="2939" spans="153:170" x14ac:dyDescent="0.35">
      <c r="EW2939" s="48"/>
      <c r="FB2939" s="5"/>
      <c r="FI2939" s="5"/>
      <c r="FJ2939" s="164"/>
      <c r="FL2939" s="2"/>
      <c r="FN2939" s="2"/>
    </row>
    <row r="2940" spans="153:170" x14ac:dyDescent="0.35">
      <c r="EW2940" s="48"/>
      <c r="FB2940" s="5"/>
      <c r="FI2940" s="5"/>
      <c r="FJ2940" s="164"/>
      <c r="FL2940" s="2"/>
      <c r="FN2940" s="2"/>
    </row>
    <row r="2941" spans="153:170" x14ac:dyDescent="0.35">
      <c r="EW2941" s="48"/>
      <c r="FB2941" s="5"/>
      <c r="FI2941" s="5"/>
      <c r="FJ2941" s="164"/>
      <c r="FL2941" s="2"/>
      <c r="FN2941" s="2"/>
    </row>
    <row r="2942" spans="153:170" x14ac:dyDescent="0.35">
      <c r="EW2942" s="48"/>
      <c r="FB2942" s="5"/>
      <c r="FI2942" s="5"/>
      <c r="FJ2942" s="164"/>
      <c r="FL2942" s="2"/>
      <c r="FN2942" s="2"/>
    </row>
    <row r="2943" spans="153:170" x14ac:dyDescent="0.35">
      <c r="EW2943" s="48"/>
      <c r="FB2943" s="5"/>
      <c r="FI2943" s="5"/>
      <c r="FJ2943" s="164"/>
      <c r="FL2943" s="2"/>
      <c r="FN2943" s="2"/>
    </row>
    <row r="2944" spans="153:170" x14ac:dyDescent="0.35">
      <c r="EW2944" s="48"/>
      <c r="FB2944" s="5"/>
      <c r="FI2944" s="5"/>
      <c r="FJ2944" s="164"/>
      <c r="FL2944" s="2"/>
      <c r="FN2944" s="2"/>
    </row>
    <row r="2945" spans="153:170" x14ac:dyDescent="0.35">
      <c r="EW2945" s="48"/>
      <c r="FB2945" s="5"/>
      <c r="FI2945" s="5"/>
      <c r="FJ2945" s="164"/>
      <c r="FL2945" s="2"/>
      <c r="FN2945" s="2"/>
    </row>
    <row r="2946" spans="153:170" x14ac:dyDescent="0.35">
      <c r="EW2946" s="48"/>
      <c r="FB2946" s="5"/>
      <c r="FI2946" s="5"/>
      <c r="FJ2946" s="164"/>
      <c r="FL2946" s="2"/>
      <c r="FN2946" s="2"/>
    </row>
    <row r="2947" spans="153:170" x14ac:dyDescent="0.35">
      <c r="EW2947" s="48"/>
      <c r="FB2947" s="5"/>
      <c r="FI2947" s="5"/>
      <c r="FJ2947" s="164"/>
      <c r="FL2947" s="2"/>
      <c r="FN2947" s="2"/>
    </row>
    <row r="2948" spans="153:170" x14ac:dyDescent="0.35">
      <c r="EW2948" s="48"/>
      <c r="FB2948" s="5"/>
      <c r="FI2948" s="5"/>
      <c r="FJ2948" s="164"/>
      <c r="FL2948" s="2"/>
      <c r="FN2948" s="2"/>
    </row>
    <row r="2949" spans="153:170" x14ac:dyDescent="0.35">
      <c r="EW2949" s="48"/>
      <c r="FB2949" s="5"/>
      <c r="FI2949" s="5"/>
      <c r="FJ2949" s="164"/>
      <c r="FL2949" s="2"/>
      <c r="FN2949" s="2"/>
    </row>
    <row r="2950" spans="153:170" x14ac:dyDescent="0.35">
      <c r="EW2950" s="48"/>
      <c r="FB2950" s="5"/>
      <c r="FI2950" s="5"/>
      <c r="FJ2950" s="164"/>
      <c r="FL2950" s="2"/>
      <c r="FN2950" s="2"/>
    </row>
    <row r="2951" spans="153:170" x14ac:dyDescent="0.35">
      <c r="EW2951" s="48"/>
      <c r="FB2951" s="5"/>
      <c r="FI2951" s="5"/>
      <c r="FJ2951" s="164"/>
      <c r="FL2951" s="2"/>
      <c r="FN2951" s="2"/>
    </row>
    <row r="2952" spans="153:170" x14ac:dyDescent="0.35">
      <c r="EW2952" s="48"/>
      <c r="FB2952" s="5"/>
      <c r="FI2952" s="5"/>
      <c r="FJ2952" s="164"/>
      <c r="FL2952" s="2"/>
      <c r="FN2952" s="2"/>
    </row>
    <row r="2953" spans="153:170" x14ac:dyDescent="0.35">
      <c r="EW2953" s="48"/>
      <c r="FB2953" s="5"/>
      <c r="FI2953" s="5"/>
      <c r="FJ2953" s="164"/>
      <c r="FL2953" s="2"/>
      <c r="FN2953" s="2"/>
    </row>
    <row r="2954" spans="153:170" x14ac:dyDescent="0.35">
      <c r="EW2954" s="48"/>
      <c r="FB2954" s="5"/>
      <c r="FI2954" s="5"/>
      <c r="FJ2954" s="164"/>
      <c r="FL2954" s="2"/>
      <c r="FN2954" s="2"/>
    </row>
    <row r="2955" spans="153:170" x14ac:dyDescent="0.35">
      <c r="EW2955" s="48"/>
      <c r="FB2955" s="5"/>
      <c r="FI2955" s="5"/>
      <c r="FJ2955" s="164"/>
      <c r="FL2955" s="2"/>
      <c r="FN2955" s="2"/>
    </row>
    <row r="2956" spans="153:170" x14ac:dyDescent="0.35">
      <c r="EW2956" s="48"/>
      <c r="FB2956" s="5"/>
      <c r="FI2956" s="5"/>
      <c r="FJ2956" s="164"/>
      <c r="FL2956" s="2"/>
      <c r="FN2956" s="2"/>
    </row>
    <row r="2957" spans="153:170" x14ac:dyDescent="0.35">
      <c r="EW2957" s="48"/>
      <c r="FB2957" s="5"/>
      <c r="FI2957" s="5"/>
      <c r="FJ2957" s="164"/>
      <c r="FL2957" s="2"/>
      <c r="FN2957" s="2"/>
    </row>
    <row r="2958" spans="153:170" x14ac:dyDescent="0.35">
      <c r="EW2958" s="48"/>
      <c r="FB2958" s="5"/>
      <c r="FI2958" s="5"/>
      <c r="FJ2958" s="164"/>
      <c r="FL2958" s="2"/>
      <c r="FN2958" s="2"/>
    </row>
    <row r="2959" spans="153:170" x14ac:dyDescent="0.35">
      <c r="EW2959" s="48"/>
      <c r="FB2959" s="5"/>
      <c r="FI2959" s="5"/>
      <c r="FJ2959" s="164"/>
      <c r="FL2959" s="2"/>
      <c r="FN2959" s="2"/>
    </row>
    <row r="2960" spans="153:170" x14ac:dyDescent="0.35">
      <c r="EW2960" s="48"/>
      <c r="FB2960" s="5"/>
      <c r="FI2960" s="5"/>
      <c r="FJ2960" s="164"/>
      <c r="FL2960" s="2"/>
      <c r="FN2960" s="2"/>
    </row>
    <row r="2961" spans="153:170" x14ac:dyDescent="0.35">
      <c r="EW2961" s="48"/>
      <c r="FB2961" s="5"/>
      <c r="FI2961" s="5"/>
      <c r="FJ2961" s="164"/>
      <c r="FL2961" s="2"/>
      <c r="FN2961" s="2"/>
    </row>
    <row r="2962" spans="153:170" x14ac:dyDescent="0.35">
      <c r="EW2962" s="48"/>
      <c r="FB2962" s="5"/>
      <c r="FI2962" s="5"/>
      <c r="FJ2962" s="164"/>
      <c r="FL2962" s="2"/>
      <c r="FN2962" s="2"/>
    </row>
    <row r="2963" spans="153:170" x14ac:dyDescent="0.35">
      <c r="EW2963" s="48"/>
      <c r="FB2963" s="5"/>
      <c r="FI2963" s="5"/>
      <c r="FJ2963" s="164"/>
      <c r="FL2963" s="2"/>
      <c r="FN2963" s="2"/>
    </row>
    <row r="2964" spans="153:170" x14ac:dyDescent="0.35">
      <c r="EW2964" s="48"/>
      <c r="FB2964" s="5"/>
      <c r="FI2964" s="5"/>
      <c r="FJ2964" s="164"/>
      <c r="FL2964" s="2"/>
      <c r="FN2964" s="2"/>
    </row>
    <row r="2965" spans="153:170" x14ac:dyDescent="0.35">
      <c r="EW2965" s="48"/>
      <c r="FB2965" s="5"/>
      <c r="FI2965" s="5"/>
      <c r="FJ2965" s="164"/>
      <c r="FL2965" s="2"/>
      <c r="FN2965" s="2"/>
    </row>
    <row r="2966" spans="153:170" x14ac:dyDescent="0.35">
      <c r="EW2966" s="48"/>
      <c r="FB2966" s="5"/>
      <c r="FI2966" s="5"/>
      <c r="FJ2966" s="164"/>
      <c r="FL2966" s="2"/>
      <c r="FN2966" s="2"/>
    </row>
    <row r="2967" spans="153:170" x14ac:dyDescent="0.35">
      <c r="EW2967" s="48"/>
      <c r="FB2967" s="5"/>
      <c r="FI2967" s="5"/>
      <c r="FJ2967" s="164"/>
      <c r="FL2967" s="2"/>
      <c r="FN2967" s="2"/>
    </row>
    <row r="2968" spans="153:170" x14ac:dyDescent="0.35">
      <c r="EW2968" s="48"/>
      <c r="FB2968" s="5"/>
      <c r="FI2968" s="5"/>
      <c r="FJ2968" s="164"/>
      <c r="FL2968" s="2"/>
      <c r="FN2968" s="2"/>
    </row>
    <row r="2969" spans="153:170" x14ac:dyDescent="0.35">
      <c r="EW2969" s="48"/>
      <c r="FB2969" s="5"/>
      <c r="FI2969" s="5"/>
      <c r="FJ2969" s="164"/>
      <c r="FL2969" s="2"/>
      <c r="FN2969" s="2"/>
    </row>
    <row r="2970" spans="153:170" x14ac:dyDescent="0.35">
      <c r="EW2970" s="48"/>
      <c r="FB2970" s="5"/>
      <c r="FI2970" s="5"/>
      <c r="FJ2970" s="164"/>
      <c r="FL2970" s="2"/>
      <c r="FN2970" s="2"/>
    </row>
    <row r="2971" spans="153:170" x14ac:dyDescent="0.35">
      <c r="EW2971" s="48"/>
      <c r="FB2971" s="5"/>
      <c r="FI2971" s="5"/>
      <c r="FJ2971" s="164"/>
      <c r="FL2971" s="2"/>
      <c r="FN2971" s="2"/>
    </row>
    <row r="2972" spans="153:170" x14ac:dyDescent="0.35">
      <c r="EW2972" s="48"/>
      <c r="FB2972" s="5"/>
      <c r="FI2972" s="5"/>
      <c r="FJ2972" s="164"/>
      <c r="FL2972" s="2"/>
      <c r="FN2972" s="2"/>
    </row>
    <row r="2973" spans="153:170" x14ac:dyDescent="0.35">
      <c r="EW2973" s="48"/>
      <c r="FB2973" s="5"/>
      <c r="FI2973" s="5"/>
      <c r="FJ2973" s="164"/>
      <c r="FL2973" s="2"/>
      <c r="FN2973" s="2"/>
    </row>
    <row r="2974" spans="153:170" x14ac:dyDescent="0.35">
      <c r="EW2974" s="48"/>
      <c r="FB2974" s="5"/>
      <c r="FI2974" s="5"/>
      <c r="FJ2974" s="164"/>
      <c r="FL2974" s="2"/>
      <c r="FN2974" s="2"/>
    </row>
    <row r="2975" spans="153:170" x14ac:dyDescent="0.35">
      <c r="EW2975" s="48"/>
      <c r="FB2975" s="5"/>
      <c r="FI2975" s="5"/>
      <c r="FJ2975" s="164"/>
      <c r="FL2975" s="2"/>
      <c r="FN2975" s="2"/>
    </row>
    <row r="2976" spans="153:170" x14ac:dyDescent="0.35">
      <c r="EW2976" s="48"/>
      <c r="FB2976" s="5"/>
      <c r="FI2976" s="5"/>
      <c r="FJ2976" s="164"/>
      <c r="FL2976" s="2"/>
      <c r="FN2976" s="2"/>
    </row>
    <row r="2977" spans="153:170" x14ac:dyDescent="0.35">
      <c r="EW2977" s="48"/>
      <c r="FB2977" s="5"/>
      <c r="FI2977" s="5"/>
      <c r="FJ2977" s="164"/>
      <c r="FL2977" s="2"/>
      <c r="FN2977" s="2"/>
    </row>
    <row r="2978" spans="153:170" x14ac:dyDescent="0.35">
      <c r="EW2978" s="48"/>
      <c r="FB2978" s="5"/>
      <c r="FI2978" s="5"/>
      <c r="FJ2978" s="164"/>
      <c r="FL2978" s="2"/>
      <c r="FN2978" s="2"/>
    </row>
    <row r="2979" spans="153:170" x14ac:dyDescent="0.35">
      <c r="EW2979" s="48"/>
      <c r="FB2979" s="5"/>
      <c r="FI2979" s="5"/>
      <c r="FJ2979" s="164"/>
      <c r="FL2979" s="2"/>
      <c r="FN2979" s="2"/>
    </row>
    <row r="2980" spans="153:170" x14ac:dyDescent="0.35">
      <c r="EW2980" s="48"/>
      <c r="FB2980" s="5"/>
      <c r="FI2980" s="5"/>
      <c r="FJ2980" s="164"/>
      <c r="FL2980" s="2"/>
      <c r="FN2980" s="2"/>
    </row>
    <row r="2981" spans="153:170" x14ac:dyDescent="0.35">
      <c r="EW2981" s="48"/>
      <c r="FB2981" s="5"/>
      <c r="FI2981" s="5"/>
      <c r="FJ2981" s="164"/>
      <c r="FL2981" s="2"/>
      <c r="FN2981" s="2"/>
    </row>
    <row r="2982" spans="153:170" x14ac:dyDescent="0.35">
      <c r="EW2982" s="48"/>
      <c r="FB2982" s="5"/>
      <c r="FI2982" s="5"/>
      <c r="FJ2982" s="164"/>
      <c r="FL2982" s="2"/>
      <c r="FN2982" s="2"/>
    </row>
    <row r="2983" spans="153:170" x14ac:dyDescent="0.35">
      <c r="EW2983" s="48"/>
      <c r="FB2983" s="5"/>
      <c r="FI2983" s="5"/>
      <c r="FJ2983" s="164"/>
      <c r="FL2983" s="2"/>
      <c r="FN2983" s="2"/>
    </row>
    <row r="2984" spans="153:170" x14ac:dyDescent="0.35">
      <c r="EW2984" s="48"/>
      <c r="FB2984" s="5"/>
      <c r="FI2984" s="5"/>
      <c r="FJ2984" s="164"/>
      <c r="FL2984" s="2"/>
      <c r="FN2984" s="2"/>
    </row>
    <row r="2985" spans="153:170" x14ac:dyDescent="0.35">
      <c r="EW2985" s="48"/>
      <c r="FB2985" s="5"/>
      <c r="FI2985" s="5"/>
      <c r="FJ2985" s="164"/>
      <c r="FL2985" s="2"/>
      <c r="FN2985" s="2"/>
    </row>
    <row r="2986" spans="153:170" x14ac:dyDescent="0.35">
      <c r="EW2986" s="48"/>
      <c r="FB2986" s="5"/>
      <c r="FI2986" s="5"/>
      <c r="FJ2986" s="164"/>
      <c r="FL2986" s="2"/>
      <c r="FN2986" s="2"/>
    </row>
    <row r="2987" spans="153:170" x14ac:dyDescent="0.35">
      <c r="EW2987" s="48"/>
      <c r="FB2987" s="5"/>
      <c r="FI2987" s="5"/>
      <c r="FJ2987" s="164"/>
      <c r="FL2987" s="2"/>
      <c r="FN2987" s="2"/>
    </row>
    <row r="2988" spans="153:170" x14ac:dyDescent="0.35">
      <c r="EW2988" s="48"/>
      <c r="FB2988" s="5"/>
      <c r="FI2988" s="5"/>
      <c r="FJ2988" s="164"/>
      <c r="FL2988" s="2"/>
      <c r="FN2988" s="2"/>
    </row>
    <row r="2989" spans="153:170" x14ac:dyDescent="0.35">
      <c r="EW2989" s="48"/>
      <c r="FB2989" s="5"/>
      <c r="FI2989" s="5"/>
      <c r="FJ2989" s="164"/>
      <c r="FL2989" s="2"/>
      <c r="FN2989" s="2"/>
    </row>
    <row r="2990" spans="153:170" x14ac:dyDescent="0.35">
      <c r="EW2990" s="48"/>
      <c r="FB2990" s="5"/>
      <c r="FI2990" s="5"/>
      <c r="FJ2990" s="164"/>
      <c r="FL2990" s="2"/>
      <c r="FN2990" s="2"/>
    </row>
    <row r="2991" spans="153:170" x14ac:dyDescent="0.35">
      <c r="EW2991" s="48"/>
      <c r="FB2991" s="5"/>
      <c r="FI2991" s="5"/>
      <c r="FJ2991" s="164"/>
      <c r="FL2991" s="2"/>
      <c r="FN2991" s="2"/>
    </row>
    <row r="2992" spans="153:170" x14ac:dyDescent="0.35">
      <c r="EW2992" s="48"/>
      <c r="FB2992" s="5"/>
      <c r="FI2992" s="5"/>
      <c r="FJ2992" s="164"/>
      <c r="FL2992" s="2"/>
      <c r="FN2992" s="2"/>
    </row>
    <row r="2993" spans="153:170" x14ac:dyDescent="0.35">
      <c r="EW2993" s="48"/>
      <c r="FB2993" s="5"/>
      <c r="FI2993" s="5"/>
      <c r="FJ2993" s="164"/>
      <c r="FL2993" s="2"/>
      <c r="FN2993" s="2"/>
    </row>
    <row r="2994" spans="153:170" x14ac:dyDescent="0.35">
      <c r="EW2994" s="48"/>
      <c r="FB2994" s="5"/>
      <c r="FI2994" s="5"/>
      <c r="FJ2994" s="164"/>
      <c r="FL2994" s="2"/>
      <c r="FN2994" s="2"/>
    </row>
    <row r="2995" spans="153:170" x14ac:dyDescent="0.35">
      <c r="EW2995" s="48"/>
      <c r="FB2995" s="5"/>
      <c r="FI2995" s="5"/>
      <c r="FJ2995" s="164"/>
      <c r="FL2995" s="2"/>
      <c r="FN2995" s="2"/>
    </row>
    <row r="2996" spans="153:170" x14ac:dyDescent="0.35">
      <c r="EW2996" s="48"/>
      <c r="FB2996" s="5"/>
      <c r="FI2996" s="5"/>
      <c r="FJ2996" s="164"/>
      <c r="FL2996" s="2"/>
      <c r="FN2996" s="2"/>
    </row>
    <row r="2997" spans="153:170" x14ac:dyDescent="0.35">
      <c r="EW2997" s="48"/>
      <c r="FB2997" s="5"/>
      <c r="FI2997" s="5"/>
      <c r="FJ2997" s="164"/>
      <c r="FL2997" s="2"/>
      <c r="FN2997" s="2"/>
    </row>
    <row r="2998" spans="153:170" x14ac:dyDescent="0.35">
      <c r="EW2998" s="48"/>
      <c r="FB2998" s="5"/>
      <c r="FI2998" s="5"/>
      <c r="FJ2998" s="164"/>
      <c r="FL2998" s="2"/>
      <c r="FN2998" s="2"/>
    </row>
    <row r="2999" spans="153:170" x14ac:dyDescent="0.35">
      <c r="EW2999" s="48"/>
      <c r="FB2999" s="5"/>
      <c r="FI2999" s="5"/>
      <c r="FJ2999" s="164"/>
      <c r="FL2999" s="2"/>
      <c r="FN2999" s="2"/>
    </row>
    <row r="3000" spans="153:170" x14ac:dyDescent="0.35">
      <c r="EW3000" s="48"/>
      <c r="FB3000" s="5"/>
      <c r="FI3000" s="5"/>
      <c r="FJ3000" s="164"/>
      <c r="FL3000" s="2"/>
      <c r="FN3000" s="2"/>
    </row>
    <row r="3001" spans="153:170" x14ac:dyDescent="0.35">
      <c r="EW3001" s="48"/>
      <c r="FB3001" s="5"/>
      <c r="FI3001" s="5"/>
      <c r="FJ3001" s="164"/>
      <c r="FL3001" s="2"/>
      <c r="FN3001" s="2"/>
    </row>
    <row r="3002" spans="153:170" x14ac:dyDescent="0.35">
      <c r="EW3002" s="48"/>
      <c r="FB3002" s="5"/>
      <c r="FI3002" s="5"/>
      <c r="FJ3002" s="164"/>
      <c r="FL3002" s="2"/>
      <c r="FN3002" s="2"/>
    </row>
    <row r="3003" spans="153:170" x14ac:dyDescent="0.35">
      <c r="EW3003" s="48"/>
      <c r="FB3003" s="5"/>
      <c r="FI3003" s="5"/>
      <c r="FJ3003" s="164"/>
      <c r="FL3003" s="2"/>
      <c r="FN3003" s="2"/>
    </row>
    <row r="3004" spans="153:170" x14ac:dyDescent="0.35">
      <c r="EW3004" s="48"/>
      <c r="FB3004" s="5"/>
      <c r="FI3004" s="5"/>
      <c r="FJ3004" s="164"/>
      <c r="FL3004" s="2"/>
      <c r="FN3004" s="2"/>
    </row>
    <row r="3005" spans="153:170" x14ac:dyDescent="0.35">
      <c r="EW3005" s="48"/>
      <c r="FB3005" s="5"/>
      <c r="FI3005" s="5"/>
      <c r="FJ3005" s="164"/>
      <c r="FL3005" s="2"/>
      <c r="FN3005" s="2"/>
    </row>
    <row r="3006" spans="153:170" x14ac:dyDescent="0.35">
      <c r="EW3006" s="48"/>
      <c r="FB3006" s="5"/>
      <c r="FI3006" s="5"/>
      <c r="FJ3006" s="164"/>
      <c r="FL3006" s="2"/>
      <c r="FN3006" s="2"/>
    </row>
    <row r="3007" spans="153:170" x14ac:dyDescent="0.35">
      <c r="EW3007" s="48"/>
      <c r="FB3007" s="5"/>
      <c r="FI3007" s="5"/>
      <c r="FJ3007" s="164"/>
      <c r="FL3007" s="2"/>
      <c r="FN3007" s="2"/>
    </row>
    <row r="3008" spans="153:170" x14ac:dyDescent="0.35">
      <c r="EW3008" s="48"/>
      <c r="FB3008" s="5"/>
      <c r="FI3008" s="5"/>
      <c r="FJ3008" s="164"/>
      <c r="FL3008" s="2"/>
      <c r="FN3008" s="2"/>
    </row>
    <row r="3009" spans="153:170" x14ac:dyDescent="0.35">
      <c r="EW3009" s="48"/>
      <c r="FB3009" s="5"/>
      <c r="FI3009" s="5"/>
      <c r="FJ3009" s="164"/>
      <c r="FL3009" s="2"/>
      <c r="FN3009" s="2"/>
    </row>
    <row r="3010" spans="153:170" x14ac:dyDescent="0.35">
      <c r="EW3010" s="48"/>
      <c r="FB3010" s="5"/>
      <c r="FI3010" s="5"/>
      <c r="FJ3010" s="164"/>
      <c r="FL3010" s="2"/>
      <c r="FN3010" s="2"/>
    </row>
    <row r="3011" spans="153:170" x14ac:dyDescent="0.35">
      <c r="EW3011" s="48"/>
      <c r="FB3011" s="5"/>
      <c r="FI3011" s="5"/>
      <c r="FJ3011" s="164"/>
      <c r="FL3011" s="2"/>
      <c r="FN3011" s="2"/>
    </row>
    <row r="3012" spans="153:170" x14ac:dyDescent="0.35">
      <c r="EW3012" s="48"/>
      <c r="FB3012" s="5"/>
      <c r="FI3012" s="5"/>
      <c r="FJ3012" s="164"/>
      <c r="FL3012" s="2"/>
      <c r="FN3012" s="2"/>
    </row>
    <row r="3013" spans="153:170" x14ac:dyDescent="0.35">
      <c r="EW3013" s="48"/>
      <c r="FB3013" s="5"/>
      <c r="FI3013" s="5"/>
      <c r="FJ3013" s="164"/>
      <c r="FL3013" s="2"/>
      <c r="FN3013" s="2"/>
    </row>
    <row r="3014" spans="153:170" x14ac:dyDescent="0.35">
      <c r="EW3014" s="48"/>
      <c r="FB3014" s="5"/>
      <c r="FI3014" s="5"/>
      <c r="FJ3014" s="164"/>
      <c r="FL3014" s="2"/>
      <c r="FN3014" s="2"/>
    </row>
    <row r="3015" spans="153:170" x14ac:dyDescent="0.35">
      <c r="EW3015" s="48"/>
      <c r="FB3015" s="5"/>
      <c r="FI3015" s="5"/>
      <c r="FJ3015" s="164"/>
      <c r="FL3015" s="2"/>
      <c r="FN3015" s="2"/>
    </row>
    <row r="3016" spans="153:170" x14ac:dyDescent="0.35">
      <c r="EW3016" s="48"/>
      <c r="FB3016" s="5"/>
      <c r="FI3016" s="5"/>
      <c r="FJ3016" s="164"/>
      <c r="FL3016" s="2"/>
      <c r="FN3016" s="2"/>
    </row>
    <row r="3017" spans="153:170" x14ac:dyDescent="0.35">
      <c r="EW3017" s="48"/>
      <c r="FB3017" s="5"/>
      <c r="FI3017" s="5"/>
      <c r="FJ3017" s="164"/>
      <c r="FL3017" s="2"/>
      <c r="FN3017" s="2"/>
    </row>
    <row r="3018" spans="153:170" x14ac:dyDescent="0.35">
      <c r="EW3018" s="48"/>
      <c r="FB3018" s="5"/>
      <c r="FI3018" s="5"/>
      <c r="FJ3018" s="164"/>
      <c r="FL3018" s="2"/>
      <c r="FN3018" s="2"/>
    </row>
    <row r="3019" spans="153:170" x14ac:dyDescent="0.35">
      <c r="EW3019" s="48"/>
      <c r="FB3019" s="5"/>
      <c r="FI3019" s="5"/>
      <c r="FJ3019" s="164"/>
      <c r="FL3019" s="2"/>
      <c r="FN3019" s="2"/>
    </row>
    <row r="3020" spans="153:170" x14ac:dyDescent="0.35">
      <c r="EW3020" s="48"/>
      <c r="FB3020" s="5"/>
      <c r="FI3020" s="5"/>
      <c r="FJ3020" s="164"/>
      <c r="FL3020" s="2"/>
      <c r="FN3020" s="2"/>
    </row>
    <row r="3021" spans="153:170" x14ac:dyDescent="0.35">
      <c r="EW3021" s="48"/>
      <c r="FB3021" s="5"/>
      <c r="FI3021" s="5"/>
      <c r="FJ3021" s="164"/>
      <c r="FL3021" s="2"/>
      <c r="FN3021" s="2"/>
    </row>
    <row r="3022" spans="153:170" x14ac:dyDescent="0.35">
      <c r="EW3022" s="48"/>
      <c r="FB3022" s="5"/>
      <c r="FI3022" s="5"/>
      <c r="FJ3022" s="164"/>
      <c r="FL3022" s="2"/>
      <c r="FN3022" s="2"/>
    </row>
    <row r="3023" spans="153:170" x14ac:dyDescent="0.35">
      <c r="EW3023" s="48"/>
      <c r="FB3023" s="5"/>
      <c r="FI3023" s="5"/>
      <c r="FJ3023" s="164"/>
      <c r="FL3023" s="2"/>
      <c r="FN3023" s="2"/>
    </row>
    <row r="3024" spans="153:170" x14ac:dyDescent="0.35">
      <c r="EW3024" s="48"/>
      <c r="FB3024" s="5"/>
      <c r="FI3024" s="5"/>
      <c r="FJ3024" s="164"/>
      <c r="FL3024" s="2"/>
      <c r="FN3024" s="2"/>
    </row>
    <row r="3025" spans="153:170" x14ac:dyDescent="0.35">
      <c r="EW3025" s="48"/>
      <c r="FB3025" s="5"/>
      <c r="FI3025" s="5"/>
      <c r="FJ3025" s="164"/>
      <c r="FL3025" s="2"/>
      <c r="FN3025" s="2"/>
    </row>
    <row r="3026" spans="153:170" x14ac:dyDescent="0.35">
      <c r="EW3026" s="48"/>
      <c r="FB3026" s="5"/>
      <c r="FI3026" s="5"/>
      <c r="FJ3026" s="164"/>
      <c r="FL3026" s="2"/>
      <c r="FN3026" s="2"/>
    </row>
    <row r="3027" spans="153:170" x14ac:dyDescent="0.35">
      <c r="EW3027" s="48"/>
      <c r="FB3027" s="5"/>
      <c r="FI3027" s="5"/>
      <c r="FJ3027" s="164"/>
      <c r="FL3027" s="2"/>
      <c r="FN3027" s="2"/>
    </row>
    <row r="3028" spans="153:170" x14ac:dyDescent="0.35">
      <c r="EW3028" s="48"/>
      <c r="FB3028" s="5"/>
      <c r="FI3028" s="5"/>
      <c r="FJ3028" s="164"/>
      <c r="FL3028" s="2"/>
      <c r="FN3028" s="2"/>
    </row>
    <row r="3029" spans="153:170" x14ac:dyDescent="0.35">
      <c r="EW3029" s="48"/>
      <c r="FB3029" s="5"/>
      <c r="FI3029" s="5"/>
      <c r="FJ3029" s="164"/>
      <c r="FL3029" s="2"/>
      <c r="FN3029" s="2"/>
    </row>
    <row r="3030" spans="153:170" x14ac:dyDescent="0.35">
      <c r="EW3030" s="48"/>
      <c r="FB3030" s="5"/>
      <c r="FI3030" s="5"/>
      <c r="FJ3030" s="164"/>
      <c r="FL3030" s="2"/>
      <c r="FN3030" s="2"/>
    </row>
    <row r="3031" spans="153:170" x14ac:dyDescent="0.35">
      <c r="EW3031" s="48"/>
      <c r="FB3031" s="5"/>
      <c r="FI3031" s="5"/>
      <c r="FJ3031" s="164"/>
      <c r="FL3031" s="2"/>
      <c r="FN3031" s="2"/>
    </row>
    <row r="3032" spans="153:170" x14ac:dyDescent="0.35">
      <c r="EW3032" s="48"/>
      <c r="FB3032" s="5"/>
      <c r="FI3032" s="5"/>
      <c r="FJ3032" s="164"/>
      <c r="FL3032" s="2"/>
      <c r="FN3032" s="2"/>
    </row>
    <row r="3033" spans="153:170" x14ac:dyDescent="0.35">
      <c r="EW3033" s="48"/>
      <c r="FB3033" s="5"/>
      <c r="FI3033" s="5"/>
      <c r="FJ3033" s="164"/>
      <c r="FL3033" s="2"/>
      <c r="FN3033" s="2"/>
    </row>
    <row r="3034" spans="153:170" x14ac:dyDescent="0.35">
      <c r="EW3034" s="48"/>
      <c r="FB3034" s="5"/>
      <c r="FI3034" s="5"/>
      <c r="FJ3034" s="164"/>
      <c r="FL3034" s="2"/>
      <c r="FN3034" s="2"/>
    </row>
    <row r="3035" spans="153:170" x14ac:dyDescent="0.35">
      <c r="EW3035" s="48"/>
      <c r="FB3035" s="5"/>
      <c r="FI3035" s="5"/>
      <c r="FJ3035" s="164"/>
      <c r="FL3035" s="2"/>
      <c r="FN3035" s="2"/>
    </row>
    <row r="3036" spans="153:170" x14ac:dyDescent="0.35">
      <c r="EW3036" s="48"/>
      <c r="FB3036" s="5"/>
      <c r="FI3036" s="5"/>
      <c r="FJ3036" s="164"/>
      <c r="FL3036" s="2"/>
      <c r="FN3036" s="2"/>
    </row>
    <row r="3037" spans="153:170" x14ac:dyDescent="0.35">
      <c r="EW3037" s="48"/>
      <c r="FB3037" s="5"/>
      <c r="FI3037" s="5"/>
      <c r="FJ3037" s="164"/>
      <c r="FL3037" s="2"/>
      <c r="FN3037" s="2"/>
    </row>
    <row r="3038" spans="153:170" x14ac:dyDescent="0.35">
      <c r="EW3038" s="48"/>
      <c r="FB3038" s="5"/>
      <c r="FI3038" s="5"/>
      <c r="FJ3038" s="164"/>
      <c r="FL3038" s="2"/>
      <c r="FN3038" s="2"/>
    </row>
    <row r="3039" spans="153:170" x14ac:dyDescent="0.35">
      <c r="EW3039" s="48"/>
      <c r="FB3039" s="5"/>
      <c r="FI3039" s="5"/>
      <c r="FJ3039" s="164"/>
      <c r="FL3039" s="2"/>
      <c r="FN3039" s="2"/>
    </row>
    <row r="3040" spans="153:170" x14ac:dyDescent="0.35">
      <c r="EW3040" s="48"/>
      <c r="FB3040" s="5"/>
      <c r="FI3040" s="5"/>
      <c r="FJ3040" s="164"/>
      <c r="FL3040" s="2"/>
      <c r="FN3040" s="2"/>
    </row>
    <row r="3041" spans="153:170" x14ac:dyDescent="0.35">
      <c r="EW3041" s="48"/>
      <c r="FB3041" s="5"/>
      <c r="FI3041" s="5"/>
      <c r="FJ3041" s="164"/>
      <c r="FL3041" s="2"/>
      <c r="FN3041" s="2"/>
    </row>
    <row r="3042" spans="153:170" x14ac:dyDescent="0.35">
      <c r="EW3042" s="48"/>
      <c r="FB3042" s="5"/>
      <c r="FI3042" s="5"/>
      <c r="FJ3042" s="164"/>
      <c r="FL3042" s="2"/>
      <c r="FN3042" s="2"/>
    </row>
    <row r="3043" spans="153:170" x14ac:dyDescent="0.35">
      <c r="EW3043" s="48"/>
      <c r="FB3043" s="5"/>
      <c r="FI3043" s="5"/>
      <c r="FJ3043" s="164"/>
      <c r="FL3043" s="2"/>
      <c r="FN3043" s="2"/>
    </row>
    <row r="3044" spans="153:170" x14ac:dyDescent="0.35">
      <c r="EW3044" s="48"/>
      <c r="FB3044" s="5"/>
      <c r="FI3044" s="5"/>
      <c r="FJ3044" s="164"/>
      <c r="FL3044" s="2"/>
      <c r="FN3044" s="2"/>
    </row>
    <row r="3045" spans="153:170" x14ac:dyDescent="0.35">
      <c r="EW3045" s="48"/>
      <c r="FB3045" s="5"/>
      <c r="FI3045" s="5"/>
      <c r="FJ3045" s="164"/>
      <c r="FL3045" s="2"/>
      <c r="FN3045" s="2"/>
    </row>
    <row r="3046" spans="153:170" x14ac:dyDescent="0.35">
      <c r="EW3046" s="48"/>
      <c r="FB3046" s="5"/>
      <c r="FI3046" s="5"/>
      <c r="FJ3046" s="164"/>
      <c r="FL3046" s="2"/>
      <c r="FN3046" s="2"/>
    </row>
    <row r="3047" spans="153:170" x14ac:dyDescent="0.35">
      <c r="EW3047" s="48"/>
      <c r="FB3047" s="5"/>
      <c r="FI3047" s="5"/>
      <c r="FJ3047" s="164"/>
      <c r="FL3047" s="2"/>
      <c r="FN3047" s="2"/>
    </row>
    <row r="3048" spans="153:170" x14ac:dyDescent="0.35">
      <c r="EW3048" s="48"/>
      <c r="FB3048" s="5"/>
      <c r="FI3048" s="5"/>
      <c r="FJ3048" s="164"/>
      <c r="FL3048" s="2"/>
      <c r="FN3048" s="2"/>
    </row>
    <row r="3049" spans="153:170" x14ac:dyDescent="0.35">
      <c r="EW3049" s="48"/>
      <c r="FB3049" s="5"/>
      <c r="FI3049" s="5"/>
      <c r="FJ3049" s="164"/>
      <c r="FL3049" s="2"/>
      <c r="FN3049" s="2"/>
    </row>
    <row r="3050" spans="153:170" x14ac:dyDescent="0.35">
      <c r="EW3050" s="48"/>
      <c r="FB3050" s="5"/>
      <c r="FI3050" s="5"/>
      <c r="FJ3050" s="164"/>
      <c r="FL3050" s="2"/>
      <c r="FN3050" s="2"/>
    </row>
    <row r="3051" spans="153:170" x14ac:dyDescent="0.35">
      <c r="EW3051" s="48"/>
      <c r="FB3051" s="5"/>
      <c r="FI3051" s="5"/>
      <c r="FJ3051" s="164"/>
      <c r="FL3051" s="2"/>
      <c r="FN3051" s="2"/>
    </row>
    <row r="3052" spans="153:170" x14ac:dyDescent="0.35">
      <c r="EW3052" s="48"/>
      <c r="FB3052" s="5"/>
      <c r="FI3052" s="5"/>
      <c r="FJ3052" s="164"/>
      <c r="FL3052" s="2"/>
      <c r="FN3052" s="2"/>
    </row>
    <row r="3053" spans="153:170" x14ac:dyDescent="0.35">
      <c r="EW3053" s="48"/>
      <c r="FB3053" s="5"/>
      <c r="FI3053" s="5"/>
      <c r="FJ3053" s="164"/>
      <c r="FL3053" s="2"/>
      <c r="FN3053" s="2"/>
    </row>
    <row r="3054" spans="153:170" x14ac:dyDescent="0.35">
      <c r="EW3054" s="48"/>
      <c r="FB3054" s="5"/>
      <c r="FI3054" s="5"/>
      <c r="FJ3054" s="164"/>
      <c r="FL3054" s="2"/>
      <c r="FN3054" s="2"/>
    </row>
    <row r="3055" spans="153:170" x14ac:dyDescent="0.35">
      <c r="EW3055" s="48"/>
      <c r="FB3055" s="5"/>
      <c r="FI3055" s="5"/>
      <c r="FJ3055" s="164"/>
      <c r="FL3055" s="2"/>
      <c r="FN3055" s="2"/>
    </row>
    <row r="3056" spans="153:170" x14ac:dyDescent="0.35">
      <c r="EW3056" s="48"/>
      <c r="FB3056" s="5"/>
      <c r="FI3056" s="5"/>
      <c r="FJ3056" s="164"/>
      <c r="FL3056" s="2"/>
      <c r="FN3056" s="2"/>
    </row>
    <row r="3057" spans="153:170" x14ac:dyDescent="0.35">
      <c r="EW3057" s="48"/>
      <c r="FB3057" s="5"/>
      <c r="FI3057" s="5"/>
      <c r="FJ3057" s="164"/>
      <c r="FL3057" s="2"/>
      <c r="FN3057" s="2"/>
    </row>
    <row r="3058" spans="153:170" x14ac:dyDescent="0.35">
      <c r="EW3058" s="48"/>
      <c r="FB3058" s="5"/>
      <c r="FI3058" s="5"/>
      <c r="FJ3058" s="164"/>
      <c r="FL3058" s="2"/>
      <c r="FN3058" s="2"/>
    </row>
    <row r="3059" spans="153:170" x14ac:dyDescent="0.35">
      <c r="EW3059" s="48"/>
      <c r="FB3059" s="5"/>
      <c r="FI3059" s="5"/>
      <c r="FJ3059" s="164"/>
      <c r="FL3059" s="2"/>
      <c r="FN3059" s="2"/>
    </row>
    <row r="3060" spans="153:170" x14ac:dyDescent="0.35">
      <c r="EW3060" s="48"/>
      <c r="FB3060" s="5"/>
      <c r="FI3060" s="5"/>
      <c r="FJ3060" s="164"/>
      <c r="FL3060" s="2"/>
      <c r="FN3060" s="2"/>
    </row>
    <row r="3061" spans="153:170" x14ac:dyDescent="0.35">
      <c r="EW3061" s="48"/>
      <c r="FB3061" s="5"/>
      <c r="FI3061" s="5"/>
      <c r="FJ3061" s="164"/>
      <c r="FL3061" s="2"/>
      <c r="FN3061" s="2"/>
    </row>
    <row r="3062" spans="153:170" x14ac:dyDescent="0.35">
      <c r="EW3062" s="48"/>
      <c r="FB3062" s="5"/>
      <c r="FI3062" s="5"/>
      <c r="FJ3062" s="164"/>
      <c r="FL3062" s="2"/>
      <c r="FN3062" s="2"/>
    </row>
    <row r="3063" spans="153:170" x14ac:dyDescent="0.35">
      <c r="EW3063" s="48"/>
      <c r="FB3063" s="5"/>
      <c r="FI3063" s="5"/>
      <c r="FJ3063" s="164"/>
      <c r="FL3063" s="2"/>
      <c r="FN3063" s="2"/>
    </row>
    <row r="3064" spans="153:170" x14ac:dyDescent="0.35">
      <c r="EW3064" s="48"/>
      <c r="FB3064" s="5"/>
      <c r="FI3064" s="5"/>
      <c r="FJ3064" s="164"/>
      <c r="FL3064" s="2"/>
      <c r="FN3064" s="2"/>
    </row>
    <row r="3065" spans="153:170" x14ac:dyDescent="0.35">
      <c r="EW3065" s="48"/>
      <c r="FB3065" s="5"/>
      <c r="FI3065" s="5"/>
      <c r="FJ3065" s="164"/>
      <c r="FL3065" s="2"/>
      <c r="FN3065" s="2"/>
    </row>
    <row r="3066" spans="153:170" x14ac:dyDescent="0.35">
      <c r="EW3066" s="48"/>
      <c r="FB3066" s="5"/>
      <c r="FI3066" s="5"/>
      <c r="FJ3066" s="164"/>
      <c r="FL3066" s="2"/>
      <c r="FN3066" s="2"/>
    </row>
    <row r="3067" spans="153:170" x14ac:dyDescent="0.35">
      <c r="EW3067" s="48"/>
      <c r="FB3067" s="5"/>
      <c r="FI3067" s="5"/>
      <c r="FJ3067" s="164"/>
      <c r="FL3067" s="2"/>
      <c r="FN3067" s="2"/>
    </row>
    <row r="3068" spans="153:170" x14ac:dyDescent="0.35">
      <c r="EW3068" s="48"/>
      <c r="FB3068" s="5"/>
      <c r="FI3068" s="5"/>
      <c r="FJ3068" s="164"/>
      <c r="FL3068" s="2"/>
      <c r="FN3068" s="2"/>
    </row>
    <row r="3069" spans="153:170" x14ac:dyDescent="0.35">
      <c r="EW3069" s="48"/>
      <c r="FB3069" s="5"/>
      <c r="FI3069" s="5"/>
      <c r="FJ3069" s="164"/>
      <c r="FL3069" s="2"/>
      <c r="FN3069" s="2"/>
    </row>
    <row r="3070" spans="153:170" x14ac:dyDescent="0.35">
      <c r="EW3070" s="48"/>
      <c r="FB3070" s="5"/>
      <c r="FI3070" s="5"/>
      <c r="FJ3070" s="164"/>
      <c r="FL3070" s="2"/>
      <c r="FN3070" s="2"/>
    </row>
    <row r="3071" spans="153:170" x14ac:dyDescent="0.35">
      <c r="EW3071" s="48"/>
      <c r="FB3071" s="5"/>
      <c r="FI3071" s="5"/>
      <c r="FJ3071" s="164"/>
      <c r="FL3071" s="2"/>
      <c r="FN3071" s="2"/>
    </row>
    <row r="3072" spans="153:170" x14ac:dyDescent="0.35">
      <c r="EW3072" s="48"/>
      <c r="FB3072" s="5"/>
      <c r="FI3072" s="5"/>
      <c r="FJ3072" s="164"/>
      <c r="FL3072" s="2"/>
      <c r="FN3072" s="2"/>
    </row>
    <row r="3073" spans="153:170" x14ac:dyDescent="0.35">
      <c r="EW3073" s="48"/>
      <c r="FB3073" s="5"/>
      <c r="FI3073" s="5"/>
      <c r="FJ3073" s="164"/>
      <c r="FL3073" s="2"/>
      <c r="FN3073" s="2"/>
    </row>
    <row r="3074" spans="153:170" x14ac:dyDescent="0.35">
      <c r="EW3074" s="48"/>
      <c r="FB3074" s="5"/>
      <c r="FI3074" s="5"/>
      <c r="FJ3074" s="164"/>
      <c r="FL3074" s="2"/>
      <c r="FN3074" s="2"/>
    </row>
    <row r="3075" spans="153:170" x14ac:dyDescent="0.35">
      <c r="EW3075" s="48"/>
      <c r="FB3075" s="5"/>
      <c r="FI3075" s="5"/>
      <c r="FJ3075" s="164"/>
      <c r="FL3075" s="2"/>
      <c r="FN3075" s="2"/>
    </row>
    <row r="3076" spans="153:170" x14ac:dyDescent="0.35">
      <c r="EW3076" s="48"/>
      <c r="FB3076" s="5"/>
      <c r="FI3076" s="5"/>
      <c r="FJ3076" s="164"/>
      <c r="FL3076" s="2"/>
      <c r="FN3076" s="2"/>
    </row>
    <row r="3077" spans="153:170" x14ac:dyDescent="0.35">
      <c r="EW3077" s="48"/>
      <c r="FB3077" s="5"/>
      <c r="FI3077" s="5"/>
      <c r="FJ3077" s="164"/>
      <c r="FL3077" s="2"/>
      <c r="FN3077" s="2"/>
    </row>
    <row r="3078" spans="153:170" x14ac:dyDescent="0.35">
      <c r="EW3078" s="48"/>
      <c r="FB3078" s="5"/>
      <c r="FI3078" s="5"/>
      <c r="FJ3078" s="164"/>
      <c r="FL3078" s="2"/>
      <c r="FN3078" s="2"/>
    </row>
    <row r="3079" spans="153:170" x14ac:dyDescent="0.35">
      <c r="EW3079" s="48"/>
      <c r="FB3079" s="5"/>
      <c r="FI3079" s="5"/>
      <c r="FJ3079" s="164"/>
      <c r="FL3079" s="2"/>
      <c r="FN3079" s="2"/>
    </row>
    <row r="3080" spans="153:170" x14ac:dyDescent="0.35">
      <c r="EW3080" s="48"/>
      <c r="FB3080" s="5"/>
      <c r="FI3080" s="5"/>
      <c r="FJ3080" s="164"/>
      <c r="FL3080" s="2"/>
      <c r="FN3080" s="2"/>
    </row>
    <row r="3081" spans="153:170" x14ac:dyDescent="0.35">
      <c r="EW3081" s="48"/>
      <c r="FB3081" s="5"/>
      <c r="FI3081" s="5"/>
      <c r="FJ3081" s="164"/>
      <c r="FL3081" s="2"/>
      <c r="FN3081" s="2"/>
    </row>
    <row r="3082" spans="153:170" x14ac:dyDescent="0.35">
      <c r="EW3082" s="48"/>
      <c r="FB3082" s="5"/>
      <c r="FI3082" s="5"/>
      <c r="FJ3082" s="164"/>
      <c r="FL3082" s="2"/>
      <c r="FN3082" s="2"/>
    </row>
    <row r="3083" spans="153:170" x14ac:dyDescent="0.35">
      <c r="EW3083" s="48"/>
      <c r="FB3083" s="5"/>
      <c r="FI3083" s="5"/>
      <c r="FJ3083" s="164"/>
      <c r="FL3083" s="2"/>
      <c r="FN3083" s="2"/>
    </row>
    <row r="3084" spans="153:170" x14ac:dyDescent="0.35">
      <c r="EW3084" s="48"/>
      <c r="FB3084" s="5"/>
      <c r="FI3084" s="5"/>
      <c r="FJ3084" s="164"/>
      <c r="FL3084" s="2"/>
      <c r="FN3084" s="2"/>
    </row>
    <row r="3085" spans="153:170" x14ac:dyDescent="0.35">
      <c r="EW3085" s="48"/>
      <c r="FB3085" s="5"/>
      <c r="FI3085" s="5"/>
      <c r="FJ3085" s="164"/>
      <c r="FL3085" s="2"/>
      <c r="FN3085" s="2"/>
    </row>
    <row r="3086" spans="153:170" x14ac:dyDescent="0.35">
      <c r="EW3086" s="48"/>
      <c r="FB3086" s="5"/>
      <c r="FI3086" s="5"/>
      <c r="FJ3086" s="164"/>
      <c r="FL3086" s="2"/>
      <c r="FN3086" s="2"/>
    </row>
    <row r="3087" spans="153:170" x14ac:dyDescent="0.35">
      <c r="EW3087" s="48"/>
      <c r="FB3087" s="5"/>
      <c r="FI3087" s="5"/>
      <c r="FJ3087" s="164"/>
      <c r="FL3087" s="2"/>
      <c r="FN3087" s="2"/>
    </row>
    <row r="3088" spans="153:170" x14ac:dyDescent="0.35">
      <c r="EW3088" s="48"/>
      <c r="FB3088" s="5"/>
      <c r="FI3088" s="5"/>
      <c r="FJ3088" s="164"/>
      <c r="FL3088" s="2"/>
      <c r="FN3088" s="2"/>
    </row>
    <row r="3089" spans="153:170" x14ac:dyDescent="0.35">
      <c r="EW3089" s="48"/>
      <c r="FB3089" s="5"/>
      <c r="FI3089" s="5"/>
      <c r="FJ3089" s="164"/>
      <c r="FL3089" s="2"/>
      <c r="FN3089" s="2"/>
    </row>
    <row r="3090" spans="153:170" x14ac:dyDescent="0.35">
      <c r="EW3090" s="48"/>
      <c r="FB3090" s="5"/>
      <c r="FI3090" s="5"/>
      <c r="FJ3090" s="164"/>
      <c r="FL3090" s="2"/>
      <c r="FN3090" s="2"/>
    </row>
    <row r="3091" spans="153:170" x14ac:dyDescent="0.35">
      <c r="EW3091" s="48"/>
      <c r="FB3091" s="5"/>
      <c r="FI3091" s="5"/>
      <c r="FJ3091" s="164"/>
      <c r="FL3091" s="2"/>
      <c r="FN3091" s="2"/>
    </row>
    <row r="3092" spans="153:170" x14ac:dyDescent="0.35">
      <c r="EW3092" s="48"/>
      <c r="FB3092" s="5"/>
      <c r="FI3092" s="5"/>
      <c r="FJ3092" s="164"/>
      <c r="FL3092" s="2"/>
      <c r="FN3092" s="2"/>
    </row>
    <row r="3093" spans="153:170" x14ac:dyDescent="0.35">
      <c r="EW3093" s="48"/>
      <c r="FB3093" s="5"/>
      <c r="FI3093" s="5"/>
      <c r="FJ3093" s="164"/>
      <c r="FL3093" s="2"/>
      <c r="FN3093" s="2"/>
    </row>
    <row r="3094" spans="153:170" x14ac:dyDescent="0.35">
      <c r="EW3094" s="48"/>
      <c r="FB3094" s="5"/>
      <c r="FI3094" s="5"/>
      <c r="FJ3094" s="164"/>
      <c r="FL3094" s="2"/>
      <c r="FN3094" s="2"/>
    </row>
    <row r="3095" spans="153:170" x14ac:dyDescent="0.35">
      <c r="EW3095" s="48"/>
      <c r="FB3095" s="5"/>
      <c r="FI3095" s="5"/>
      <c r="FJ3095" s="164"/>
      <c r="FL3095" s="2"/>
      <c r="FN3095" s="2"/>
    </row>
    <row r="3096" spans="153:170" x14ac:dyDescent="0.35">
      <c r="EW3096" s="48"/>
      <c r="FB3096" s="5"/>
      <c r="FI3096" s="5"/>
      <c r="FJ3096" s="164"/>
      <c r="FL3096" s="2"/>
      <c r="FN3096" s="2"/>
    </row>
    <row r="3097" spans="153:170" x14ac:dyDescent="0.35">
      <c r="EW3097" s="48"/>
      <c r="FB3097" s="5"/>
      <c r="FI3097" s="5"/>
      <c r="FJ3097" s="164"/>
      <c r="FL3097" s="2"/>
      <c r="FN3097" s="2"/>
    </row>
    <row r="3098" spans="153:170" x14ac:dyDescent="0.35">
      <c r="EW3098" s="48"/>
      <c r="FB3098" s="5"/>
      <c r="FI3098" s="5"/>
      <c r="FJ3098" s="164"/>
      <c r="FL3098" s="2"/>
      <c r="FN3098" s="2"/>
    </row>
    <row r="3099" spans="153:170" x14ac:dyDescent="0.35">
      <c r="EW3099" s="48"/>
      <c r="FB3099" s="5"/>
      <c r="FI3099" s="5"/>
      <c r="FJ3099" s="164"/>
      <c r="FL3099" s="2"/>
      <c r="FN3099" s="2"/>
    </row>
    <row r="3100" spans="153:170" x14ac:dyDescent="0.35">
      <c r="EW3100" s="48"/>
      <c r="FB3100" s="5"/>
      <c r="FI3100" s="5"/>
      <c r="FJ3100" s="164"/>
      <c r="FL3100" s="2"/>
      <c r="FN3100" s="2"/>
    </row>
    <row r="3101" spans="153:170" x14ac:dyDescent="0.35">
      <c r="EW3101" s="48"/>
      <c r="FB3101" s="5"/>
      <c r="FI3101" s="5"/>
      <c r="FJ3101" s="164"/>
      <c r="FL3101" s="2"/>
      <c r="FN3101" s="2"/>
    </row>
    <row r="3102" spans="153:170" x14ac:dyDescent="0.35">
      <c r="EW3102" s="48"/>
      <c r="FB3102" s="5"/>
      <c r="FI3102" s="5"/>
      <c r="FJ3102" s="164"/>
      <c r="FL3102" s="2"/>
      <c r="FN3102" s="2"/>
    </row>
    <row r="3103" spans="153:170" x14ac:dyDescent="0.35">
      <c r="EW3103" s="48"/>
      <c r="FB3103" s="5"/>
      <c r="FI3103" s="5"/>
      <c r="FJ3103" s="164"/>
      <c r="FL3103" s="2"/>
      <c r="FN3103" s="2"/>
    </row>
    <row r="3104" spans="153:170" x14ac:dyDescent="0.35">
      <c r="EW3104" s="48"/>
      <c r="FB3104" s="5"/>
      <c r="FI3104" s="5"/>
      <c r="FJ3104" s="164"/>
      <c r="FL3104" s="2"/>
      <c r="FN3104" s="2"/>
    </row>
    <row r="3105" spans="153:170" x14ac:dyDescent="0.35">
      <c r="EW3105" s="48"/>
      <c r="FB3105" s="5"/>
      <c r="FI3105" s="5"/>
      <c r="FJ3105" s="164"/>
      <c r="FL3105" s="2"/>
      <c r="FN3105" s="2"/>
    </row>
    <row r="3106" spans="153:170" x14ac:dyDescent="0.35">
      <c r="EW3106" s="48"/>
      <c r="FB3106" s="5"/>
      <c r="FI3106" s="5"/>
      <c r="FJ3106" s="164"/>
      <c r="FL3106" s="2"/>
      <c r="FN3106" s="2"/>
    </row>
    <row r="3107" spans="153:170" x14ac:dyDescent="0.35">
      <c r="EW3107" s="48"/>
      <c r="FB3107" s="5"/>
      <c r="FI3107" s="5"/>
      <c r="FJ3107" s="164"/>
      <c r="FL3107" s="2"/>
      <c r="FN3107" s="2"/>
    </row>
    <row r="3108" spans="153:170" x14ac:dyDescent="0.35">
      <c r="EW3108" s="48"/>
      <c r="FB3108" s="5"/>
      <c r="FI3108" s="5"/>
      <c r="FJ3108" s="164"/>
      <c r="FL3108" s="2"/>
      <c r="FN3108" s="2"/>
    </row>
    <row r="3109" spans="153:170" x14ac:dyDescent="0.35">
      <c r="EW3109" s="48"/>
      <c r="FB3109" s="5"/>
      <c r="FI3109" s="5"/>
      <c r="FJ3109" s="164"/>
      <c r="FL3109" s="2"/>
      <c r="FN3109" s="2"/>
    </row>
    <row r="3110" spans="153:170" x14ac:dyDescent="0.35">
      <c r="EW3110" s="48"/>
      <c r="FB3110" s="5"/>
      <c r="FI3110" s="5"/>
      <c r="FJ3110" s="164"/>
      <c r="FL3110" s="2"/>
      <c r="FN3110" s="2"/>
    </row>
    <row r="3111" spans="153:170" x14ac:dyDescent="0.35">
      <c r="EW3111" s="48"/>
      <c r="FB3111" s="5"/>
      <c r="FI3111" s="5"/>
      <c r="FJ3111" s="164"/>
      <c r="FL3111" s="2"/>
      <c r="FN3111" s="2"/>
    </row>
    <row r="3112" spans="153:170" x14ac:dyDescent="0.35">
      <c r="EW3112" s="48"/>
      <c r="FB3112" s="5"/>
      <c r="FI3112" s="5"/>
      <c r="FJ3112" s="164"/>
      <c r="FL3112" s="2"/>
      <c r="FN3112" s="2"/>
    </row>
    <row r="3113" spans="153:170" x14ac:dyDescent="0.35">
      <c r="EW3113" s="48"/>
      <c r="FB3113" s="5"/>
      <c r="FI3113" s="5"/>
      <c r="FJ3113" s="164"/>
      <c r="FL3113" s="2"/>
      <c r="FN3113" s="2"/>
    </row>
    <row r="3114" spans="153:170" x14ac:dyDescent="0.35">
      <c r="EW3114" s="48"/>
      <c r="FB3114" s="5"/>
      <c r="FI3114" s="5"/>
      <c r="FJ3114" s="164"/>
      <c r="FL3114" s="2"/>
      <c r="FN3114" s="2"/>
    </row>
    <row r="3115" spans="153:170" x14ac:dyDescent="0.35">
      <c r="EW3115" s="48"/>
      <c r="FB3115" s="5"/>
      <c r="FI3115" s="5"/>
      <c r="FJ3115" s="164"/>
      <c r="FL3115" s="2"/>
      <c r="FN3115" s="2"/>
    </row>
    <row r="3116" spans="153:170" x14ac:dyDescent="0.35">
      <c r="EW3116" s="48"/>
      <c r="FB3116" s="5"/>
      <c r="FI3116" s="5"/>
      <c r="FJ3116" s="164"/>
      <c r="FL3116" s="2"/>
      <c r="FN3116" s="2"/>
    </row>
    <row r="3117" spans="153:170" x14ac:dyDescent="0.35">
      <c r="EW3117" s="48"/>
      <c r="FB3117" s="5"/>
      <c r="FI3117" s="5"/>
      <c r="FJ3117" s="164"/>
      <c r="FL3117" s="2"/>
      <c r="FN3117" s="2"/>
    </row>
    <row r="3118" spans="153:170" x14ac:dyDescent="0.35">
      <c r="EW3118" s="48"/>
      <c r="FB3118" s="5"/>
      <c r="FI3118" s="5"/>
      <c r="FJ3118" s="164"/>
      <c r="FL3118" s="2"/>
      <c r="FN3118" s="2"/>
    </row>
    <row r="3119" spans="153:170" x14ac:dyDescent="0.35">
      <c r="EW3119" s="48"/>
      <c r="FB3119" s="5"/>
      <c r="FI3119" s="5"/>
      <c r="FJ3119" s="164"/>
      <c r="FL3119" s="2"/>
      <c r="FN3119" s="2"/>
    </row>
    <row r="3120" spans="153:170" x14ac:dyDescent="0.35">
      <c r="EW3120" s="48"/>
      <c r="FB3120" s="5"/>
      <c r="FI3120" s="5"/>
      <c r="FJ3120" s="164"/>
      <c r="FL3120" s="2"/>
      <c r="FN3120" s="2"/>
    </row>
    <row r="3121" spans="153:170" x14ac:dyDescent="0.35">
      <c r="EW3121" s="48"/>
      <c r="FB3121" s="5"/>
      <c r="FI3121" s="5"/>
      <c r="FJ3121" s="164"/>
      <c r="FL3121" s="2"/>
      <c r="FN3121" s="2"/>
    </row>
    <row r="3122" spans="153:170" x14ac:dyDescent="0.35">
      <c r="EW3122" s="48"/>
      <c r="FB3122" s="5"/>
      <c r="FI3122" s="5"/>
      <c r="FJ3122" s="164"/>
      <c r="FL3122" s="2"/>
      <c r="FN3122" s="2"/>
    </row>
    <row r="3123" spans="153:170" x14ac:dyDescent="0.35">
      <c r="EW3123" s="48"/>
      <c r="FB3123" s="5"/>
      <c r="FI3123" s="5"/>
      <c r="FJ3123" s="164"/>
      <c r="FL3123" s="2"/>
      <c r="FN3123" s="2"/>
    </row>
    <row r="3124" spans="153:170" x14ac:dyDescent="0.35">
      <c r="EW3124" s="48"/>
      <c r="FB3124" s="5"/>
      <c r="FI3124" s="5"/>
      <c r="FJ3124" s="164"/>
      <c r="FL3124" s="2"/>
      <c r="FN3124" s="2"/>
    </row>
    <row r="3125" spans="153:170" x14ac:dyDescent="0.35">
      <c r="EW3125" s="48"/>
      <c r="FB3125" s="5"/>
      <c r="FI3125" s="5"/>
      <c r="FJ3125" s="164"/>
      <c r="FL3125" s="2"/>
      <c r="FN3125" s="2"/>
    </row>
    <row r="3126" spans="153:170" x14ac:dyDescent="0.35">
      <c r="EW3126" s="48"/>
      <c r="FB3126" s="5"/>
      <c r="FI3126" s="5"/>
      <c r="FJ3126" s="164"/>
      <c r="FL3126" s="2"/>
      <c r="FN3126" s="2"/>
    </row>
    <row r="3127" spans="153:170" x14ac:dyDescent="0.35">
      <c r="EW3127" s="48"/>
      <c r="FB3127" s="5"/>
      <c r="FI3127" s="5"/>
      <c r="FJ3127" s="164"/>
      <c r="FL3127" s="2"/>
      <c r="FN3127" s="2"/>
    </row>
    <row r="3128" spans="153:170" x14ac:dyDescent="0.35">
      <c r="EW3128" s="48"/>
      <c r="FB3128" s="5"/>
      <c r="FI3128" s="5"/>
      <c r="FJ3128" s="164"/>
      <c r="FL3128" s="2"/>
      <c r="FN3128" s="2"/>
    </row>
    <row r="3129" spans="153:170" x14ac:dyDescent="0.35">
      <c r="EW3129" s="48"/>
      <c r="FB3129" s="5"/>
      <c r="FI3129" s="5"/>
      <c r="FJ3129" s="164"/>
      <c r="FL3129" s="2"/>
      <c r="FN3129" s="2"/>
    </row>
    <row r="3130" spans="153:170" x14ac:dyDescent="0.35">
      <c r="EW3130" s="48"/>
      <c r="FB3130" s="5"/>
      <c r="FI3130" s="5"/>
      <c r="FJ3130" s="164"/>
      <c r="FL3130" s="2"/>
      <c r="FN3130" s="2"/>
    </row>
    <row r="3131" spans="153:170" x14ac:dyDescent="0.35">
      <c r="EW3131" s="48"/>
      <c r="FB3131" s="5"/>
      <c r="FI3131" s="5"/>
      <c r="FJ3131" s="164"/>
      <c r="FL3131" s="2"/>
      <c r="FN3131" s="2"/>
    </row>
    <row r="3132" spans="153:170" x14ac:dyDescent="0.35">
      <c r="EW3132" s="48"/>
      <c r="FB3132" s="5"/>
      <c r="FI3132" s="5"/>
      <c r="FJ3132" s="164"/>
      <c r="FL3132" s="2"/>
      <c r="FN3132" s="2"/>
    </row>
    <row r="3133" spans="153:170" x14ac:dyDescent="0.35">
      <c r="EW3133" s="48"/>
      <c r="FB3133" s="5"/>
      <c r="FI3133" s="5"/>
      <c r="FJ3133" s="164"/>
      <c r="FL3133" s="2"/>
      <c r="FN3133" s="2"/>
    </row>
    <row r="3134" spans="153:170" x14ac:dyDescent="0.35">
      <c r="EW3134" s="48"/>
      <c r="FB3134" s="5"/>
      <c r="FI3134" s="5"/>
      <c r="FJ3134" s="164"/>
      <c r="FL3134" s="2"/>
      <c r="FN3134" s="2"/>
    </row>
    <row r="3135" spans="153:170" x14ac:dyDescent="0.35">
      <c r="EW3135" s="48"/>
      <c r="FB3135" s="5"/>
      <c r="FI3135" s="5"/>
      <c r="FJ3135" s="164"/>
      <c r="FL3135" s="2"/>
      <c r="FN3135" s="2"/>
    </row>
    <row r="3136" spans="153:170" x14ac:dyDescent="0.35">
      <c r="EW3136" s="48"/>
      <c r="FB3136" s="5"/>
      <c r="FI3136" s="5"/>
      <c r="FJ3136" s="164"/>
      <c r="FL3136" s="2"/>
      <c r="FN3136" s="2"/>
    </row>
    <row r="3137" spans="153:170" x14ac:dyDescent="0.35">
      <c r="EW3137" s="48"/>
      <c r="FB3137" s="5"/>
      <c r="FI3137" s="5"/>
      <c r="FJ3137" s="164"/>
      <c r="FL3137" s="2"/>
      <c r="FN3137" s="2"/>
    </row>
    <row r="3138" spans="153:170" x14ac:dyDescent="0.35">
      <c r="EW3138" s="48"/>
      <c r="FB3138" s="5"/>
      <c r="FI3138" s="5"/>
      <c r="FJ3138" s="164"/>
      <c r="FL3138" s="2"/>
      <c r="FN3138" s="2"/>
    </row>
    <row r="3139" spans="153:170" x14ac:dyDescent="0.35">
      <c r="EW3139" s="48"/>
      <c r="FB3139" s="5"/>
      <c r="FI3139" s="5"/>
      <c r="FJ3139" s="164"/>
      <c r="FL3139" s="2"/>
      <c r="FN3139" s="2"/>
    </row>
    <row r="3140" spans="153:170" x14ac:dyDescent="0.35">
      <c r="EW3140" s="48"/>
      <c r="FB3140" s="5"/>
      <c r="FI3140" s="5"/>
      <c r="FJ3140" s="164"/>
      <c r="FL3140" s="2"/>
      <c r="FN3140" s="2"/>
    </row>
    <row r="3141" spans="153:170" x14ac:dyDescent="0.35">
      <c r="EW3141" s="48"/>
      <c r="FB3141" s="5"/>
      <c r="FI3141" s="5"/>
      <c r="FJ3141" s="164"/>
      <c r="FL3141" s="2"/>
      <c r="FN3141" s="2"/>
    </row>
    <row r="3142" spans="153:170" x14ac:dyDescent="0.35">
      <c r="EW3142" s="48"/>
      <c r="FB3142" s="5"/>
      <c r="FI3142" s="5"/>
      <c r="FJ3142" s="164"/>
      <c r="FL3142" s="2"/>
      <c r="FN3142" s="2"/>
    </row>
    <row r="3143" spans="153:170" x14ac:dyDescent="0.35">
      <c r="EW3143" s="48"/>
      <c r="FB3143" s="5"/>
      <c r="FI3143" s="5"/>
      <c r="FJ3143" s="164"/>
      <c r="FL3143" s="2"/>
      <c r="FN3143" s="2"/>
    </row>
    <row r="3144" spans="153:170" x14ac:dyDescent="0.35">
      <c r="EW3144" s="48"/>
      <c r="FB3144" s="5"/>
      <c r="FI3144" s="5"/>
      <c r="FJ3144" s="164"/>
      <c r="FL3144" s="2"/>
      <c r="FN3144" s="2"/>
    </row>
    <row r="3145" spans="153:170" x14ac:dyDescent="0.35">
      <c r="EW3145" s="48"/>
      <c r="FB3145" s="5"/>
      <c r="FI3145" s="5"/>
      <c r="FJ3145" s="164"/>
      <c r="FL3145" s="2"/>
      <c r="FN3145" s="2"/>
    </row>
    <row r="3146" spans="153:170" x14ac:dyDescent="0.35">
      <c r="EW3146" s="48"/>
      <c r="FB3146" s="5"/>
      <c r="FI3146" s="5"/>
      <c r="FJ3146" s="164"/>
      <c r="FL3146" s="2"/>
      <c r="FN3146" s="2"/>
    </row>
    <row r="3147" spans="153:170" x14ac:dyDescent="0.35">
      <c r="EW3147" s="48"/>
      <c r="FB3147" s="5"/>
      <c r="FI3147" s="5"/>
      <c r="FJ3147" s="164"/>
      <c r="FL3147" s="2"/>
      <c r="FN3147" s="2"/>
    </row>
    <row r="3148" spans="153:170" x14ac:dyDescent="0.35">
      <c r="EW3148" s="48"/>
      <c r="FB3148" s="5"/>
      <c r="FI3148" s="5"/>
      <c r="FJ3148" s="164"/>
      <c r="FL3148" s="2"/>
      <c r="FN3148" s="2"/>
    </row>
    <row r="3149" spans="153:170" x14ac:dyDescent="0.35">
      <c r="EW3149" s="48"/>
      <c r="FB3149" s="5"/>
      <c r="FI3149" s="5"/>
      <c r="FJ3149" s="164"/>
      <c r="FL3149" s="2"/>
      <c r="FN3149" s="2"/>
    </row>
    <row r="3150" spans="153:170" x14ac:dyDescent="0.35">
      <c r="EW3150" s="48"/>
      <c r="FB3150" s="5"/>
      <c r="FI3150" s="5"/>
      <c r="FJ3150" s="164"/>
      <c r="FL3150" s="2"/>
      <c r="FN3150" s="2"/>
    </row>
    <row r="3151" spans="153:170" x14ac:dyDescent="0.35">
      <c r="EW3151" s="48"/>
      <c r="FB3151" s="5"/>
      <c r="FI3151" s="5"/>
      <c r="FJ3151" s="164"/>
      <c r="FL3151" s="2"/>
      <c r="FN3151" s="2"/>
    </row>
    <row r="3152" spans="153:170" x14ac:dyDescent="0.35">
      <c r="EW3152" s="48"/>
      <c r="FB3152" s="5"/>
      <c r="FI3152" s="5"/>
      <c r="FJ3152" s="164"/>
      <c r="FL3152" s="2"/>
      <c r="FN3152" s="2"/>
    </row>
    <row r="3153" spans="153:170" x14ac:dyDescent="0.35">
      <c r="EW3153" s="48"/>
      <c r="FB3153" s="5"/>
      <c r="FI3153" s="5"/>
      <c r="FJ3153" s="164"/>
      <c r="FL3153" s="2"/>
      <c r="FN3153" s="2"/>
    </row>
    <row r="3154" spans="153:170" x14ac:dyDescent="0.35">
      <c r="EW3154" s="48"/>
      <c r="FB3154" s="5"/>
      <c r="FI3154" s="5"/>
      <c r="FJ3154" s="164"/>
      <c r="FL3154" s="2"/>
      <c r="FN3154" s="2"/>
    </row>
    <row r="3155" spans="153:170" x14ac:dyDescent="0.35">
      <c r="EW3155" s="48"/>
      <c r="FB3155" s="5"/>
      <c r="FI3155" s="5"/>
      <c r="FJ3155" s="164"/>
      <c r="FL3155" s="2"/>
      <c r="FN3155" s="2"/>
    </row>
    <row r="3156" spans="153:170" x14ac:dyDescent="0.35">
      <c r="EW3156" s="48"/>
      <c r="FB3156" s="5"/>
      <c r="FI3156" s="5"/>
      <c r="FJ3156" s="164"/>
      <c r="FL3156" s="2"/>
      <c r="FN3156" s="2"/>
    </row>
    <row r="3157" spans="153:170" x14ac:dyDescent="0.35">
      <c r="EW3157" s="48"/>
      <c r="FB3157" s="5"/>
      <c r="FI3157" s="5"/>
      <c r="FJ3157" s="164"/>
      <c r="FL3157" s="2"/>
      <c r="FN3157" s="2"/>
    </row>
    <row r="3158" spans="153:170" x14ac:dyDescent="0.35">
      <c r="EW3158" s="48"/>
      <c r="FB3158" s="5"/>
      <c r="FI3158" s="5"/>
      <c r="FJ3158" s="164"/>
      <c r="FL3158" s="2"/>
      <c r="FN3158" s="2"/>
    </row>
    <row r="3159" spans="153:170" x14ac:dyDescent="0.35">
      <c r="EW3159" s="48"/>
      <c r="FB3159" s="5"/>
      <c r="FI3159" s="5"/>
      <c r="FJ3159" s="164"/>
      <c r="FL3159" s="2"/>
      <c r="FN3159" s="2"/>
    </row>
    <row r="3160" spans="153:170" x14ac:dyDescent="0.35">
      <c r="EW3160" s="48"/>
      <c r="FB3160" s="5"/>
      <c r="FI3160" s="5"/>
      <c r="FJ3160" s="164"/>
      <c r="FL3160" s="2"/>
      <c r="FN3160" s="2"/>
    </row>
    <row r="3161" spans="153:170" x14ac:dyDescent="0.35">
      <c r="EW3161" s="48"/>
      <c r="FB3161" s="5"/>
      <c r="FI3161" s="5"/>
      <c r="FJ3161" s="164"/>
      <c r="FL3161" s="2"/>
      <c r="FN3161" s="2"/>
    </row>
    <row r="3162" spans="153:170" x14ac:dyDescent="0.35">
      <c r="EW3162" s="48"/>
      <c r="FB3162" s="5"/>
      <c r="FI3162" s="5"/>
      <c r="FJ3162" s="164"/>
      <c r="FL3162" s="2"/>
      <c r="FN3162" s="2"/>
    </row>
    <row r="3163" spans="153:170" x14ac:dyDescent="0.35">
      <c r="EW3163" s="48"/>
      <c r="FB3163" s="5"/>
      <c r="FI3163" s="5"/>
      <c r="FJ3163" s="164"/>
      <c r="FL3163" s="2"/>
      <c r="FN3163" s="2"/>
    </row>
    <row r="3164" spans="153:170" x14ac:dyDescent="0.35">
      <c r="EW3164" s="48"/>
      <c r="FB3164" s="5"/>
      <c r="FI3164" s="5"/>
      <c r="FJ3164" s="164"/>
      <c r="FL3164" s="2"/>
      <c r="FN3164" s="2"/>
    </row>
    <row r="3165" spans="153:170" x14ac:dyDescent="0.35">
      <c r="EW3165" s="48"/>
      <c r="FB3165" s="5"/>
      <c r="FI3165" s="5"/>
      <c r="FJ3165" s="164"/>
      <c r="FL3165" s="2"/>
      <c r="FN3165" s="2"/>
    </row>
    <row r="3166" spans="153:170" x14ac:dyDescent="0.35">
      <c r="EW3166" s="48"/>
      <c r="FB3166" s="5"/>
      <c r="FI3166" s="5"/>
      <c r="FJ3166" s="164"/>
      <c r="FL3166" s="2"/>
      <c r="FN3166" s="2"/>
    </row>
    <row r="3167" spans="153:170" x14ac:dyDescent="0.35">
      <c r="EW3167" s="48"/>
      <c r="FB3167" s="5"/>
      <c r="FI3167" s="5"/>
      <c r="FJ3167" s="164"/>
      <c r="FL3167" s="2"/>
      <c r="FN3167" s="2"/>
    </row>
    <row r="3168" spans="153:170" x14ac:dyDescent="0.35">
      <c r="EW3168" s="48"/>
      <c r="FB3168" s="5"/>
      <c r="FI3168" s="5"/>
      <c r="FJ3168" s="164"/>
      <c r="FL3168" s="2"/>
      <c r="FN3168" s="2"/>
    </row>
    <row r="3169" spans="153:170" x14ac:dyDescent="0.35">
      <c r="EW3169" s="48"/>
      <c r="FB3169" s="5"/>
      <c r="FI3169" s="5"/>
      <c r="FJ3169" s="164"/>
      <c r="FL3169" s="2"/>
      <c r="FN3169" s="2"/>
    </row>
    <row r="3170" spans="153:170" x14ac:dyDescent="0.35">
      <c r="EW3170" s="48"/>
      <c r="FB3170" s="5"/>
      <c r="FI3170" s="5"/>
      <c r="FJ3170" s="164"/>
      <c r="FL3170" s="2"/>
      <c r="FN3170" s="2"/>
    </row>
    <row r="3171" spans="153:170" x14ac:dyDescent="0.35">
      <c r="EW3171" s="48"/>
      <c r="FB3171" s="5"/>
      <c r="FI3171" s="5"/>
      <c r="FJ3171" s="164"/>
      <c r="FL3171" s="2"/>
      <c r="FN3171" s="2"/>
    </row>
    <row r="3172" spans="153:170" x14ac:dyDescent="0.35">
      <c r="EW3172" s="48"/>
      <c r="FB3172" s="5"/>
      <c r="FI3172" s="5"/>
      <c r="FJ3172" s="164"/>
      <c r="FL3172" s="2"/>
      <c r="FN3172" s="2"/>
    </row>
    <row r="3173" spans="153:170" x14ac:dyDescent="0.35">
      <c r="EW3173" s="48"/>
      <c r="FB3173" s="5"/>
      <c r="FI3173" s="5"/>
      <c r="FJ3173" s="164"/>
      <c r="FL3173" s="2"/>
      <c r="FN3173" s="2"/>
    </row>
    <row r="3174" spans="153:170" x14ac:dyDescent="0.35">
      <c r="EW3174" s="48"/>
      <c r="FB3174" s="5"/>
      <c r="FI3174" s="5"/>
      <c r="FJ3174" s="164"/>
      <c r="FL3174" s="2"/>
      <c r="FN3174" s="2"/>
    </row>
    <row r="3175" spans="153:170" x14ac:dyDescent="0.35">
      <c r="EW3175" s="48"/>
      <c r="FB3175" s="5"/>
      <c r="FI3175" s="5"/>
      <c r="FJ3175" s="164"/>
      <c r="FL3175" s="2"/>
      <c r="FN3175" s="2"/>
    </row>
    <row r="3176" spans="153:170" x14ac:dyDescent="0.35">
      <c r="EW3176" s="48"/>
      <c r="FB3176" s="5"/>
      <c r="FI3176" s="5"/>
      <c r="FJ3176" s="164"/>
      <c r="FL3176" s="2"/>
      <c r="FN3176" s="2"/>
    </row>
    <row r="3177" spans="153:170" x14ac:dyDescent="0.35">
      <c r="EW3177" s="48"/>
      <c r="FB3177" s="5"/>
      <c r="FI3177" s="5"/>
      <c r="FJ3177" s="164"/>
      <c r="FL3177" s="2"/>
      <c r="FN3177" s="2"/>
    </row>
    <row r="3178" spans="153:170" x14ac:dyDescent="0.35">
      <c r="EW3178" s="48"/>
      <c r="FB3178" s="5"/>
      <c r="FI3178" s="5"/>
      <c r="FJ3178" s="164"/>
      <c r="FL3178" s="2"/>
      <c r="FN3178" s="2"/>
    </row>
    <row r="3179" spans="153:170" x14ac:dyDescent="0.35">
      <c r="EW3179" s="48"/>
      <c r="FB3179" s="5"/>
      <c r="FI3179" s="5"/>
      <c r="FJ3179" s="164"/>
      <c r="FL3179" s="2"/>
      <c r="FN3179" s="2"/>
    </row>
    <row r="3180" spans="153:170" x14ac:dyDescent="0.35">
      <c r="EW3180" s="48"/>
      <c r="FB3180" s="5"/>
      <c r="FI3180" s="5"/>
      <c r="FJ3180" s="164"/>
      <c r="FL3180" s="2"/>
      <c r="FN3180" s="2"/>
    </row>
    <row r="3181" spans="153:170" x14ac:dyDescent="0.35">
      <c r="EW3181" s="48"/>
      <c r="FB3181" s="5"/>
      <c r="FI3181" s="5"/>
      <c r="FJ3181" s="164"/>
      <c r="FL3181" s="2"/>
      <c r="FN3181" s="2"/>
    </row>
    <row r="3182" spans="153:170" x14ac:dyDescent="0.35">
      <c r="EW3182" s="48"/>
      <c r="FB3182" s="5"/>
      <c r="FI3182" s="5"/>
      <c r="FJ3182" s="164"/>
      <c r="FL3182" s="2"/>
      <c r="FN3182" s="2"/>
    </row>
    <row r="3183" spans="153:170" x14ac:dyDescent="0.35">
      <c r="EW3183" s="48"/>
      <c r="FB3183" s="5"/>
      <c r="FI3183" s="5"/>
      <c r="FJ3183" s="164"/>
      <c r="FL3183" s="2"/>
      <c r="FN3183" s="2"/>
    </row>
    <row r="3184" spans="153:170" x14ac:dyDescent="0.35">
      <c r="EW3184" s="48"/>
      <c r="FB3184" s="5"/>
      <c r="FI3184" s="5"/>
      <c r="FJ3184" s="164"/>
      <c r="FL3184" s="2"/>
      <c r="FN3184" s="2"/>
    </row>
    <row r="3185" spans="153:170" x14ac:dyDescent="0.35">
      <c r="EW3185" s="48"/>
      <c r="FB3185" s="5"/>
      <c r="FI3185" s="5"/>
      <c r="FJ3185" s="164"/>
      <c r="FL3185" s="2"/>
      <c r="FN3185" s="2"/>
    </row>
    <row r="3186" spans="153:170" x14ac:dyDescent="0.35">
      <c r="EW3186" s="48"/>
      <c r="FB3186" s="5"/>
      <c r="FI3186" s="5"/>
      <c r="FJ3186" s="164"/>
      <c r="FL3186" s="2"/>
      <c r="FN3186" s="2"/>
    </row>
    <row r="3187" spans="153:170" x14ac:dyDescent="0.35">
      <c r="EW3187" s="48"/>
      <c r="FB3187" s="5"/>
      <c r="FI3187" s="5"/>
      <c r="FJ3187" s="164"/>
      <c r="FL3187" s="2"/>
      <c r="FN3187" s="2"/>
    </row>
    <row r="3188" spans="153:170" x14ac:dyDescent="0.35">
      <c r="EW3188" s="48"/>
      <c r="FB3188" s="5"/>
      <c r="FI3188" s="5"/>
      <c r="FJ3188" s="164"/>
      <c r="FL3188" s="2"/>
      <c r="FN3188" s="2"/>
    </row>
    <row r="3189" spans="153:170" x14ac:dyDescent="0.35">
      <c r="EW3189" s="48"/>
      <c r="FB3189" s="5"/>
      <c r="FI3189" s="5"/>
      <c r="FJ3189" s="164"/>
      <c r="FL3189" s="2"/>
      <c r="FN3189" s="2"/>
    </row>
    <row r="3190" spans="153:170" x14ac:dyDescent="0.35">
      <c r="EW3190" s="48"/>
      <c r="FB3190" s="5"/>
      <c r="FI3190" s="5"/>
      <c r="FJ3190" s="164"/>
      <c r="FL3190" s="2"/>
      <c r="FN3190" s="2"/>
    </row>
    <row r="3191" spans="153:170" x14ac:dyDescent="0.35">
      <c r="EW3191" s="48"/>
      <c r="FB3191" s="5"/>
      <c r="FI3191" s="5"/>
      <c r="FJ3191" s="164"/>
      <c r="FL3191" s="2"/>
      <c r="FN3191" s="2"/>
    </row>
    <row r="3192" spans="153:170" x14ac:dyDescent="0.35">
      <c r="EW3192" s="48"/>
      <c r="FB3192" s="5"/>
      <c r="FI3192" s="5"/>
      <c r="FJ3192" s="164"/>
      <c r="FL3192" s="2"/>
      <c r="FN3192" s="2"/>
    </row>
    <row r="3193" spans="153:170" x14ac:dyDescent="0.35">
      <c r="EW3193" s="48"/>
      <c r="FB3193" s="5"/>
      <c r="FI3193" s="5"/>
      <c r="FJ3193" s="164"/>
      <c r="FL3193" s="2"/>
      <c r="FN3193" s="2"/>
    </row>
    <row r="3194" spans="153:170" x14ac:dyDescent="0.35">
      <c r="EW3194" s="48"/>
      <c r="FB3194" s="5"/>
      <c r="FI3194" s="5"/>
      <c r="FJ3194" s="164"/>
      <c r="FL3194" s="2"/>
      <c r="FN3194" s="2"/>
    </row>
    <row r="3195" spans="153:170" x14ac:dyDescent="0.35">
      <c r="EW3195" s="48"/>
      <c r="FB3195" s="5"/>
      <c r="FI3195" s="5"/>
      <c r="FJ3195" s="164"/>
      <c r="FL3195" s="2"/>
      <c r="FN3195" s="2"/>
    </row>
    <row r="3196" spans="153:170" x14ac:dyDescent="0.35">
      <c r="EW3196" s="48"/>
      <c r="FB3196" s="5"/>
      <c r="FI3196" s="5"/>
      <c r="FJ3196" s="164"/>
      <c r="FL3196" s="2"/>
      <c r="FN3196" s="2"/>
    </row>
    <row r="3197" spans="153:170" x14ac:dyDescent="0.35">
      <c r="EW3197" s="48"/>
      <c r="FB3197" s="5"/>
      <c r="FI3197" s="5"/>
      <c r="FJ3197" s="164"/>
      <c r="FL3197" s="2"/>
      <c r="FN3197" s="2"/>
    </row>
    <row r="3198" spans="153:170" x14ac:dyDescent="0.35">
      <c r="EW3198" s="48"/>
      <c r="FB3198" s="5"/>
      <c r="FI3198" s="5"/>
      <c r="FJ3198" s="164"/>
      <c r="FL3198" s="2"/>
      <c r="FN3198" s="2"/>
    </row>
    <row r="3199" spans="153:170" x14ac:dyDescent="0.35">
      <c r="EW3199" s="48"/>
      <c r="FB3199" s="5"/>
      <c r="FI3199" s="5"/>
      <c r="FJ3199" s="164"/>
      <c r="FL3199" s="2"/>
      <c r="FN3199" s="2"/>
    </row>
    <row r="3200" spans="153:170" x14ac:dyDescent="0.35">
      <c r="EW3200" s="48"/>
      <c r="FB3200" s="5"/>
      <c r="FI3200" s="5"/>
      <c r="FJ3200" s="164"/>
      <c r="FL3200" s="2"/>
      <c r="FN3200" s="2"/>
    </row>
    <row r="3201" spans="153:170" x14ac:dyDescent="0.35">
      <c r="EW3201" s="48"/>
      <c r="FB3201" s="5"/>
      <c r="FI3201" s="5"/>
      <c r="FJ3201" s="164"/>
      <c r="FL3201" s="2"/>
      <c r="FN3201" s="2"/>
    </row>
    <row r="3202" spans="153:170" x14ac:dyDescent="0.35">
      <c r="EW3202" s="48"/>
      <c r="FB3202" s="5"/>
      <c r="FI3202" s="5"/>
      <c r="FJ3202" s="164"/>
      <c r="FL3202" s="2"/>
      <c r="FN3202" s="2"/>
    </row>
    <row r="3203" spans="153:170" x14ac:dyDescent="0.35">
      <c r="EW3203" s="48"/>
      <c r="FB3203" s="5"/>
      <c r="FI3203" s="5"/>
      <c r="FJ3203" s="164"/>
      <c r="FL3203" s="2"/>
      <c r="FN3203" s="2"/>
    </row>
    <row r="3204" spans="153:170" x14ac:dyDescent="0.35">
      <c r="EW3204" s="48"/>
      <c r="FB3204" s="5"/>
      <c r="FI3204" s="5"/>
      <c r="FJ3204" s="164"/>
      <c r="FL3204" s="2"/>
      <c r="FN3204" s="2"/>
    </row>
    <row r="3205" spans="153:170" x14ac:dyDescent="0.35">
      <c r="EW3205" s="48"/>
      <c r="FB3205" s="5"/>
      <c r="FI3205" s="5"/>
      <c r="FJ3205" s="164"/>
      <c r="FL3205" s="2"/>
      <c r="FN3205" s="2"/>
    </row>
    <row r="3206" spans="153:170" x14ac:dyDescent="0.35">
      <c r="EW3206" s="48"/>
      <c r="FB3206" s="5"/>
      <c r="FI3206" s="5"/>
      <c r="FJ3206" s="164"/>
      <c r="FL3206" s="2"/>
      <c r="FN3206" s="2"/>
    </row>
    <row r="3207" spans="153:170" x14ac:dyDescent="0.35">
      <c r="EW3207" s="48"/>
      <c r="FB3207" s="5"/>
      <c r="FI3207" s="5"/>
      <c r="FJ3207" s="164"/>
      <c r="FL3207" s="2"/>
      <c r="FN3207" s="2"/>
    </row>
    <row r="3208" spans="153:170" x14ac:dyDescent="0.35">
      <c r="EW3208" s="48"/>
      <c r="FB3208" s="5"/>
      <c r="FI3208" s="5"/>
      <c r="FJ3208" s="164"/>
      <c r="FL3208" s="2"/>
      <c r="FN3208" s="2"/>
    </row>
    <row r="3209" spans="153:170" x14ac:dyDescent="0.35">
      <c r="EW3209" s="48"/>
      <c r="FB3209" s="5"/>
      <c r="FI3209" s="5"/>
      <c r="FJ3209" s="164"/>
      <c r="FL3209" s="2"/>
      <c r="FN3209" s="2"/>
    </row>
    <row r="3210" spans="153:170" x14ac:dyDescent="0.35">
      <c r="EW3210" s="48"/>
      <c r="FB3210" s="5"/>
      <c r="FI3210" s="5"/>
      <c r="FJ3210" s="164"/>
      <c r="FL3210" s="2"/>
      <c r="FN3210" s="2"/>
    </row>
    <row r="3211" spans="153:170" x14ac:dyDescent="0.35">
      <c r="EW3211" s="48"/>
      <c r="FB3211" s="5"/>
      <c r="FI3211" s="5"/>
      <c r="FJ3211" s="164"/>
      <c r="FL3211" s="2"/>
      <c r="FN3211" s="2"/>
    </row>
    <row r="3212" spans="153:170" x14ac:dyDescent="0.35">
      <c r="EW3212" s="48"/>
      <c r="FB3212" s="5"/>
      <c r="FI3212" s="5"/>
      <c r="FJ3212" s="164"/>
      <c r="FL3212" s="2"/>
      <c r="FN3212" s="2"/>
    </row>
    <row r="3213" spans="153:170" x14ac:dyDescent="0.35">
      <c r="EW3213" s="48"/>
      <c r="FB3213" s="5"/>
      <c r="FI3213" s="5"/>
      <c r="FJ3213" s="164"/>
      <c r="FL3213" s="2"/>
      <c r="FN3213" s="2"/>
    </row>
    <row r="3214" spans="153:170" x14ac:dyDescent="0.35">
      <c r="EW3214" s="48"/>
      <c r="FB3214" s="5"/>
      <c r="FI3214" s="5"/>
      <c r="FJ3214" s="164"/>
      <c r="FL3214" s="2"/>
      <c r="FN3214" s="2"/>
    </row>
    <row r="3215" spans="153:170" x14ac:dyDescent="0.35">
      <c r="EW3215" s="48"/>
      <c r="FB3215" s="5"/>
      <c r="FI3215" s="5"/>
      <c r="FJ3215" s="164"/>
      <c r="FL3215" s="2"/>
      <c r="FN3215" s="2"/>
    </row>
    <row r="3216" spans="153:170" x14ac:dyDescent="0.35">
      <c r="EW3216" s="48"/>
      <c r="FB3216" s="5"/>
      <c r="FI3216" s="5"/>
      <c r="FJ3216" s="164"/>
      <c r="FL3216" s="2"/>
      <c r="FN3216" s="2"/>
    </row>
    <row r="3217" spans="153:170" x14ac:dyDescent="0.35">
      <c r="EW3217" s="48"/>
      <c r="FB3217" s="5"/>
      <c r="FI3217" s="5"/>
      <c r="FJ3217" s="164"/>
      <c r="FL3217" s="2"/>
      <c r="FN3217" s="2"/>
    </row>
    <row r="3218" spans="153:170" x14ac:dyDescent="0.35">
      <c r="EW3218" s="48"/>
      <c r="FB3218" s="5"/>
      <c r="FI3218" s="5"/>
      <c r="FJ3218" s="164"/>
      <c r="FL3218" s="2"/>
      <c r="FN3218" s="2"/>
    </row>
    <row r="3219" spans="153:170" x14ac:dyDescent="0.35">
      <c r="EW3219" s="48"/>
      <c r="FB3219" s="5"/>
      <c r="FI3219" s="5"/>
      <c r="FJ3219" s="164"/>
      <c r="FL3219" s="2"/>
      <c r="FN3219" s="2"/>
    </row>
    <row r="3220" spans="153:170" x14ac:dyDescent="0.35">
      <c r="EW3220" s="48"/>
      <c r="FB3220" s="5"/>
      <c r="FI3220" s="5"/>
      <c r="FJ3220" s="164"/>
      <c r="FL3220" s="2"/>
      <c r="FN3220" s="2"/>
    </row>
    <row r="3221" spans="153:170" x14ac:dyDescent="0.35">
      <c r="EW3221" s="48"/>
      <c r="FB3221" s="5"/>
      <c r="FI3221" s="5"/>
      <c r="FJ3221" s="164"/>
      <c r="FL3221" s="2"/>
      <c r="FN3221" s="2"/>
    </row>
    <row r="3222" spans="153:170" x14ac:dyDescent="0.35">
      <c r="EW3222" s="48"/>
      <c r="FB3222" s="5"/>
      <c r="FI3222" s="5"/>
      <c r="FJ3222" s="164"/>
      <c r="FL3222" s="2"/>
      <c r="FN3222" s="2"/>
    </row>
    <row r="3223" spans="153:170" x14ac:dyDescent="0.35">
      <c r="EW3223" s="48"/>
      <c r="FB3223" s="5"/>
      <c r="FI3223" s="5"/>
      <c r="FJ3223" s="164"/>
      <c r="FL3223" s="2"/>
      <c r="FN3223" s="2"/>
    </row>
    <row r="3224" spans="153:170" x14ac:dyDescent="0.35">
      <c r="EW3224" s="48"/>
      <c r="FB3224" s="5"/>
      <c r="FI3224" s="5"/>
      <c r="FJ3224" s="164"/>
      <c r="FL3224" s="2"/>
      <c r="FN3224" s="2"/>
    </row>
    <row r="3225" spans="153:170" x14ac:dyDescent="0.35">
      <c r="EW3225" s="48"/>
      <c r="FB3225" s="5"/>
      <c r="FI3225" s="5"/>
      <c r="FJ3225" s="164"/>
      <c r="FL3225" s="2"/>
      <c r="FN3225" s="2"/>
    </row>
    <row r="3226" spans="153:170" x14ac:dyDescent="0.35">
      <c r="EW3226" s="48"/>
      <c r="FB3226" s="5"/>
      <c r="FI3226" s="5"/>
      <c r="FJ3226" s="164"/>
      <c r="FL3226" s="2"/>
      <c r="FN3226" s="2"/>
    </row>
    <row r="3227" spans="153:170" x14ac:dyDescent="0.35">
      <c r="EW3227" s="48"/>
      <c r="FB3227" s="5"/>
      <c r="FI3227" s="5"/>
      <c r="FJ3227" s="164"/>
      <c r="FL3227" s="2"/>
      <c r="FN3227" s="2"/>
    </row>
    <row r="3228" spans="153:170" x14ac:dyDescent="0.35">
      <c r="EW3228" s="48"/>
      <c r="FB3228" s="5"/>
      <c r="FI3228" s="5"/>
      <c r="FJ3228" s="164"/>
      <c r="FL3228" s="2"/>
      <c r="FN3228" s="2"/>
    </row>
    <row r="3229" spans="153:170" x14ac:dyDescent="0.35">
      <c r="EW3229" s="48"/>
      <c r="FB3229" s="5"/>
      <c r="FI3229" s="5"/>
      <c r="FJ3229" s="164"/>
      <c r="FL3229" s="2"/>
      <c r="FN3229" s="2"/>
    </row>
    <row r="3230" spans="153:170" x14ac:dyDescent="0.35">
      <c r="EW3230" s="48"/>
      <c r="FB3230" s="5"/>
      <c r="FI3230" s="5"/>
      <c r="FJ3230" s="164"/>
      <c r="FL3230" s="2"/>
      <c r="FN3230" s="2"/>
    </row>
    <row r="3231" spans="153:170" x14ac:dyDescent="0.35">
      <c r="EW3231" s="48"/>
      <c r="FB3231" s="5"/>
      <c r="FI3231" s="5"/>
      <c r="FJ3231" s="164"/>
      <c r="FL3231" s="2"/>
      <c r="FN3231" s="2"/>
    </row>
    <row r="3232" spans="153:170" x14ac:dyDescent="0.35">
      <c r="EW3232" s="48"/>
      <c r="FB3232" s="5"/>
      <c r="FI3232" s="5"/>
      <c r="FJ3232" s="164"/>
      <c r="FL3232" s="2"/>
      <c r="FN3232" s="2"/>
    </row>
    <row r="3233" spans="153:170" x14ac:dyDescent="0.35">
      <c r="EW3233" s="48"/>
      <c r="FB3233" s="5"/>
      <c r="FI3233" s="5"/>
      <c r="FJ3233" s="164"/>
      <c r="FL3233" s="2"/>
      <c r="FN3233" s="2"/>
    </row>
    <row r="3234" spans="153:170" x14ac:dyDescent="0.35">
      <c r="EW3234" s="48"/>
      <c r="FB3234" s="5"/>
      <c r="FI3234" s="5"/>
      <c r="FJ3234" s="164"/>
      <c r="FL3234" s="2"/>
      <c r="FN3234" s="2"/>
    </row>
    <row r="3235" spans="153:170" x14ac:dyDescent="0.35">
      <c r="EW3235" s="48"/>
      <c r="FB3235" s="5"/>
      <c r="FI3235" s="5"/>
      <c r="FJ3235" s="164"/>
      <c r="FL3235" s="2"/>
      <c r="FN3235" s="2"/>
    </row>
    <row r="3236" spans="153:170" x14ac:dyDescent="0.35">
      <c r="EW3236" s="48"/>
      <c r="FB3236" s="5"/>
      <c r="FI3236" s="5"/>
      <c r="FJ3236" s="164"/>
      <c r="FL3236" s="2"/>
      <c r="FN3236" s="2"/>
    </row>
    <row r="3237" spans="153:170" x14ac:dyDescent="0.35">
      <c r="EW3237" s="48"/>
      <c r="FB3237" s="5"/>
      <c r="FI3237" s="5"/>
      <c r="FJ3237" s="164"/>
      <c r="FL3237" s="2"/>
      <c r="FN3237" s="2"/>
    </row>
    <row r="3238" spans="153:170" x14ac:dyDescent="0.35">
      <c r="EW3238" s="48"/>
      <c r="FB3238" s="5"/>
      <c r="FI3238" s="5"/>
      <c r="FJ3238" s="164"/>
      <c r="FL3238" s="2"/>
      <c r="FN3238" s="2"/>
    </row>
    <row r="3239" spans="153:170" x14ac:dyDescent="0.35">
      <c r="EW3239" s="48"/>
      <c r="FB3239" s="5"/>
      <c r="FI3239" s="5"/>
      <c r="FJ3239" s="164"/>
      <c r="FL3239" s="2"/>
      <c r="FN3239" s="2"/>
    </row>
    <row r="3240" spans="153:170" x14ac:dyDescent="0.35">
      <c r="EW3240" s="48"/>
      <c r="FB3240" s="5"/>
      <c r="FI3240" s="5"/>
      <c r="FJ3240" s="164"/>
      <c r="FL3240" s="2"/>
      <c r="FN3240" s="2"/>
    </row>
    <row r="3241" spans="153:170" x14ac:dyDescent="0.35">
      <c r="EW3241" s="48"/>
      <c r="FB3241" s="5"/>
      <c r="FI3241" s="5"/>
      <c r="FJ3241" s="164"/>
      <c r="FL3241" s="2"/>
      <c r="FN3241" s="2"/>
    </row>
    <row r="3242" spans="153:170" x14ac:dyDescent="0.35">
      <c r="EW3242" s="48"/>
      <c r="FB3242" s="5"/>
      <c r="FI3242" s="5"/>
      <c r="FJ3242" s="164"/>
      <c r="FL3242" s="2"/>
      <c r="FN3242" s="2"/>
    </row>
    <row r="3243" spans="153:170" x14ac:dyDescent="0.35">
      <c r="EW3243" s="48"/>
      <c r="FB3243" s="5"/>
      <c r="FI3243" s="5"/>
      <c r="FJ3243" s="164"/>
      <c r="FL3243" s="2"/>
      <c r="FN3243" s="2"/>
    </row>
    <row r="3244" spans="153:170" x14ac:dyDescent="0.35">
      <c r="EW3244" s="48"/>
      <c r="FB3244" s="5"/>
      <c r="FI3244" s="5"/>
      <c r="FJ3244" s="164"/>
      <c r="FL3244" s="2"/>
      <c r="FN3244" s="2"/>
    </row>
    <row r="3245" spans="153:170" x14ac:dyDescent="0.35">
      <c r="EW3245" s="48"/>
      <c r="FB3245" s="5"/>
      <c r="FI3245" s="5"/>
      <c r="FJ3245" s="164"/>
      <c r="FL3245" s="2"/>
      <c r="FN3245" s="2"/>
    </row>
    <row r="3246" spans="153:170" x14ac:dyDescent="0.35">
      <c r="EW3246" s="48"/>
      <c r="FB3246" s="5"/>
      <c r="FI3246" s="5"/>
      <c r="FJ3246" s="164"/>
      <c r="FL3246" s="2"/>
      <c r="FN3246" s="2"/>
    </row>
    <row r="3247" spans="153:170" x14ac:dyDescent="0.35">
      <c r="EW3247" s="48"/>
      <c r="FB3247" s="5"/>
      <c r="FI3247" s="5"/>
      <c r="FJ3247" s="164"/>
      <c r="FL3247" s="2"/>
      <c r="FN3247" s="2"/>
    </row>
    <row r="3248" spans="153:170" x14ac:dyDescent="0.35">
      <c r="EW3248" s="48"/>
      <c r="FB3248" s="5"/>
      <c r="FI3248" s="5"/>
      <c r="FJ3248" s="164"/>
      <c r="FL3248" s="2"/>
      <c r="FN3248" s="2"/>
    </row>
    <row r="3249" spans="153:170" x14ac:dyDescent="0.35">
      <c r="EW3249" s="48"/>
      <c r="FB3249" s="5"/>
      <c r="FI3249" s="5"/>
      <c r="FJ3249" s="164"/>
      <c r="FL3249" s="2"/>
      <c r="FN3249" s="2"/>
    </row>
    <row r="3250" spans="153:170" x14ac:dyDescent="0.35">
      <c r="EW3250" s="48"/>
      <c r="FB3250" s="5"/>
      <c r="FI3250" s="5"/>
      <c r="FJ3250" s="164"/>
      <c r="FL3250" s="2"/>
      <c r="FN3250" s="2"/>
    </row>
    <row r="3251" spans="153:170" x14ac:dyDescent="0.35">
      <c r="EW3251" s="48"/>
      <c r="FB3251" s="5"/>
      <c r="FI3251" s="5"/>
      <c r="FJ3251" s="164"/>
      <c r="FL3251" s="2"/>
      <c r="FN3251" s="2"/>
    </row>
    <row r="3252" spans="153:170" x14ac:dyDescent="0.35">
      <c r="EW3252" s="48"/>
      <c r="FB3252" s="5"/>
      <c r="FI3252" s="5"/>
      <c r="FJ3252" s="164"/>
      <c r="FL3252" s="2"/>
      <c r="FN3252" s="2"/>
    </row>
    <row r="3253" spans="153:170" x14ac:dyDescent="0.35">
      <c r="EW3253" s="48"/>
      <c r="FB3253" s="5"/>
      <c r="FI3253" s="5"/>
      <c r="FJ3253" s="164"/>
      <c r="FL3253" s="2"/>
      <c r="FN3253" s="2"/>
    </row>
    <row r="3254" spans="153:170" x14ac:dyDescent="0.35">
      <c r="EW3254" s="48"/>
      <c r="FB3254" s="5"/>
      <c r="FI3254" s="5"/>
      <c r="FJ3254" s="164"/>
      <c r="FL3254" s="2"/>
      <c r="FN3254" s="2"/>
    </row>
    <row r="3255" spans="153:170" x14ac:dyDescent="0.35">
      <c r="EW3255" s="48"/>
      <c r="FB3255" s="5"/>
      <c r="FI3255" s="5"/>
      <c r="FJ3255" s="164"/>
      <c r="FL3255" s="2"/>
      <c r="FN3255" s="2"/>
    </row>
    <row r="3256" spans="153:170" x14ac:dyDescent="0.35">
      <c r="EW3256" s="48"/>
      <c r="FB3256" s="5"/>
      <c r="FI3256" s="5"/>
      <c r="FJ3256" s="164"/>
      <c r="FL3256" s="2"/>
      <c r="FN3256" s="2"/>
    </row>
    <row r="3257" spans="153:170" x14ac:dyDescent="0.35">
      <c r="EW3257" s="48"/>
      <c r="FB3257" s="5"/>
      <c r="FI3257" s="5"/>
      <c r="FJ3257" s="164"/>
      <c r="FL3257" s="2"/>
      <c r="FN3257" s="2"/>
    </row>
    <row r="3258" spans="153:170" x14ac:dyDescent="0.35">
      <c r="EW3258" s="48"/>
      <c r="FB3258" s="5"/>
      <c r="FI3258" s="5"/>
      <c r="FJ3258" s="164"/>
      <c r="FL3258" s="2"/>
      <c r="FN3258" s="2"/>
    </row>
    <row r="3259" spans="153:170" x14ac:dyDescent="0.35">
      <c r="EW3259" s="48"/>
      <c r="FB3259" s="5"/>
      <c r="FI3259" s="5"/>
      <c r="FJ3259" s="164"/>
      <c r="FL3259" s="2"/>
      <c r="FN3259" s="2"/>
    </row>
    <row r="3260" spans="153:170" x14ac:dyDescent="0.35">
      <c r="EW3260" s="48"/>
      <c r="FB3260" s="5"/>
      <c r="FI3260" s="5"/>
      <c r="FJ3260" s="164"/>
      <c r="FL3260" s="2"/>
      <c r="FN3260" s="2"/>
    </row>
    <row r="3261" spans="153:170" x14ac:dyDescent="0.35">
      <c r="EW3261" s="48"/>
      <c r="FB3261" s="5"/>
      <c r="FI3261" s="5"/>
      <c r="FJ3261" s="164"/>
      <c r="FL3261" s="2"/>
      <c r="FN3261" s="2"/>
    </row>
    <row r="3262" spans="153:170" x14ac:dyDescent="0.35">
      <c r="EW3262" s="48"/>
      <c r="FB3262" s="5"/>
      <c r="FI3262" s="5"/>
      <c r="FJ3262" s="164"/>
      <c r="FL3262" s="2"/>
      <c r="FN3262" s="2"/>
    </row>
    <row r="3263" spans="153:170" x14ac:dyDescent="0.35">
      <c r="EW3263" s="48"/>
      <c r="FB3263" s="5"/>
      <c r="FI3263" s="5"/>
      <c r="FJ3263" s="164"/>
      <c r="FL3263" s="2"/>
      <c r="FN3263" s="2"/>
    </row>
    <row r="3264" spans="153:170" x14ac:dyDescent="0.35">
      <c r="EW3264" s="48"/>
      <c r="FB3264" s="5"/>
      <c r="FI3264" s="5"/>
      <c r="FJ3264" s="164"/>
      <c r="FL3264" s="2"/>
      <c r="FN3264" s="2"/>
    </row>
    <row r="3265" spans="153:170" x14ac:dyDescent="0.35">
      <c r="EW3265" s="48"/>
      <c r="FB3265" s="5"/>
      <c r="FI3265" s="5"/>
      <c r="FJ3265" s="164"/>
      <c r="FL3265" s="2"/>
      <c r="FN3265" s="2"/>
    </row>
    <row r="3266" spans="153:170" x14ac:dyDescent="0.35">
      <c r="EW3266" s="48"/>
      <c r="FB3266" s="5"/>
      <c r="FI3266" s="5"/>
      <c r="FJ3266" s="164"/>
      <c r="FL3266" s="2"/>
      <c r="FN3266" s="2"/>
    </row>
    <row r="3267" spans="153:170" x14ac:dyDescent="0.35">
      <c r="EW3267" s="48"/>
      <c r="FB3267" s="5"/>
      <c r="FI3267" s="5"/>
      <c r="FJ3267" s="164"/>
      <c r="FL3267" s="2"/>
      <c r="FN3267" s="2"/>
    </row>
    <row r="3268" spans="153:170" x14ac:dyDescent="0.35">
      <c r="EW3268" s="48"/>
      <c r="FB3268" s="5"/>
      <c r="FI3268" s="5"/>
      <c r="FJ3268" s="164"/>
      <c r="FL3268" s="2"/>
      <c r="FN3268" s="2"/>
    </row>
    <row r="3269" spans="153:170" x14ac:dyDescent="0.35">
      <c r="EW3269" s="48"/>
      <c r="FB3269" s="5"/>
      <c r="FI3269" s="5"/>
      <c r="FJ3269" s="164"/>
      <c r="FL3269" s="2"/>
      <c r="FN3269" s="2"/>
    </row>
    <row r="3270" spans="153:170" x14ac:dyDescent="0.35">
      <c r="EW3270" s="48"/>
      <c r="FB3270" s="5"/>
      <c r="FI3270" s="5"/>
      <c r="FJ3270" s="164"/>
      <c r="FL3270" s="2"/>
      <c r="FN3270" s="2"/>
    </row>
    <row r="3271" spans="153:170" x14ac:dyDescent="0.35">
      <c r="EW3271" s="48"/>
      <c r="FB3271" s="5"/>
      <c r="FI3271" s="5"/>
      <c r="FJ3271" s="164"/>
      <c r="FL3271" s="2"/>
      <c r="FN3271" s="2"/>
    </row>
    <row r="3272" spans="153:170" x14ac:dyDescent="0.35">
      <c r="EW3272" s="48"/>
      <c r="FB3272" s="5"/>
      <c r="FI3272" s="5"/>
      <c r="FJ3272" s="164"/>
      <c r="FL3272" s="2"/>
      <c r="FN3272" s="2"/>
    </row>
    <row r="3273" spans="153:170" x14ac:dyDescent="0.35">
      <c r="EW3273" s="48"/>
      <c r="FB3273" s="5"/>
      <c r="FI3273" s="5"/>
      <c r="FJ3273" s="164"/>
      <c r="FL3273" s="2"/>
      <c r="FN3273" s="2"/>
    </row>
    <row r="3274" spans="153:170" x14ac:dyDescent="0.35">
      <c r="EW3274" s="48"/>
      <c r="FB3274" s="5"/>
      <c r="FI3274" s="5"/>
      <c r="FJ3274" s="164"/>
      <c r="FL3274" s="2"/>
      <c r="FN3274" s="2"/>
    </row>
    <row r="3275" spans="153:170" x14ac:dyDescent="0.35">
      <c r="EW3275" s="48"/>
      <c r="FB3275" s="5"/>
      <c r="FI3275" s="5"/>
      <c r="FJ3275" s="164"/>
      <c r="FL3275" s="2"/>
      <c r="FN3275" s="2"/>
    </row>
    <row r="3276" spans="153:170" x14ac:dyDescent="0.35">
      <c r="EW3276" s="48"/>
      <c r="FB3276" s="5"/>
      <c r="FI3276" s="5"/>
      <c r="FJ3276" s="164"/>
      <c r="FL3276" s="2"/>
      <c r="FN3276" s="2"/>
    </row>
    <row r="3277" spans="153:170" x14ac:dyDescent="0.35">
      <c r="EW3277" s="48"/>
      <c r="FB3277" s="5"/>
      <c r="FI3277" s="5"/>
      <c r="FJ3277" s="164"/>
      <c r="FL3277" s="2"/>
      <c r="FN3277" s="2"/>
    </row>
    <row r="3278" spans="153:170" x14ac:dyDescent="0.35">
      <c r="EW3278" s="48"/>
      <c r="FB3278" s="5"/>
      <c r="FI3278" s="5"/>
      <c r="FJ3278" s="164"/>
      <c r="FL3278" s="2"/>
      <c r="FN3278" s="2"/>
    </row>
    <row r="3279" spans="153:170" x14ac:dyDescent="0.35">
      <c r="EW3279" s="48"/>
      <c r="FB3279" s="5"/>
      <c r="FI3279" s="5"/>
      <c r="FJ3279" s="164"/>
      <c r="FL3279" s="2"/>
      <c r="FN3279" s="2"/>
    </row>
    <row r="3280" spans="153:170" x14ac:dyDescent="0.35">
      <c r="EW3280" s="48"/>
      <c r="FB3280" s="5"/>
      <c r="FI3280" s="5"/>
      <c r="FJ3280" s="164"/>
      <c r="FL3280" s="2"/>
      <c r="FN3280" s="2"/>
    </row>
    <row r="3281" spans="153:170" x14ac:dyDescent="0.35">
      <c r="EW3281" s="48"/>
      <c r="FB3281" s="5"/>
      <c r="FI3281" s="5"/>
      <c r="FJ3281" s="164"/>
      <c r="FL3281" s="2"/>
      <c r="FN3281" s="2"/>
    </row>
    <row r="3282" spans="153:170" x14ac:dyDescent="0.35">
      <c r="EW3282" s="48"/>
      <c r="FB3282" s="5"/>
      <c r="FI3282" s="5"/>
      <c r="FJ3282" s="164"/>
      <c r="FL3282" s="2"/>
      <c r="FN3282" s="2"/>
    </row>
    <row r="3283" spans="153:170" x14ac:dyDescent="0.35">
      <c r="EW3283" s="48"/>
      <c r="FB3283" s="5"/>
      <c r="FI3283" s="5"/>
      <c r="FJ3283" s="164"/>
      <c r="FL3283" s="2"/>
      <c r="FN3283" s="2"/>
    </row>
    <row r="3284" spans="153:170" x14ac:dyDescent="0.35">
      <c r="EW3284" s="48"/>
      <c r="FB3284" s="5"/>
      <c r="FI3284" s="5"/>
      <c r="FJ3284" s="164"/>
      <c r="FL3284" s="2"/>
      <c r="FN3284" s="2"/>
    </row>
    <row r="3285" spans="153:170" x14ac:dyDescent="0.35">
      <c r="EW3285" s="48"/>
      <c r="FB3285" s="5"/>
      <c r="FI3285" s="5"/>
      <c r="FJ3285" s="164"/>
      <c r="FL3285" s="2"/>
      <c r="FN3285" s="2"/>
    </row>
    <row r="3286" spans="153:170" x14ac:dyDescent="0.35">
      <c r="EW3286" s="48"/>
      <c r="FB3286" s="5"/>
      <c r="FI3286" s="5"/>
      <c r="FJ3286" s="164"/>
      <c r="FL3286" s="2"/>
      <c r="FN3286" s="2"/>
    </row>
    <row r="3287" spans="153:170" x14ac:dyDescent="0.35">
      <c r="EW3287" s="48"/>
      <c r="FB3287" s="5"/>
      <c r="FI3287" s="5"/>
      <c r="FJ3287" s="164"/>
      <c r="FL3287" s="2"/>
      <c r="FN3287" s="2"/>
    </row>
    <row r="3288" spans="153:170" x14ac:dyDescent="0.35">
      <c r="EW3288" s="48"/>
      <c r="FB3288" s="5"/>
      <c r="FI3288" s="5"/>
      <c r="FJ3288" s="164"/>
      <c r="FL3288" s="2"/>
      <c r="FN3288" s="2"/>
    </row>
    <row r="3289" spans="153:170" x14ac:dyDescent="0.35">
      <c r="EW3289" s="48"/>
      <c r="FB3289" s="5"/>
      <c r="FI3289" s="5"/>
      <c r="FJ3289" s="164"/>
      <c r="FL3289" s="2"/>
      <c r="FN3289" s="2"/>
    </row>
    <row r="3290" spans="153:170" x14ac:dyDescent="0.35">
      <c r="EW3290" s="48"/>
      <c r="FB3290" s="5"/>
      <c r="FI3290" s="5"/>
      <c r="FJ3290" s="164"/>
      <c r="FL3290" s="2"/>
      <c r="FN3290" s="2"/>
    </row>
    <row r="3291" spans="153:170" x14ac:dyDescent="0.35">
      <c r="EW3291" s="48"/>
      <c r="FB3291" s="5"/>
      <c r="FI3291" s="5"/>
      <c r="FJ3291" s="164"/>
      <c r="FL3291" s="2"/>
      <c r="FN3291" s="2"/>
    </row>
    <row r="3292" spans="153:170" x14ac:dyDescent="0.35">
      <c r="EW3292" s="48"/>
      <c r="FB3292" s="5"/>
      <c r="FI3292" s="5"/>
      <c r="FJ3292" s="164"/>
      <c r="FL3292" s="2"/>
      <c r="FN3292" s="2"/>
    </row>
    <row r="3293" spans="153:170" x14ac:dyDescent="0.35">
      <c r="EW3293" s="48"/>
      <c r="FB3293" s="5"/>
      <c r="FI3293" s="5"/>
      <c r="FJ3293" s="164"/>
      <c r="FL3293" s="2"/>
      <c r="FN3293" s="2"/>
    </row>
    <row r="3294" spans="153:170" x14ac:dyDescent="0.35">
      <c r="EW3294" s="48"/>
      <c r="FB3294" s="5"/>
      <c r="FI3294" s="5"/>
      <c r="FJ3294" s="164"/>
      <c r="FL3294" s="2"/>
      <c r="FN3294" s="2"/>
    </row>
    <row r="3295" spans="153:170" x14ac:dyDescent="0.35">
      <c r="EW3295" s="48"/>
      <c r="FB3295" s="5"/>
      <c r="FI3295" s="5"/>
      <c r="FJ3295" s="164"/>
      <c r="FL3295" s="2"/>
      <c r="FN3295" s="2"/>
    </row>
    <row r="3296" spans="153:170" x14ac:dyDescent="0.35">
      <c r="EW3296" s="48"/>
      <c r="FB3296" s="5"/>
      <c r="FI3296" s="5"/>
      <c r="FJ3296" s="164"/>
      <c r="FL3296" s="2"/>
      <c r="FN3296" s="2"/>
    </row>
    <row r="3297" spans="153:170" x14ac:dyDescent="0.35">
      <c r="EW3297" s="48"/>
      <c r="FB3297" s="5"/>
      <c r="FI3297" s="5"/>
      <c r="FJ3297" s="164"/>
      <c r="FL3297" s="2"/>
      <c r="FN3297" s="2"/>
    </row>
    <row r="3298" spans="153:170" x14ac:dyDescent="0.35">
      <c r="EW3298" s="48"/>
      <c r="FB3298" s="5"/>
      <c r="FI3298" s="5"/>
      <c r="FJ3298" s="164"/>
      <c r="FL3298" s="2"/>
      <c r="FN3298" s="2"/>
    </row>
    <row r="3299" spans="153:170" x14ac:dyDescent="0.35">
      <c r="EW3299" s="48"/>
      <c r="FB3299" s="5"/>
      <c r="FI3299" s="5"/>
      <c r="FJ3299" s="164"/>
      <c r="FL3299" s="2"/>
      <c r="FN3299" s="2"/>
    </row>
    <row r="3300" spans="153:170" x14ac:dyDescent="0.35">
      <c r="EW3300" s="48"/>
      <c r="FB3300" s="5"/>
      <c r="FI3300" s="5"/>
      <c r="FJ3300" s="164"/>
      <c r="FL3300" s="2"/>
      <c r="FN3300" s="2"/>
    </row>
    <row r="3301" spans="153:170" x14ac:dyDescent="0.35">
      <c r="EW3301" s="48"/>
      <c r="FB3301" s="5"/>
      <c r="FI3301" s="5"/>
      <c r="FJ3301" s="164"/>
      <c r="FL3301" s="2"/>
      <c r="FN3301" s="2"/>
    </row>
    <row r="3302" spans="153:170" x14ac:dyDescent="0.35">
      <c r="EW3302" s="48"/>
      <c r="FB3302" s="5"/>
      <c r="FI3302" s="5"/>
      <c r="FJ3302" s="164"/>
      <c r="FL3302" s="2"/>
      <c r="FN3302" s="2"/>
    </row>
    <row r="3303" spans="153:170" x14ac:dyDescent="0.35">
      <c r="EW3303" s="48"/>
      <c r="FB3303" s="5"/>
      <c r="FI3303" s="5"/>
      <c r="FJ3303" s="164"/>
      <c r="FL3303" s="2"/>
      <c r="FN3303" s="2"/>
    </row>
    <row r="3304" spans="153:170" x14ac:dyDescent="0.35">
      <c r="EW3304" s="48"/>
      <c r="FB3304" s="5"/>
      <c r="FI3304" s="5"/>
      <c r="FJ3304" s="164"/>
      <c r="FL3304" s="2"/>
      <c r="FN3304" s="2"/>
    </row>
    <row r="3305" spans="153:170" x14ac:dyDescent="0.35">
      <c r="EW3305" s="48"/>
      <c r="FB3305" s="5"/>
      <c r="FI3305" s="5"/>
      <c r="FJ3305" s="164"/>
      <c r="FL3305" s="2"/>
      <c r="FN3305" s="2"/>
    </row>
    <row r="3306" spans="153:170" x14ac:dyDescent="0.35">
      <c r="EW3306" s="48"/>
      <c r="FB3306" s="5"/>
      <c r="FI3306" s="5"/>
      <c r="FJ3306" s="164"/>
      <c r="FL3306" s="2"/>
      <c r="FN3306" s="2"/>
    </row>
    <row r="3307" spans="153:170" x14ac:dyDescent="0.35">
      <c r="EW3307" s="48"/>
      <c r="FB3307" s="5"/>
      <c r="FI3307" s="5"/>
      <c r="FJ3307" s="164"/>
      <c r="FL3307" s="2"/>
      <c r="FN3307" s="2"/>
    </row>
    <row r="3308" spans="153:170" x14ac:dyDescent="0.35">
      <c r="EW3308" s="48"/>
      <c r="FB3308" s="5"/>
      <c r="FI3308" s="5"/>
      <c r="FJ3308" s="164"/>
      <c r="FL3308" s="2"/>
      <c r="FN3308" s="2"/>
    </row>
    <row r="3309" spans="153:170" x14ac:dyDescent="0.35">
      <c r="EW3309" s="48"/>
      <c r="FB3309" s="5"/>
      <c r="FI3309" s="5"/>
      <c r="FJ3309" s="164"/>
      <c r="FL3309" s="2"/>
      <c r="FN3309" s="2"/>
    </row>
    <row r="3310" spans="153:170" x14ac:dyDescent="0.35">
      <c r="EW3310" s="48"/>
      <c r="FB3310" s="5"/>
      <c r="FI3310" s="5"/>
      <c r="FJ3310" s="164"/>
      <c r="FL3310" s="2"/>
      <c r="FN3310" s="2"/>
    </row>
    <row r="3311" spans="153:170" x14ac:dyDescent="0.35">
      <c r="EW3311" s="48"/>
      <c r="FB3311" s="5"/>
      <c r="FI3311" s="5"/>
      <c r="FJ3311" s="164"/>
      <c r="FL3311" s="2"/>
      <c r="FN3311" s="2"/>
    </row>
    <row r="3312" spans="153:170" x14ac:dyDescent="0.35">
      <c r="EW3312" s="48"/>
      <c r="FB3312" s="5"/>
      <c r="FI3312" s="5"/>
      <c r="FJ3312" s="164"/>
      <c r="FL3312" s="2"/>
      <c r="FN3312" s="2"/>
    </row>
    <row r="3313" spans="153:170" x14ac:dyDescent="0.35">
      <c r="EW3313" s="48"/>
      <c r="FB3313" s="5"/>
      <c r="FI3313" s="5"/>
      <c r="FJ3313" s="164"/>
      <c r="FL3313" s="2"/>
      <c r="FN3313" s="2"/>
    </row>
    <row r="3314" spans="153:170" x14ac:dyDescent="0.35">
      <c r="EW3314" s="48"/>
      <c r="FB3314" s="5"/>
      <c r="FI3314" s="5"/>
      <c r="FJ3314" s="164"/>
      <c r="FL3314" s="2"/>
      <c r="FN3314" s="2"/>
    </row>
    <row r="3315" spans="153:170" x14ac:dyDescent="0.35">
      <c r="EW3315" s="48"/>
      <c r="FB3315" s="5"/>
      <c r="FI3315" s="5"/>
      <c r="FJ3315" s="164"/>
      <c r="FL3315" s="2"/>
      <c r="FN3315" s="2"/>
    </row>
    <row r="3316" spans="153:170" x14ac:dyDescent="0.35">
      <c r="EW3316" s="48"/>
      <c r="FB3316" s="5"/>
      <c r="FI3316" s="5"/>
      <c r="FJ3316" s="164"/>
      <c r="FL3316" s="2"/>
      <c r="FN3316" s="2"/>
    </row>
    <row r="3317" spans="153:170" x14ac:dyDescent="0.35">
      <c r="EW3317" s="48"/>
      <c r="FB3317" s="5"/>
      <c r="FI3317" s="5"/>
      <c r="FJ3317" s="164"/>
      <c r="FL3317" s="2"/>
      <c r="FN3317" s="2"/>
    </row>
    <row r="3318" spans="153:170" x14ac:dyDescent="0.35">
      <c r="EW3318" s="48"/>
      <c r="FB3318" s="5"/>
      <c r="FI3318" s="5"/>
      <c r="FJ3318" s="164"/>
      <c r="FL3318" s="2"/>
      <c r="FN3318" s="2"/>
    </row>
    <row r="3319" spans="153:170" x14ac:dyDescent="0.35">
      <c r="EW3319" s="48"/>
      <c r="FB3319" s="5"/>
      <c r="FI3319" s="5"/>
      <c r="FJ3319" s="164"/>
      <c r="FL3319" s="2"/>
      <c r="FN3319" s="2"/>
    </row>
    <row r="3320" spans="153:170" x14ac:dyDescent="0.35">
      <c r="EW3320" s="48"/>
      <c r="FB3320" s="5"/>
      <c r="FI3320" s="5"/>
      <c r="FJ3320" s="164"/>
      <c r="FL3320" s="2"/>
      <c r="FN3320" s="2"/>
    </row>
    <row r="3321" spans="153:170" x14ac:dyDescent="0.35">
      <c r="EW3321" s="48"/>
      <c r="FB3321" s="5"/>
      <c r="FI3321" s="5"/>
      <c r="FJ3321" s="164"/>
      <c r="FL3321" s="2"/>
      <c r="FN3321" s="2"/>
    </row>
    <row r="3322" spans="153:170" x14ac:dyDescent="0.35">
      <c r="EW3322" s="48"/>
      <c r="FB3322" s="5"/>
      <c r="FI3322" s="5"/>
      <c r="FJ3322" s="164"/>
      <c r="FL3322" s="2"/>
      <c r="FN3322" s="2"/>
    </row>
    <row r="3323" spans="153:170" x14ac:dyDescent="0.35">
      <c r="EW3323" s="48"/>
      <c r="FB3323" s="5"/>
      <c r="FI3323" s="5"/>
      <c r="FJ3323" s="164"/>
      <c r="FL3323" s="2"/>
      <c r="FN3323" s="2"/>
    </row>
    <row r="3324" spans="153:170" x14ac:dyDescent="0.35">
      <c r="EW3324" s="48"/>
      <c r="FB3324" s="5"/>
      <c r="FI3324" s="5"/>
      <c r="FJ3324" s="164"/>
      <c r="FL3324" s="2"/>
      <c r="FN3324" s="2"/>
    </row>
    <row r="3325" spans="153:170" x14ac:dyDescent="0.35">
      <c r="EW3325" s="48"/>
      <c r="FB3325" s="5"/>
      <c r="FI3325" s="5"/>
      <c r="FJ3325" s="164"/>
      <c r="FL3325" s="2"/>
      <c r="FN3325" s="2"/>
    </row>
    <row r="3326" spans="153:170" x14ac:dyDescent="0.35">
      <c r="EW3326" s="48"/>
      <c r="FB3326" s="5"/>
      <c r="FI3326" s="5"/>
      <c r="FJ3326" s="164"/>
      <c r="FL3326" s="2"/>
      <c r="FN3326" s="2"/>
    </row>
    <row r="3327" spans="153:170" x14ac:dyDescent="0.35">
      <c r="EW3327" s="48"/>
      <c r="FB3327" s="5"/>
      <c r="FI3327" s="5"/>
      <c r="FJ3327" s="164"/>
      <c r="FL3327" s="2"/>
      <c r="FN3327" s="2"/>
    </row>
    <row r="3328" spans="153:170" x14ac:dyDescent="0.35">
      <c r="EW3328" s="48"/>
      <c r="FB3328" s="5"/>
      <c r="FI3328" s="5"/>
      <c r="FJ3328" s="164"/>
      <c r="FL3328" s="2"/>
      <c r="FN3328" s="2"/>
    </row>
    <row r="3329" spans="153:170" x14ac:dyDescent="0.35">
      <c r="EW3329" s="48"/>
      <c r="FB3329" s="5"/>
      <c r="FI3329" s="5"/>
      <c r="FJ3329" s="164"/>
      <c r="FL3329" s="2"/>
      <c r="FN3329" s="2"/>
    </row>
    <row r="3330" spans="153:170" x14ac:dyDescent="0.35">
      <c r="EW3330" s="48"/>
      <c r="FB3330" s="5"/>
      <c r="FI3330" s="5"/>
      <c r="FJ3330" s="164"/>
      <c r="FL3330" s="2"/>
      <c r="FN3330" s="2"/>
    </row>
    <row r="3331" spans="153:170" x14ac:dyDescent="0.35">
      <c r="EW3331" s="48"/>
      <c r="FB3331" s="5"/>
      <c r="FI3331" s="5"/>
      <c r="FJ3331" s="164"/>
      <c r="FL3331" s="2"/>
      <c r="FN3331" s="2"/>
    </row>
    <row r="3332" spans="153:170" x14ac:dyDescent="0.35">
      <c r="EW3332" s="48"/>
      <c r="FB3332" s="5"/>
      <c r="FI3332" s="5"/>
      <c r="FJ3332" s="164"/>
      <c r="FL3332" s="2"/>
      <c r="FN3332" s="2"/>
    </row>
    <row r="3333" spans="153:170" x14ac:dyDescent="0.35">
      <c r="EW3333" s="48"/>
      <c r="FB3333" s="5"/>
      <c r="FI3333" s="5"/>
      <c r="FJ3333" s="164"/>
      <c r="FL3333" s="2"/>
      <c r="FN3333" s="2"/>
    </row>
    <row r="3334" spans="153:170" x14ac:dyDescent="0.35">
      <c r="EW3334" s="48"/>
      <c r="FB3334" s="5"/>
      <c r="FI3334" s="5"/>
      <c r="FJ3334" s="164"/>
      <c r="FL3334" s="2"/>
      <c r="FN3334" s="2"/>
    </row>
    <row r="3335" spans="153:170" x14ac:dyDescent="0.35">
      <c r="EW3335" s="48"/>
      <c r="FB3335" s="5"/>
      <c r="FI3335" s="5"/>
      <c r="FJ3335" s="164"/>
      <c r="FL3335" s="2"/>
      <c r="FN3335" s="2"/>
    </row>
    <row r="3336" spans="153:170" x14ac:dyDescent="0.35">
      <c r="EW3336" s="48"/>
      <c r="FB3336" s="5"/>
      <c r="FI3336" s="5"/>
      <c r="FJ3336" s="164"/>
      <c r="FL3336" s="2"/>
      <c r="FN3336" s="2"/>
    </row>
    <row r="3337" spans="153:170" x14ac:dyDescent="0.35">
      <c r="EW3337" s="48"/>
      <c r="FB3337" s="5"/>
      <c r="FI3337" s="5"/>
      <c r="FJ3337" s="164"/>
      <c r="FL3337" s="2"/>
      <c r="FN3337" s="2"/>
    </row>
    <row r="3338" spans="153:170" x14ac:dyDescent="0.35">
      <c r="EW3338" s="48"/>
      <c r="FB3338" s="5"/>
      <c r="FI3338" s="5"/>
      <c r="FJ3338" s="164"/>
      <c r="FL3338" s="2"/>
      <c r="FN3338" s="2"/>
    </row>
    <row r="3339" spans="153:170" x14ac:dyDescent="0.35">
      <c r="EW3339" s="48"/>
      <c r="FB3339" s="5"/>
      <c r="FI3339" s="5"/>
      <c r="FJ3339" s="164"/>
      <c r="FL3339" s="2"/>
      <c r="FN3339" s="2"/>
    </row>
    <row r="3340" spans="153:170" x14ac:dyDescent="0.35">
      <c r="EW3340" s="48"/>
      <c r="FB3340" s="5"/>
      <c r="FI3340" s="5"/>
      <c r="FJ3340" s="164"/>
      <c r="FL3340" s="2"/>
      <c r="FN3340" s="2"/>
    </row>
    <row r="3341" spans="153:170" x14ac:dyDescent="0.35">
      <c r="EW3341" s="48"/>
      <c r="FB3341" s="5"/>
      <c r="FI3341" s="5"/>
      <c r="FJ3341" s="164"/>
      <c r="FL3341" s="2"/>
      <c r="FN3341" s="2"/>
    </row>
    <row r="3342" spans="153:170" x14ac:dyDescent="0.35">
      <c r="EW3342" s="48"/>
      <c r="FB3342" s="5"/>
      <c r="FI3342" s="5"/>
      <c r="FJ3342" s="164"/>
      <c r="FL3342" s="2"/>
      <c r="FN3342" s="2"/>
    </row>
    <row r="3343" spans="153:170" x14ac:dyDescent="0.35">
      <c r="EW3343" s="48"/>
      <c r="FB3343" s="5"/>
      <c r="FI3343" s="5"/>
      <c r="FJ3343" s="164"/>
      <c r="FL3343" s="2"/>
      <c r="FN3343" s="2"/>
    </row>
    <row r="3344" spans="153:170" x14ac:dyDescent="0.35">
      <c r="EW3344" s="48"/>
      <c r="FB3344" s="5"/>
      <c r="FI3344" s="5"/>
      <c r="FJ3344" s="164"/>
      <c r="FL3344" s="2"/>
      <c r="FN3344" s="2"/>
    </row>
    <row r="3345" spans="153:170" x14ac:dyDescent="0.35">
      <c r="EW3345" s="48"/>
      <c r="FB3345" s="5"/>
      <c r="FI3345" s="5"/>
      <c r="FJ3345" s="164"/>
      <c r="FL3345" s="2"/>
      <c r="FN3345" s="2"/>
    </row>
    <row r="3346" spans="153:170" x14ac:dyDescent="0.35">
      <c r="EW3346" s="48"/>
      <c r="FB3346" s="5"/>
      <c r="FI3346" s="5"/>
      <c r="FJ3346" s="164"/>
      <c r="FL3346" s="2"/>
      <c r="FN3346" s="2"/>
    </row>
    <row r="3347" spans="153:170" x14ac:dyDescent="0.35">
      <c r="EW3347" s="48"/>
      <c r="FB3347" s="5"/>
      <c r="FI3347" s="5"/>
      <c r="FJ3347" s="164"/>
      <c r="FL3347" s="2"/>
      <c r="FN3347" s="2"/>
    </row>
    <row r="3348" spans="153:170" x14ac:dyDescent="0.35">
      <c r="EW3348" s="48"/>
      <c r="FB3348" s="5"/>
      <c r="FI3348" s="5"/>
      <c r="FJ3348" s="164"/>
      <c r="FL3348" s="2"/>
      <c r="FN3348" s="2"/>
    </row>
    <row r="3349" spans="153:170" x14ac:dyDescent="0.35">
      <c r="EW3349" s="48"/>
      <c r="FB3349" s="5"/>
      <c r="FI3349" s="5"/>
      <c r="FJ3349" s="164"/>
      <c r="FL3349" s="2"/>
      <c r="FN3349" s="2"/>
    </row>
    <row r="3350" spans="153:170" x14ac:dyDescent="0.35">
      <c r="EW3350" s="48"/>
      <c r="FB3350" s="5"/>
      <c r="FI3350" s="5"/>
      <c r="FJ3350" s="164"/>
      <c r="FL3350" s="2"/>
      <c r="FN3350" s="2"/>
    </row>
    <row r="3351" spans="153:170" x14ac:dyDescent="0.35">
      <c r="EW3351" s="48"/>
      <c r="FB3351" s="5"/>
      <c r="FI3351" s="5"/>
      <c r="FJ3351" s="164"/>
      <c r="FL3351" s="2"/>
      <c r="FN3351" s="2"/>
    </row>
    <row r="3352" spans="153:170" x14ac:dyDescent="0.35">
      <c r="EW3352" s="48"/>
      <c r="FB3352" s="5"/>
      <c r="FI3352" s="5"/>
      <c r="FJ3352" s="164"/>
      <c r="FL3352" s="2"/>
      <c r="FN3352" s="2"/>
    </row>
    <row r="3353" spans="153:170" x14ac:dyDescent="0.35">
      <c r="EW3353" s="48"/>
      <c r="FB3353" s="5"/>
      <c r="FI3353" s="5"/>
      <c r="FJ3353" s="164"/>
      <c r="FL3353" s="2"/>
      <c r="FN3353" s="2"/>
    </row>
    <row r="3354" spans="153:170" x14ac:dyDescent="0.35">
      <c r="EW3354" s="48"/>
      <c r="FB3354" s="5"/>
      <c r="FI3354" s="5"/>
      <c r="FJ3354" s="164"/>
      <c r="FL3354" s="2"/>
      <c r="FN3354" s="2"/>
    </row>
    <row r="3355" spans="153:170" x14ac:dyDescent="0.35">
      <c r="EW3355" s="48"/>
      <c r="FB3355" s="5"/>
      <c r="FI3355" s="5"/>
      <c r="FJ3355" s="164"/>
      <c r="FL3355" s="2"/>
      <c r="FN3355" s="2"/>
    </row>
    <row r="3356" spans="153:170" x14ac:dyDescent="0.35">
      <c r="EW3356" s="48"/>
      <c r="FB3356" s="5"/>
      <c r="FI3356" s="5"/>
      <c r="FJ3356" s="164"/>
      <c r="FL3356" s="2"/>
      <c r="FN3356" s="2"/>
    </row>
    <row r="3357" spans="153:170" x14ac:dyDescent="0.35">
      <c r="EW3357" s="48"/>
      <c r="FB3357" s="5"/>
      <c r="FI3357" s="5"/>
      <c r="FJ3357" s="164"/>
      <c r="FL3357" s="2"/>
      <c r="FN3357" s="2"/>
    </row>
    <row r="3358" spans="153:170" x14ac:dyDescent="0.35">
      <c r="EW3358" s="48"/>
      <c r="FB3358" s="5"/>
      <c r="FI3358" s="5"/>
      <c r="FJ3358" s="164"/>
      <c r="FL3358" s="2"/>
      <c r="FN3358" s="2"/>
    </row>
    <row r="3359" spans="153:170" x14ac:dyDescent="0.35">
      <c r="EW3359" s="48"/>
      <c r="FB3359" s="5"/>
      <c r="FI3359" s="5"/>
      <c r="FJ3359" s="164"/>
      <c r="FL3359" s="2"/>
      <c r="FN3359" s="2"/>
    </row>
    <row r="3360" spans="153:170" x14ac:dyDescent="0.35">
      <c r="EW3360" s="48"/>
      <c r="FB3360" s="5"/>
      <c r="FI3360" s="5"/>
      <c r="FJ3360" s="164"/>
      <c r="FL3360" s="2"/>
      <c r="FN3360" s="2"/>
    </row>
    <row r="3361" spans="153:170" x14ac:dyDescent="0.35">
      <c r="EW3361" s="48"/>
      <c r="FB3361" s="5"/>
      <c r="FI3361" s="5"/>
      <c r="FJ3361" s="164"/>
      <c r="FL3361" s="2"/>
      <c r="FN3361" s="2"/>
    </row>
    <row r="3362" spans="153:170" x14ac:dyDescent="0.35">
      <c r="EW3362" s="48"/>
      <c r="FB3362" s="5"/>
      <c r="FI3362" s="5"/>
      <c r="FJ3362" s="164"/>
      <c r="FL3362" s="2"/>
      <c r="FN3362" s="2"/>
    </row>
    <row r="3363" spans="153:170" x14ac:dyDescent="0.35">
      <c r="EW3363" s="48"/>
      <c r="FB3363" s="5"/>
      <c r="FI3363" s="5"/>
      <c r="FJ3363" s="164"/>
      <c r="FL3363" s="2"/>
      <c r="FN3363" s="2"/>
    </row>
    <row r="3364" spans="153:170" x14ac:dyDescent="0.35">
      <c r="EW3364" s="48"/>
      <c r="FB3364" s="5"/>
      <c r="FI3364" s="5"/>
      <c r="FJ3364" s="164"/>
      <c r="FL3364" s="2"/>
      <c r="FN3364" s="2"/>
    </row>
    <row r="3365" spans="153:170" x14ac:dyDescent="0.35">
      <c r="EW3365" s="48"/>
      <c r="FB3365" s="5"/>
      <c r="FI3365" s="5"/>
      <c r="FJ3365" s="164"/>
      <c r="FL3365" s="2"/>
      <c r="FN3365" s="2"/>
    </row>
    <row r="3366" spans="153:170" x14ac:dyDescent="0.35">
      <c r="EW3366" s="48"/>
      <c r="FB3366" s="5"/>
      <c r="FI3366" s="5"/>
      <c r="FJ3366" s="164"/>
      <c r="FL3366" s="2"/>
      <c r="FN3366" s="2"/>
    </row>
    <row r="3367" spans="153:170" x14ac:dyDescent="0.35">
      <c r="EW3367" s="48"/>
      <c r="FB3367" s="5"/>
      <c r="FI3367" s="5"/>
      <c r="FJ3367" s="164"/>
      <c r="FL3367" s="2"/>
      <c r="FN3367" s="2"/>
    </row>
    <row r="3368" spans="153:170" x14ac:dyDescent="0.35">
      <c r="EW3368" s="48"/>
      <c r="FB3368" s="5"/>
      <c r="FI3368" s="5"/>
      <c r="FJ3368" s="164"/>
      <c r="FL3368" s="2"/>
      <c r="FN3368" s="2"/>
    </row>
    <row r="3369" spans="153:170" x14ac:dyDescent="0.35">
      <c r="EW3369" s="48"/>
      <c r="FB3369" s="5"/>
      <c r="FI3369" s="5"/>
      <c r="FJ3369" s="164"/>
      <c r="FL3369" s="2"/>
      <c r="FN3369" s="2"/>
    </row>
    <row r="3370" spans="153:170" x14ac:dyDescent="0.35">
      <c r="EW3370" s="48"/>
      <c r="FB3370" s="5"/>
      <c r="FI3370" s="5"/>
      <c r="FJ3370" s="164"/>
      <c r="FL3370" s="2"/>
      <c r="FN3370" s="2"/>
    </row>
    <row r="3371" spans="153:170" x14ac:dyDescent="0.35">
      <c r="EW3371" s="48"/>
      <c r="FB3371" s="5"/>
      <c r="FI3371" s="5"/>
      <c r="FJ3371" s="164"/>
      <c r="FL3371" s="2"/>
      <c r="FN3371" s="2"/>
    </row>
    <row r="3372" spans="153:170" x14ac:dyDescent="0.35">
      <c r="EW3372" s="48"/>
      <c r="FB3372" s="5"/>
      <c r="FI3372" s="5"/>
      <c r="FJ3372" s="164"/>
      <c r="FL3372" s="2"/>
      <c r="FN3372" s="2"/>
    </row>
    <row r="3373" spans="153:170" x14ac:dyDescent="0.35">
      <c r="EW3373" s="48"/>
      <c r="FB3373" s="5"/>
      <c r="FI3373" s="5"/>
      <c r="FJ3373" s="164"/>
      <c r="FL3373" s="2"/>
      <c r="FN3373" s="2"/>
    </row>
    <row r="3374" spans="153:170" x14ac:dyDescent="0.35">
      <c r="EW3374" s="48"/>
      <c r="FB3374" s="5"/>
      <c r="FI3374" s="5"/>
      <c r="FJ3374" s="164"/>
      <c r="FL3374" s="2"/>
      <c r="FN3374" s="2"/>
    </row>
    <row r="3375" spans="153:170" x14ac:dyDescent="0.35">
      <c r="EW3375" s="48"/>
      <c r="FB3375" s="5"/>
      <c r="FI3375" s="5"/>
      <c r="FJ3375" s="164"/>
      <c r="FL3375" s="2"/>
      <c r="FN3375" s="2"/>
    </row>
    <row r="3376" spans="153:170" x14ac:dyDescent="0.35">
      <c r="EW3376" s="48"/>
      <c r="FB3376" s="5"/>
      <c r="FI3376" s="5"/>
      <c r="FJ3376" s="164"/>
      <c r="FL3376" s="2"/>
      <c r="FN3376" s="2"/>
    </row>
    <row r="3377" spans="153:170" x14ac:dyDescent="0.35">
      <c r="EW3377" s="48"/>
      <c r="FB3377" s="5"/>
      <c r="FI3377" s="5"/>
      <c r="FJ3377" s="164"/>
      <c r="FL3377" s="2"/>
      <c r="FN3377" s="2"/>
    </row>
    <row r="3378" spans="153:170" x14ac:dyDescent="0.35">
      <c r="EW3378" s="48"/>
      <c r="FB3378" s="5"/>
      <c r="FI3378" s="5"/>
      <c r="FJ3378" s="164"/>
      <c r="FL3378" s="2"/>
      <c r="FN3378" s="2"/>
    </row>
    <row r="3379" spans="153:170" x14ac:dyDescent="0.35">
      <c r="EW3379" s="48"/>
      <c r="FB3379" s="5"/>
      <c r="FI3379" s="5"/>
      <c r="FJ3379" s="164"/>
      <c r="FL3379" s="2"/>
      <c r="FN3379" s="2"/>
    </row>
    <row r="3380" spans="153:170" x14ac:dyDescent="0.35">
      <c r="EW3380" s="48"/>
      <c r="FB3380" s="5"/>
      <c r="FI3380" s="5"/>
      <c r="FJ3380" s="164"/>
      <c r="FL3380" s="2"/>
      <c r="FN3380" s="2"/>
    </row>
    <row r="3381" spans="153:170" x14ac:dyDescent="0.35">
      <c r="EW3381" s="48"/>
      <c r="FB3381" s="5"/>
      <c r="FI3381" s="5"/>
      <c r="FJ3381" s="164"/>
      <c r="FL3381" s="2"/>
      <c r="FN3381" s="2"/>
    </row>
    <row r="3382" spans="153:170" x14ac:dyDescent="0.35">
      <c r="EW3382" s="48"/>
      <c r="FB3382" s="5"/>
      <c r="FI3382" s="5"/>
      <c r="FJ3382" s="164"/>
      <c r="FL3382" s="2"/>
      <c r="FN3382" s="2"/>
    </row>
    <row r="3383" spans="153:170" x14ac:dyDescent="0.35">
      <c r="EW3383" s="48"/>
      <c r="FB3383" s="5"/>
      <c r="FI3383" s="5"/>
      <c r="FJ3383" s="164"/>
      <c r="FL3383" s="2"/>
      <c r="FN3383" s="2"/>
    </row>
    <row r="3384" spans="153:170" x14ac:dyDescent="0.35">
      <c r="EW3384" s="48"/>
      <c r="FB3384" s="5"/>
      <c r="FI3384" s="5"/>
      <c r="FJ3384" s="164"/>
      <c r="FL3384" s="2"/>
      <c r="FN3384" s="2"/>
    </row>
    <row r="3385" spans="153:170" x14ac:dyDescent="0.35">
      <c r="EW3385" s="48"/>
      <c r="FB3385" s="5"/>
      <c r="FI3385" s="5"/>
      <c r="FJ3385" s="164"/>
      <c r="FL3385" s="2"/>
      <c r="FN3385" s="2"/>
    </row>
    <row r="3386" spans="153:170" x14ac:dyDescent="0.35">
      <c r="EW3386" s="48"/>
      <c r="FB3386" s="5"/>
      <c r="FI3386" s="5"/>
      <c r="FJ3386" s="164"/>
      <c r="FL3386" s="2"/>
      <c r="FN3386" s="2"/>
    </row>
    <row r="3387" spans="153:170" x14ac:dyDescent="0.35">
      <c r="EW3387" s="48"/>
      <c r="FB3387" s="5"/>
      <c r="FI3387" s="5"/>
      <c r="FJ3387" s="164"/>
      <c r="FL3387" s="2"/>
      <c r="FN3387" s="2"/>
    </row>
    <row r="3388" spans="153:170" x14ac:dyDescent="0.35">
      <c r="EW3388" s="48"/>
      <c r="FB3388" s="5"/>
      <c r="FI3388" s="5"/>
      <c r="FJ3388" s="164"/>
      <c r="FL3388" s="2"/>
      <c r="FN3388" s="2"/>
    </row>
    <row r="3389" spans="153:170" x14ac:dyDescent="0.35">
      <c r="EW3389" s="48"/>
      <c r="FB3389" s="5"/>
      <c r="FI3389" s="5"/>
      <c r="FJ3389" s="164"/>
      <c r="FL3389" s="2"/>
      <c r="FN3389" s="2"/>
    </row>
    <row r="3390" spans="153:170" x14ac:dyDescent="0.35">
      <c r="EW3390" s="48"/>
      <c r="FB3390" s="5"/>
      <c r="FI3390" s="5"/>
      <c r="FJ3390" s="164"/>
      <c r="FL3390" s="2"/>
      <c r="FN3390" s="2"/>
    </row>
    <row r="3391" spans="153:170" x14ac:dyDescent="0.35">
      <c r="EW3391" s="48"/>
      <c r="FB3391" s="5"/>
      <c r="FI3391" s="5"/>
      <c r="FJ3391" s="164"/>
      <c r="FL3391" s="2"/>
      <c r="FN3391" s="2"/>
    </row>
    <row r="3392" spans="153:170" x14ac:dyDescent="0.35">
      <c r="EW3392" s="48"/>
      <c r="FB3392" s="5"/>
      <c r="FI3392" s="5"/>
      <c r="FJ3392" s="164"/>
      <c r="FL3392" s="2"/>
      <c r="FN3392" s="2"/>
    </row>
    <row r="3393" spans="153:170" x14ac:dyDescent="0.35">
      <c r="EW3393" s="48"/>
      <c r="FB3393" s="5"/>
      <c r="FI3393" s="5"/>
      <c r="FJ3393" s="164"/>
      <c r="FL3393" s="2"/>
      <c r="FN3393" s="2"/>
    </row>
    <row r="3394" spans="153:170" x14ac:dyDescent="0.35">
      <c r="EW3394" s="48"/>
      <c r="FB3394" s="5"/>
      <c r="FI3394" s="5"/>
      <c r="FJ3394" s="164"/>
      <c r="FL3394" s="2"/>
      <c r="FN3394" s="2"/>
    </row>
    <row r="3395" spans="153:170" x14ac:dyDescent="0.35">
      <c r="EW3395" s="48"/>
      <c r="FB3395" s="5"/>
      <c r="FI3395" s="5"/>
      <c r="FJ3395" s="164"/>
      <c r="FL3395" s="2"/>
      <c r="FN3395" s="2"/>
    </row>
    <row r="3396" spans="153:170" x14ac:dyDescent="0.35">
      <c r="EW3396" s="48"/>
      <c r="FB3396" s="5"/>
      <c r="FI3396" s="5"/>
      <c r="FJ3396" s="164"/>
      <c r="FL3396" s="2"/>
      <c r="FN3396" s="2"/>
    </row>
    <row r="3397" spans="153:170" x14ac:dyDescent="0.35">
      <c r="EW3397" s="48"/>
      <c r="FB3397" s="5"/>
      <c r="FI3397" s="5"/>
      <c r="FJ3397" s="164"/>
      <c r="FL3397" s="2"/>
      <c r="FN3397" s="2"/>
    </row>
    <row r="3398" spans="153:170" x14ac:dyDescent="0.35">
      <c r="EW3398" s="48"/>
      <c r="FB3398" s="5"/>
      <c r="FI3398" s="5"/>
      <c r="FJ3398" s="164"/>
      <c r="FL3398" s="2"/>
      <c r="FN3398" s="2"/>
    </row>
    <row r="3399" spans="153:170" x14ac:dyDescent="0.35">
      <c r="EW3399" s="48"/>
      <c r="FB3399" s="5"/>
      <c r="FI3399" s="5"/>
      <c r="FJ3399" s="164"/>
      <c r="FL3399" s="2"/>
      <c r="FN3399" s="2"/>
    </row>
    <row r="3400" spans="153:170" x14ac:dyDescent="0.35">
      <c r="EW3400" s="48"/>
      <c r="FB3400" s="5"/>
      <c r="FI3400" s="5"/>
      <c r="FJ3400" s="164"/>
      <c r="FL3400" s="2"/>
      <c r="FN3400" s="2"/>
    </row>
    <row r="3401" spans="153:170" x14ac:dyDescent="0.35">
      <c r="EW3401" s="48"/>
      <c r="FB3401" s="5"/>
      <c r="FI3401" s="5"/>
      <c r="FJ3401" s="164"/>
      <c r="FL3401" s="2"/>
      <c r="FN3401" s="2"/>
    </row>
    <row r="3402" spans="153:170" x14ac:dyDescent="0.35">
      <c r="EW3402" s="48"/>
      <c r="FB3402" s="5"/>
      <c r="FI3402" s="5"/>
      <c r="FJ3402" s="164"/>
      <c r="FL3402" s="2"/>
      <c r="FN3402" s="2"/>
    </row>
    <row r="3403" spans="153:170" x14ac:dyDescent="0.35">
      <c r="EW3403" s="48"/>
      <c r="FB3403" s="5"/>
      <c r="FI3403" s="5"/>
      <c r="FJ3403" s="164"/>
      <c r="FL3403" s="2"/>
      <c r="FN3403" s="2"/>
    </row>
    <row r="3404" spans="153:170" x14ac:dyDescent="0.35">
      <c r="EW3404" s="48"/>
      <c r="FB3404" s="5"/>
      <c r="FI3404" s="5"/>
      <c r="FJ3404" s="164"/>
      <c r="FL3404" s="2"/>
      <c r="FN3404" s="2"/>
    </row>
    <row r="3405" spans="153:170" x14ac:dyDescent="0.35">
      <c r="EW3405" s="48"/>
      <c r="FB3405" s="5"/>
      <c r="FI3405" s="5"/>
      <c r="FJ3405" s="164"/>
      <c r="FL3405" s="2"/>
      <c r="FN3405" s="2"/>
    </row>
    <row r="3406" spans="153:170" x14ac:dyDescent="0.35">
      <c r="EW3406" s="48"/>
      <c r="FB3406" s="5"/>
      <c r="FI3406" s="5"/>
      <c r="FJ3406" s="164"/>
      <c r="FL3406" s="2"/>
      <c r="FN3406" s="2"/>
    </row>
    <row r="3407" spans="153:170" x14ac:dyDescent="0.35">
      <c r="EW3407" s="48"/>
      <c r="FB3407" s="5"/>
      <c r="FI3407" s="5"/>
      <c r="FJ3407" s="164"/>
      <c r="FL3407" s="2"/>
      <c r="FN3407" s="2"/>
    </row>
    <row r="3408" spans="153:170" x14ac:dyDescent="0.35">
      <c r="EW3408" s="48"/>
      <c r="FB3408" s="5"/>
      <c r="FI3408" s="5"/>
      <c r="FJ3408" s="164"/>
      <c r="FL3408" s="2"/>
      <c r="FN3408" s="2"/>
    </row>
    <row r="3409" spans="153:170" x14ac:dyDescent="0.35">
      <c r="EW3409" s="48"/>
      <c r="FB3409" s="5"/>
      <c r="FI3409" s="5"/>
      <c r="FJ3409" s="164"/>
      <c r="FL3409" s="2"/>
      <c r="FN3409" s="2"/>
    </row>
    <row r="3410" spans="153:170" x14ac:dyDescent="0.35">
      <c r="EW3410" s="48"/>
      <c r="FB3410" s="5"/>
      <c r="FI3410" s="5"/>
      <c r="FJ3410" s="164"/>
      <c r="FL3410" s="2"/>
      <c r="FN3410" s="2"/>
    </row>
    <row r="3411" spans="153:170" x14ac:dyDescent="0.35">
      <c r="EW3411" s="48"/>
      <c r="FB3411" s="5"/>
      <c r="FI3411" s="5"/>
      <c r="FJ3411" s="164"/>
      <c r="FL3411" s="2"/>
      <c r="FN3411" s="2"/>
    </row>
    <row r="3412" spans="153:170" x14ac:dyDescent="0.35">
      <c r="EW3412" s="48"/>
      <c r="FB3412" s="5"/>
      <c r="FI3412" s="5"/>
      <c r="FJ3412" s="164"/>
      <c r="FL3412" s="2"/>
      <c r="FN3412" s="2"/>
    </row>
    <row r="3413" spans="153:170" x14ac:dyDescent="0.35">
      <c r="EW3413" s="48"/>
      <c r="FB3413" s="5"/>
      <c r="FI3413" s="5"/>
      <c r="FJ3413" s="164"/>
      <c r="FL3413" s="2"/>
      <c r="FN3413" s="2"/>
    </row>
    <row r="3414" spans="153:170" x14ac:dyDescent="0.35">
      <c r="EW3414" s="48"/>
      <c r="FB3414" s="5"/>
      <c r="FI3414" s="5"/>
      <c r="FJ3414" s="164"/>
      <c r="FL3414" s="2"/>
      <c r="FN3414" s="2"/>
    </row>
    <row r="3415" spans="153:170" x14ac:dyDescent="0.35">
      <c r="EW3415" s="48"/>
      <c r="FB3415" s="5"/>
      <c r="FI3415" s="5"/>
      <c r="FJ3415" s="164"/>
      <c r="FL3415" s="2"/>
      <c r="FN3415" s="2"/>
    </row>
    <row r="3416" spans="153:170" x14ac:dyDescent="0.35">
      <c r="EW3416" s="48"/>
      <c r="FB3416" s="5"/>
      <c r="FI3416" s="5"/>
      <c r="FJ3416" s="164"/>
      <c r="FL3416" s="2"/>
      <c r="FN3416" s="2"/>
    </row>
    <row r="3417" spans="153:170" x14ac:dyDescent="0.35">
      <c r="EW3417" s="48"/>
      <c r="FB3417" s="5"/>
      <c r="FI3417" s="5"/>
      <c r="FJ3417" s="164"/>
      <c r="FL3417" s="2"/>
      <c r="FN3417" s="2"/>
    </row>
    <row r="3418" spans="153:170" x14ac:dyDescent="0.35">
      <c r="EW3418" s="48"/>
      <c r="FB3418" s="5"/>
      <c r="FI3418" s="5"/>
      <c r="FJ3418" s="164"/>
      <c r="FL3418" s="2"/>
      <c r="FN3418" s="2"/>
    </row>
    <row r="3419" spans="153:170" x14ac:dyDescent="0.35">
      <c r="EW3419" s="48"/>
      <c r="FB3419" s="5"/>
      <c r="FI3419" s="5"/>
      <c r="FJ3419" s="164"/>
      <c r="FL3419" s="2"/>
      <c r="FN3419" s="2"/>
    </row>
    <row r="3420" spans="153:170" x14ac:dyDescent="0.35">
      <c r="EW3420" s="48"/>
      <c r="FB3420" s="5"/>
      <c r="FI3420" s="5"/>
      <c r="FJ3420" s="164"/>
      <c r="FL3420" s="2"/>
      <c r="FN3420" s="2"/>
    </row>
    <row r="3421" spans="153:170" x14ac:dyDescent="0.35">
      <c r="EW3421" s="48"/>
      <c r="FB3421" s="5"/>
      <c r="FI3421" s="5"/>
      <c r="FJ3421" s="164"/>
      <c r="FL3421" s="2"/>
      <c r="FN3421" s="2"/>
    </row>
    <row r="3422" spans="153:170" x14ac:dyDescent="0.35">
      <c r="EW3422" s="48"/>
      <c r="FB3422" s="5"/>
      <c r="FI3422" s="5"/>
      <c r="FJ3422" s="164"/>
      <c r="FL3422" s="2"/>
      <c r="FN3422" s="2"/>
    </row>
    <row r="3423" spans="153:170" x14ac:dyDescent="0.35">
      <c r="EW3423" s="48"/>
      <c r="FB3423" s="5"/>
      <c r="FI3423" s="5"/>
      <c r="FJ3423" s="164"/>
      <c r="FL3423" s="2"/>
      <c r="FN3423" s="2"/>
    </row>
    <row r="3424" spans="153:170" x14ac:dyDescent="0.35">
      <c r="EW3424" s="48"/>
      <c r="FB3424" s="5"/>
      <c r="FI3424" s="5"/>
      <c r="FJ3424" s="164"/>
      <c r="FL3424" s="2"/>
      <c r="FN3424" s="2"/>
    </row>
    <row r="3425" spans="153:170" x14ac:dyDescent="0.35">
      <c r="EW3425" s="48"/>
      <c r="FB3425" s="5"/>
      <c r="FI3425" s="5"/>
      <c r="FJ3425" s="164"/>
      <c r="FL3425" s="2"/>
      <c r="FN3425" s="2"/>
    </row>
    <row r="3426" spans="153:170" x14ac:dyDescent="0.35">
      <c r="EW3426" s="48"/>
      <c r="FB3426" s="5"/>
      <c r="FI3426" s="5"/>
      <c r="FJ3426" s="164"/>
      <c r="FL3426" s="2"/>
      <c r="FN3426" s="2"/>
    </row>
    <row r="3427" spans="153:170" x14ac:dyDescent="0.35">
      <c r="EW3427" s="48"/>
      <c r="FB3427" s="5"/>
      <c r="FI3427" s="5"/>
      <c r="FJ3427" s="164"/>
      <c r="FL3427" s="2"/>
      <c r="FN3427" s="2"/>
    </row>
    <row r="3428" spans="153:170" x14ac:dyDescent="0.35">
      <c r="EW3428" s="48"/>
      <c r="FB3428" s="5"/>
      <c r="FI3428" s="5"/>
      <c r="FJ3428" s="164"/>
      <c r="FL3428" s="2"/>
      <c r="FN3428" s="2"/>
    </row>
    <row r="3429" spans="153:170" x14ac:dyDescent="0.35">
      <c r="EW3429" s="48"/>
      <c r="FB3429" s="5"/>
      <c r="FI3429" s="5"/>
      <c r="FJ3429" s="164"/>
      <c r="FL3429" s="2"/>
      <c r="FN3429" s="2"/>
    </row>
    <row r="3430" spans="153:170" x14ac:dyDescent="0.35">
      <c r="EW3430" s="48"/>
      <c r="FB3430" s="5"/>
      <c r="FI3430" s="5"/>
      <c r="FJ3430" s="164"/>
      <c r="FL3430" s="2"/>
      <c r="FN3430" s="2"/>
    </row>
    <row r="3431" spans="153:170" x14ac:dyDescent="0.35">
      <c r="EW3431" s="48"/>
      <c r="FB3431" s="5"/>
      <c r="FI3431" s="5"/>
      <c r="FJ3431" s="164"/>
      <c r="FL3431" s="2"/>
      <c r="FN3431" s="2"/>
    </row>
    <row r="3432" spans="153:170" x14ac:dyDescent="0.35">
      <c r="EW3432" s="48"/>
      <c r="FB3432" s="5"/>
      <c r="FI3432" s="5"/>
      <c r="FJ3432" s="164"/>
      <c r="FL3432" s="2"/>
      <c r="FN3432" s="2"/>
    </row>
    <row r="3433" spans="153:170" x14ac:dyDescent="0.35">
      <c r="EW3433" s="48"/>
      <c r="FB3433" s="5"/>
      <c r="FI3433" s="5"/>
      <c r="FJ3433" s="164"/>
      <c r="FL3433" s="2"/>
      <c r="FN3433" s="2"/>
    </row>
    <row r="3434" spans="153:170" x14ac:dyDescent="0.35">
      <c r="EW3434" s="48"/>
      <c r="FB3434" s="5"/>
      <c r="FI3434" s="5"/>
      <c r="FJ3434" s="164"/>
      <c r="FL3434" s="2"/>
      <c r="FN3434" s="2"/>
    </row>
    <row r="3435" spans="153:170" x14ac:dyDescent="0.35">
      <c r="EW3435" s="48"/>
      <c r="FB3435" s="5"/>
      <c r="FI3435" s="5"/>
      <c r="FJ3435" s="164"/>
      <c r="FL3435" s="2"/>
      <c r="FN3435" s="2"/>
    </row>
    <row r="3436" spans="153:170" x14ac:dyDescent="0.35">
      <c r="EW3436" s="48"/>
      <c r="FB3436" s="5"/>
      <c r="FI3436" s="5"/>
      <c r="FJ3436" s="164"/>
      <c r="FL3436" s="2"/>
      <c r="FN3436" s="2"/>
    </row>
    <row r="3437" spans="153:170" x14ac:dyDescent="0.35">
      <c r="EW3437" s="48"/>
      <c r="FB3437" s="5"/>
      <c r="FI3437" s="5"/>
      <c r="FJ3437" s="164"/>
      <c r="FL3437" s="2"/>
      <c r="FN3437" s="2"/>
    </row>
    <row r="3438" spans="153:170" x14ac:dyDescent="0.35">
      <c r="EW3438" s="48"/>
      <c r="FB3438" s="5"/>
      <c r="FI3438" s="5"/>
      <c r="FJ3438" s="164"/>
      <c r="FL3438" s="2"/>
      <c r="FN3438" s="2"/>
    </row>
    <row r="3439" spans="153:170" x14ac:dyDescent="0.35">
      <c r="EW3439" s="48"/>
      <c r="FB3439" s="5"/>
      <c r="FI3439" s="5"/>
      <c r="FJ3439" s="164"/>
      <c r="FL3439" s="2"/>
      <c r="FN3439" s="2"/>
    </row>
    <row r="3440" spans="153:170" x14ac:dyDescent="0.35">
      <c r="EW3440" s="48"/>
      <c r="FB3440" s="5"/>
      <c r="FI3440" s="5"/>
      <c r="FJ3440" s="164"/>
      <c r="FL3440" s="2"/>
      <c r="FN3440" s="2"/>
    </row>
    <row r="3441" spans="153:170" x14ac:dyDescent="0.35">
      <c r="EW3441" s="48"/>
      <c r="FB3441" s="5"/>
      <c r="FI3441" s="5"/>
      <c r="FJ3441" s="164"/>
      <c r="FL3441" s="2"/>
      <c r="FN3441" s="2"/>
    </row>
    <row r="3442" spans="153:170" x14ac:dyDescent="0.35">
      <c r="EW3442" s="48"/>
      <c r="FB3442" s="5"/>
      <c r="FI3442" s="5"/>
      <c r="FJ3442" s="164"/>
      <c r="FL3442" s="2"/>
      <c r="FN3442" s="2"/>
    </row>
    <row r="3443" spans="153:170" x14ac:dyDescent="0.35">
      <c r="EW3443" s="48"/>
      <c r="FB3443" s="5"/>
      <c r="FI3443" s="5"/>
      <c r="FJ3443" s="164"/>
      <c r="FL3443" s="2"/>
      <c r="FN3443" s="2"/>
    </row>
    <row r="3444" spans="153:170" x14ac:dyDescent="0.35">
      <c r="EW3444" s="48"/>
      <c r="FB3444" s="5"/>
      <c r="FI3444" s="5"/>
      <c r="FJ3444" s="164"/>
      <c r="FL3444" s="2"/>
      <c r="FN3444" s="2"/>
    </row>
    <row r="3445" spans="153:170" x14ac:dyDescent="0.35">
      <c r="EW3445" s="48"/>
      <c r="FB3445" s="5"/>
      <c r="FI3445" s="5"/>
      <c r="FJ3445" s="164"/>
      <c r="FL3445" s="2"/>
      <c r="FN3445" s="2"/>
    </row>
    <row r="3446" spans="153:170" x14ac:dyDescent="0.35">
      <c r="EW3446" s="48"/>
      <c r="FB3446" s="5"/>
      <c r="FI3446" s="5"/>
      <c r="FJ3446" s="164"/>
      <c r="FL3446" s="2"/>
      <c r="FN3446" s="2"/>
    </row>
    <row r="3447" spans="153:170" x14ac:dyDescent="0.35">
      <c r="EW3447" s="48"/>
      <c r="FB3447" s="5"/>
      <c r="FI3447" s="5"/>
      <c r="FJ3447" s="164"/>
      <c r="FL3447" s="2"/>
      <c r="FN3447" s="2"/>
    </row>
    <row r="3448" spans="153:170" x14ac:dyDescent="0.35">
      <c r="EW3448" s="48"/>
      <c r="FB3448" s="5"/>
      <c r="FI3448" s="5"/>
      <c r="FJ3448" s="164"/>
      <c r="FL3448" s="2"/>
      <c r="FN3448" s="2"/>
    </row>
    <row r="3449" spans="153:170" x14ac:dyDescent="0.35">
      <c r="EW3449" s="48"/>
      <c r="FB3449" s="5"/>
      <c r="FI3449" s="5"/>
      <c r="FJ3449" s="164"/>
      <c r="FL3449" s="2"/>
      <c r="FN3449" s="2"/>
    </row>
    <row r="3450" spans="153:170" x14ac:dyDescent="0.35">
      <c r="EW3450" s="48"/>
      <c r="FB3450" s="5"/>
      <c r="FI3450" s="5"/>
      <c r="FJ3450" s="164"/>
      <c r="FL3450" s="2"/>
      <c r="FN3450" s="2"/>
    </row>
    <row r="3451" spans="153:170" x14ac:dyDescent="0.35">
      <c r="EW3451" s="48"/>
      <c r="FB3451" s="5"/>
      <c r="FI3451" s="5"/>
      <c r="FJ3451" s="164"/>
      <c r="FL3451" s="2"/>
      <c r="FN3451" s="2"/>
    </row>
    <row r="3452" spans="153:170" x14ac:dyDescent="0.35">
      <c r="EW3452" s="48"/>
      <c r="FB3452" s="5"/>
      <c r="FI3452" s="5"/>
      <c r="FJ3452" s="164"/>
      <c r="FL3452" s="2"/>
      <c r="FN3452" s="2"/>
    </row>
    <row r="3453" spans="153:170" x14ac:dyDescent="0.35">
      <c r="EW3453" s="48"/>
      <c r="FB3453" s="5"/>
      <c r="FI3453" s="5"/>
      <c r="FJ3453" s="164"/>
      <c r="FL3453" s="2"/>
      <c r="FN3453" s="2"/>
    </row>
    <row r="3454" spans="153:170" x14ac:dyDescent="0.35">
      <c r="EW3454" s="48"/>
      <c r="FB3454" s="5"/>
      <c r="FI3454" s="5"/>
      <c r="FJ3454" s="164"/>
      <c r="FL3454" s="2"/>
      <c r="FN3454" s="2"/>
    </row>
    <row r="3455" spans="153:170" x14ac:dyDescent="0.35">
      <c r="EW3455" s="48"/>
      <c r="FB3455" s="5"/>
      <c r="FI3455" s="5"/>
      <c r="FJ3455" s="164"/>
      <c r="FL3455" s="2"/>
      <c r="FN3455" s="2"/>
    </row>
    <row r="3456" spans="153:170" x14ac:dyDescent="0.35">
      <c r="EW3456" s="48"/>
      <c r="FB3456" s="5"/>
      <c r="FI3456" s="5"/>
      <c r="FJ3456" s="164"/>
      <c r="FL3456" s="2"/>
      <c r="FN3456" s="2"/>
    </row>
    <row r="3457" spans="153:170" x14ac:dyDescent="0.35">
      <c r="EW3457" s="48"/>
      <c r="FB3457" s="5"/>
      <c r="FI3457" s="5"/>
      <c r="FJ3457" s="164"/>
      <c r="FL3457" s="2"/>
      <c r="FN3457" s="2"/>
    </row>
    <row r="3458" spans="153:170" x14ac:dyDescent="0.35">
      <c r="EW3458" s="48"/>
      <c r="FB3458" s="5"/>
      <c r="FI3458" s="5"/>
      <c r="FJ3458" s="164"/>
      <c r="FL3458" s="2"/>
      <c r="FN3458" s="2"/>
    </row>
    <row r="3459" spans="153:170" x14ac:dyDescent="0.35">
      <c r="EW3459" s="48"/>
      <c r="FB3459" s="5"/>
      <c r="FI3459" s="5"/>
      <c r="FJ3459" s="164"/>
      <c r="FL3459" s="2"/>
      <c r="FN3459" s="2"/>
    </row>
    <row r="3460" spans="153:170" x14ac:dyDescent="0.35">
      <c r="EW3460" s="48"/>
      <c r="FB3460" s="5"/>
      <c r="FI3460" s="5"/>
      <c r="FJ3460" s="164"/>
      <c r="FL3460" s="2"/>
      <c r="FN3460" s="2"/>
    </row>
    <row r="3461" spans="153:170" x14ac:dyDescent="0.35">
      <c r="EW3461" s="48"/>
      <c r="FB3461" s="5"/>
      <c r="FI3461" s="5"/>
      <c r="FJ3461" s="164"/>
      <c r="FL3461" s="2"/>
      <c r="FN3461" s="2"/>
    </row>
    <row r="3462" spans="153:170" x14ac:dyDescent="0.35">
      <c r="EW3462" s="48"/>
      <c r="FB3462" s="5"/>
      <c r="FI3462" s="5"/>
      <c r="FJ3462" s="164"/>
      <c r="FL3462" s="2"/>
      <c r="FN3462" s="2"/>
    </row>
    <row r="3463" spans="153:170" x14ac:dyDescent="0.35">
      <c r="EW3463" s="48"/>
      <c r="FB3463" s="5"/>
      <c r="FI3463" s="5"/>
      <c r="FJ3463" s="164"/>
      <c r="FL3463" s="2"/>
      <c r="FN3463" s="2"/>
    </row>
    <row r="3464" spans="153:170" x14ac:dyDescent="0.35">
      <c r="EW3464" s="48"/>
      <c r="FB3464" s="5"/>
      <c r="FI3464" s="5"/>
      <c r="FJ3464" s="164"/>
      <c r="FL3464" s="2"/>
      <c r="FN3464" s="2"/>
    </row>
    <row r="3465" spans="153:170" x14ac:dyDescent="0.35">
      <c r="EW3465" s="48"/>
      <c r="FB3465" s="5"/>
      <c r="FI3465" s="5"/>
      <c r="FJ3465" s="164"/>
      <c r="FL3465" s="2"/>
      <c r="FN3465" s="2"/>
    </row>
    <row r="3466" spans="153:170" x14ac:dyDescent="0.35">
      <c r="EW3466" s="48"/>
      <c r="FB3466" s="5"/>
      <c r="FI3466" s="5"/>
      <c r="FJ3466" s="164"/>
      <c r="FL3466" s="2"/>
      <c r="FN3466" s="2"/>
    </row>
    <row r="3467" spans="153:170" x14ac:dyDescent="0.35">
      <c r="EW3467" s="48"/>
      <c r="FB3467" s="5"/>
      <c r="FI3467" s="5"/>
      <c r="FJ3467" s="164"/>
      <c r="FL3467" s="2"/>
      <c r="FN3467" s="2"/>
    </row>
    <row r="3468" spans="153:170" x14ac:dyDescent="0.35">
      <c r="EW3468" s="48"/>
      <c r="FB3468" s="5"/>
      <c r="FI3468" s="5"/>
      <c r="FJ3468" s="164"/>
      <c r="FL3468" s="2"/>
      <c r="FN3468" s="2"/>
    </row>
    <row r="3469" spans="153:170" x14ac:dyDescent="0.35">
      <c r="EW3469" s="48"/>
      <c r="FB3469" s="5"/>
      <c r="FI3469" s="5"/>
      <c r="FJ3469" s="164"/>
      <c r="FL3469" s="2"/>
      <c r="FN3469" s="2"/>
    </row>
    <row r="3470" spans="153:170" x14ac:dyDescent="0.35">
      <c r="EW3470" s="48"/>
      <c r="FB3470" s="5"/>
      <c r="FI3470" s="5"/>
      <c r="FJ3470" s="164"/>
      <c r="FL3470" s="2"/>
      <c r="FN3470" s="2"/>
    </row>
    <row r="3471" spans="153:170" x14ac:dyDescent="0.35">
      <c r="EW3471" s="48"/>
      <c r="FB3471" s="5"/>
      <c r="FI3471" s="5"/>
      <c r="FJ3471" s="164"/>
      <c r="FL3471" s="2"/>
      <c r="FN3471" s="2"/>
    </row>
    <row r="3472" spans="153:170" x14ac:dyDescent="0.35">
      <c r="EW3472" s="48"/>
      <c r="FB3472" s="5"/>
      <c r="FI3472" s="5"/>
      <c r="FJ3472" s="164"/>
      <c r="FL3472" s="2"/>
      <c r="FN3472" s="2"/>
    </row>
    <row r="3473" spans="153:170" x14ac:dyDescent="0.35">
      <c r="EW3473" s="48"/>
      <c r="FB3473" s="5"/>
      <c r="FI3473" s="5"/>
      <c r="FJ3473" s="164"/>
      <c r="FL3473" s="2"/>
      <c r="FN3473" s="2"/>
    </row>
    <row r="3474" spans="153:170" x14ac:dyDescent="0.35">
      <c r="EW3474" s="48"/>
      <c r="FB3474" s="5"/>
      <c r="FI3474" s="5"/>
      <c r="FJ3474" s="164"/>
      <c r="FL3474" s="2"/>
      <c r="FN3474" s="2"/>
    </row>
    <row r="3475" spans="153:170" x14ac:dyDescent="0.35">
      <c r="EW3475" s="48"/>
      <c r="FB3475" s="5"/>
      <c r="FI3475" s="5"/>
      <c r="FJ3475" s="164"/>
      <c r="FL3475" s="2"/>
      <c r="FN3475" s="2"/>
    </row>
    <row r="3476" spans="153:170" x14ac:dyDescent="0.35">
      <c r="EW3476" s="48"/>
      <c r="FB3476" s="5"/>
      <c r="FI3476" s="5"/>
      <c r="FJ3476" s="164"/>
      <c r="FL3476" s="2"/>
      <c r="FN3476" s="2"/>
    </row>
    <row r="3477" spans="153:170" x14ac:dyDescent="0.35">
      <c r="EW3477" s="48"/>
      <c r="FB3477" s="5"/>
      <c r="FI3477" s="5"/>
      <c r="FJ3477" s="164"/>
      <c r="FL3477" s="2"/>
      <c r="FN3477" s="2"/>
    </row>
    <row r="3478" spans="153:170" x14ac:dyDescent="0.35">
      <c r="EW3478" s="48"/>
      <c r="FB3478" s="5"/>
      <c r="FI3478" s="5"/>
      <c r="FJ3478" s="164"/>
      <c r="FL3478" s="2"/>
      <c r="FN3478" s="2"/>
    </row>
    <row r="3479" spans="153:170" x14ac:dyDescent="0.35">
      <c r="EW3479" s="48"/>
      <c r="FB3479" s="5"/>
      <c r="FI3479" s="5"/>
      <c r="FJ3479" s="164"/>
      <c r="FL3479" s="2"/>
      <c r="FN3479" s="2"/>
    </row>
    <row r="3480" spans="153:170" x14ac:dyDescent="0.35">
      <c r="EW3480" s="48"/>
      <c r="FB3480" s="5"/>
      <c r="FI3480" s="5"/>
      <c r="FJ3480" s="164"/>
      <c r="FL3480" s="2"/>
      <c r="FN3480" s="2"/>
    </row>
    <row r="3481" spans="153:170" x14ac:dyDescent="0.35">
      <c r="EW3481" s="48"/>
      <c r="FB3481" s="5"/>
      <c r="FI3481" s="5"/>
      <c r="FJ3481" s="164"/>
      <c r="FL3481" s="2"/>
      <c r="FN3481" s="2"/>
    </row>
    <row r="3482" spans="153:170" x14ac:dyDescent="0.35">
      <c r="EW3482" s="48"/>
      <c r="FB3482" s="5"/>
      <c r="FI3482" s="5"/>
      <c r="FJ3482" s="164"/>
      <c r="FL3482" s="2"/>
      <c r="FN3482" s="2"/>
    </row>
    <row r="3483" spans="153:170" x14ac:dyDescent="0.35">
      <c r="EW3483" s="48"/>
      <c r="FB3483" s="5"/>
      <c r="FI3483" s="5"/>
      <c r="FJ3483" s="164"/>
      <c r="FL3483" s="2"/>
      <c r="FN3483" s="2"/>
    </row>
    <row r="3484" spans="153:170" x14ac:dyDescent="0.35">
      <c r="EW3484" s="48"/>
      <c r="FB3484" s="5"/>
      <c r="FI3484" s="5"/>
      <c r="FJ3484" s="164"/>
      <c r="FL3484" s="2"/>
      <c r="FN3484" s="2"/>
    </row>
    <row r="3485" spans="153:170" x14ac:dyDescent="0.35">
      <c r="EW3485" s="48"/>
      <c r="FB3485" s="5"/>
      <c r="FI3485" s="5"/>
      <c r="FJ3485" s="164"/>
      <c r="FL3485" s="2"/>
      <c r="FN3485" s="2"/>
    </row>
    <row r="3486" spans="153:170" x14ac:dyDescent="0.35">
      <c r="EW3486" s="48"/>
      <c r="FB3486" s="5"/>
      <c r="FI3486" s="5"/>
      <c r="FJ3486" s="164"/>
      <c r="FL3486" s="2"/>
      <c r="FN3486" s="2"/>
    </row>
    <row r="3487" spans="153:170" x14ac:dyDescent="0.35">
      <c r="EW3487" s="48"/>
      <c r="FB3487" s="5"/>
      <c r="FI3487" s="5"/>
      <c r="FJ3487" s="164"/>
      <c r="FL3487" s="2"/>
      <c r="FN3487" s="2"/>
    </row>
    <row r="3488" spans="153:170" x14ac:dyDescent="0.35">
      <c r="EW3488" s="48"/>
      <c r="FB3488" s="5"/>
      <c r="FI3488" s="5"/>
      <c r="FJ3488" s="164"/>
      <c r="FL3488" s="2"/>
      <c r="FN3488" s="2"/>
    </row>
    <row r="3489" spans="153:170" x14ac:dyDescent="0.35">
      <c r="EW3489" s="48"/>
      <c r="FB3489" s="5"/>
      <c r="FI3489" s="5"/>
      <c r="FJ3489" s="164"/>
      <c r="FL3489" s="2"/>
      <c r="FN3489" s="2"/>
    </row>
    <row r="3490" spans="153:170" x14ac:dyDescent="0.35">
      <c r="EW3490" s="48"/>
      <c r="FB3490" s="5"/>
      <c r="FI3490" s="5"/>
      <c r="FJ3490" s="164"/>
      <c r="FL3490" s="2"/>
      <c r="FN3490" s="2"/>
    </row>
    <row r="3491" spans="153:170" x14ac:dyDescent="0.35">
      <c r="EW3491" s="48"/>
      <c r="FB3491" s="5"/>
      <c r="FI3491" s="5"/>
      <c r="FJ3491" s="164"/>
      <c r="FL3491" s="2"/>
      <c r="FN3491" s="2"/>
    </row>
    <row r="3492" spans="153:170" x14ac:dyDescent="0.35">
      <c r="EW3492" s="48"/>
      <c r="FB3492" s="5"/>
      <c r="FI3492" s="5"/>
      <c r="FJ3492" s="164"/>
      <c r="FL3492" s="2"/>
      <c r="FN3492" s="2"/>
    </row>
    <row r="3493" spans="153:170" x14ac:dyDescent="0.35">
      <c r="EW3493" s="48"/>
      <c r="FB3493" s="5"/>
      <c r="FI3493" s="5"/>
      <c r="FJ3493" s="164"/>
      <c r="FL3493" s="2"/>
      <c r="FN3493" s="2"/>
    </row>
    <row r="3494" spans="153:170" x14ac:dyDescent="0.35">
      <c r="EW3494" s="48"/>
      <c r="FB3494" s="5"/>
      <c r="FI3494" s="5"/>
      <c r="FJ3494" s="164"/>
      <c r="FL3494" s="2"/>
      <c r="FN3494" s="2"/>
    </row>
    <row r="3495" spans="153:170" x14ac:dyDescent="0.35">
      <c r="EW3495" s="48"/>
      <c r="FB3495" s="5"/>
      <c r="FI3495" s="5"/>
      <c r="FJ3495" s="164"/>
      <c r="FL3495" s="2"/>
      <c r="FN3495" s="2"/>
    </row>
    <row r="3496" spans="153:170" x14ac:dyDescent="0.35">
      <c r="EW3496" s="48"/>
      <c r="FB3496" s="5"/>
      <c r="FI3496" s="5"/>
      <c r="FJ3496" s="164"/>
      <c r="FL3496" s="2"/>
      <c r="FN3496" s="2"/>
    </row>
    <row r="3497" spans="153:170" x14ac:dyDescent="0.35">
      <c r="EW3497" s="48"/>
      <c r="FB3497" s="5"/>
      <c r="FI3497" s="5"/>
      <c r="FJ3497" s="164"/>
      <c r="FL3497" s="2"/>
      <c r="FN3497" s="2"/>
    </row>
    <row r="3498" spans="153:170" x14ac:dyDescent="0.35">
      <c r="EW3498" s="48"/>
      <c r="FB3498" s="5"/>
      <c r="FI3498" s="5"/>
      <c r="FJ3498" s="164"/>
      <c r="FL3498" s="2"/>
      <c r="FN3498" s="2"/>
    </row>
    <row r="3499" spans="153:170" x14ac:dyDescent="0.35">
      <c r="EW3499" s="48"/>
      <c r="FB3499" s="5"/>
      <c r="FI3499" s="5"/>
      <c r="FJ3499" s="164"/>
      <c r="FL3499" s="2"/>
      <c r="FN3499" s="2"/>
    </row>
    <row r="3500" spans="153:170" x14ac:dyDescent="0.35">
      <c r="EW3500" s="48"/>
      <c r="FB3500" s="5"/>
      <c r="FI3500" s="5"/>
      <c r="FJ3500" s="164"/>
      <c r="FL3500" s="2"/>
      <c r="FN3500" s="2"/>
    </row>
    <row r="3501" spans="153:170" x14ac:dyDescent="0.35">
      <c r="EW3501" s="48"/>
      <c r="FB3501" s="5"/>
      <c r="FI3501" s="5"/>
      <c r="FJ3501" s="164"/>
      <c r="FL3501" s="2"/>
      <c r="FN3501" s="2"/>
    </row>
    <row r="3502" spans="153:170" x14ac:dyDescent="0.35">
      <c r="EW3502" s="48"/>
      <c r="FB3502" s="5"/>
      <c r="FI3502" s="5"/>
      <c r="FJ3502" s="164"/>
      <c r="FL3502" s="2"/>
      <c r="FN3502" s="2"/>
    </row>
    <row r="3503" spans="153:170" x14ac:dyDescent="0.35">
      <c r="EW3503" s="48"/>
      <c r="FB3503" s="5"/>
      <c r="FI3503" s="5"/>
      <c r="FJ3503" s="164"/>
      <c r="FL3503" s="2"/>
      <c r="FN3503" s="2"/>
    </row>
    <row r="3504" spans="153:170" x14ac:dyDescent="0.35">
      <c r="EW3504" s="48"/>
      <c r="FB3504" s="5"/>
      <c r="FI3504" s="5"/>
      <c r="FJ3504" s="164"/>
      <c r="FL3504" s="2"/>
      <c r="FN3504" s="2"/>
    </row>
    <row r="3505" spans="153:170" x14ac:dyDescent="0.35">
      <c r="EW3505" s="48"/>
      <c r="FB3505" s="5"/>
      <c r="FI3505" s="5"/>
      <c r="FJ3505" s="164"/>
      <c r="FL3505" s="2"/>
      <c r="FN3505" s="2"/>
    </row>
    <row r="3506" spans="153:170" x14ac:dyDescent="0.35">
      <c r="EW3506" s="48"/>
      <c r="FB3506" s="5"/>
      <c r="FI3506" s="5"/>
      <c r="FJ3506" s="164"/>
      <c r="FL3506" s="2"/>
      <c r="FN3506" s="2"/>
    </row>
    <row r="3507" spans="153:170" x14ac:dyDescent="0.35">
      <c r="EW3507" s="48"/>
      <c r="FB3507" s="5"/>
      <c r="FI3507" s="5"/>
      <c r="FJ3507" s="164"/>
      <c r="FL3507" s="2"/>
      <c r="FN3507" s="2"/>
    </row>
    <row r="3508" spans="153:170" x14ac:dyDescent="0.35">
      <c r="EW3508" s="48"/>
      <c r="FB3508" s="5"/>
      <c r="FI3508" s="5"/>
      <c r="FJ3508" s="164"/>
      <c r="FL3508" s="2"/>
      <c r="FN3508" s="2"/>
    </row>
    <row r="3509" spans="153:170" x14ac:dyDescent="0.35">
      <c r="EW3509" s="48"/>
      <c r="FB3509" s="5"/>
      <c r="FI3509" s="5"/>
      <c r="FJ3509" s="164"/>
      <c r="FL3509" s="2"/>
      <c r="FN3509" s="2"/>
    </row>
    <row r="3510" spans="153:170" x14ac:dyDescent="0.35">
      <c r="EW3510" s="48"/>
      <c r="FB3510" s="5"/>
      <c r="FI3510" s="5"/>
      <c r="FJ3510" s="164"/>
      <c r="FL3510" s="2"/>
      <c r="FN3510" s="2"/>
    </row>
    <row r="3511" spans="153:170" x14ac:dyDescent="0.35">
      <c r="EW3511" s="48"/>
      <c r="FB3511" s="5"/>
      <c r="FI3511" s="5"/>
      <c r="FJ3511" s="164"/>
      <c r="FL3511" s="2"/>
      <c r="FN3511" s="2"/>
    </row>
    <row r="3512" spans="153:170" x14ac:dyDescent="0.35">
      <c r="EW3512" s="48"/>
      <c r="FB3512" s="5"/>
      <c r="FI3512" s="5"/>
      <c r="FJ3512" s="164"/>
      <c r="FL3512" s="2"/>
      <c r="FN3512" s="2"/>
    </row>
    <row r="3513" spans="153:170" x14ac:dyDescent="0.35">
      <c r="EW3513" s="48"/>
      <c r="FB3513" s="5"/>
      <c r="FI3513" s="5"/>
      <c r="FJ3513" s="164"/>
      <c r="FL3513" s="2"/>
      <c r="FN3513" s="2"/>
    </row>
    <row r="3514" spans="153:170" x14ac:dyDescent="0.35">
      <c r="EW3514" s="48"/>
      <c r="FB3514" s="5"/>
      <c r="FI3514" s="5"/>
      <c r="FJ3514" s="164"/>
      <c r="FL3514" s="2"/>
      <c r="FN3514" s="2"/>
    </row>
    <row r="3515" spans="153:170" x14ac:dyDescent="0.35">
      <c r="EW3515" s="48"/>
      <c r="FB3515" s="5"/>
      <c r="FI3515" s="5"/>
      <c r="FJ3515" s="164"/>
      <c r="FL3515" s="2"/>
      <c r="FN3515" s="2"/>
    </row>
    <row r="3516" spans="153:170" x14ac:dyDescent="0.35">
      <c r="EW3516" s="48"/>
      <c r="FB3516" s="5"/>
      <c r="FI3516" s="5"/>
      <c r="FJ3516" s="164"/>
      <c r="FL3516" s="2"/>
      <c r="FN3516" s="2"/>
    </row>
    <row r="3517" spans="153:170" x14ac:dyDescent="0.35">
      <c r="EW3517" s="48"/>
      <c r="FB3517" s="5"/>
      <c r="FI3517" s="5"/>
      <c r="FJ3517" s="164"/>
      <c r="FL3517" s="2"/>
      <c r="FN3517" s="2"/>
    </row>
    <row r="3518" spans="153:170" x14ac:dyDescent="0.35">
      <c r="EW3518" s="48"/>
      <c r="FB3518" s="5"/>
      <c r="FI3518" s="5"/>
      <c r="FJ3518" s="164"/>
      <c r="FL3518" s="2"/>
      <c r="FN3518" s="2"/>
    </row>
    <row r="3519" spans="153:170" x14ac:dyDescent="0.35">
      <c r="EW3519" s="48"/>
      <c r="FB3519" s="5"/>
      <c r="FI3519" s="5"/>
      <c r="FJ3519" s="164"/>
      <c r="FL3519" s="2"/>
      <c r="FN3519" s="2"/>
    </row>
    <row r="3520" spans="153:170" x14ac:dyDescent="0.35">
      <c r="EW3520" s="48"/>
      <c r="FB3520" s="5"/>
      <c r="FI3520" s="5"/>
      <c r="FJ3520" s="164"/>
      <c r="FL3520" s="2"/>
      <c r="FN3520" s="2"/>
    </row>
    <row r="3521" spans="153:170" x14ac:dyDescent="0.35">
      <c r="EW3521" s="48"/>
      <c r="FB3521" s="5"/>
      <c r="FI3521" s="5"/>
      <c r="FJ3521" s="164"/>
      <c r="FL3521" s="2"/>
      <c r="FN3521" s="2"/>
    </row>
    <row r="3522" spans="153:170" x14ac:dyDescent="0.35">
      <c r="EW3522" s="48"/>
      <c r="FB3522" s="5"/>
      <c r="FI3522" s="5"/>
      <c r="FJ3522" s="164"/>
      <c r="FL3522" s="2"/>
      <c r="FN3522" s="2"/>
    </row>
    <row r="3523" spans="153:170" x14ac:dyDescent="0.35">
      <c r="EW3523" s="48"/>
      <c r="FB3523" s="5"/>
      <c r="FI3523" s="5"/>
      <c r="FJ3523" s="164"/>
      <c r="FL3523" s="2"/>
      <c r="FN3523" s="2"/>
    </row>
    <row r="3524" spans="153:170" x14ac:dyDescent="0.35">
      <c r="EW3524" s="48"/>
      <c r="FB3524" s="5"/>
      <c r="FI3524" s="5"/>
      <c r="FJ3524" s="164"/>
      <c r="FL3524" s="2"/>
      <c r="FN3524" s="2"/>
    </row>
    <row r="3525" spans="153:170" x14ac:dyDescent="0.35">
      <c r="EW3525" s="48"/>
      <c r="FB3525" s="5"/>
      <c r="FI3525" s="5"/>
      <c r="FJ3525" s="164"/>
      <c r="FL3525" s="2"/>
      <c r="FN3525" s="2"/>
    </row>
    <row r="3526" spans="153:170" x14ac:dyDescent="0.35">
      <c r="EW3526" s="48"/>
      <c r="FB3526" s="5"/>
      <c r="FI3526" s="5"/>
      <c r="FJ3526" s="164"/>
      <c r="FL3526" s="2"/>
      <c r="FN3526" s="2"/>
    </row>
    <row r="3527" spans="153:170" x14ac:dyDescent="0.35">
      <c r="EW3527" s="48"/>
      <c r="FB3527" s="5"/>
      <c r="FI3527" s="5"/>
      <c r="FJ3527" s="164"/>
      <c r="FL3527" s="2"/>
      <c r="FN3527" s="2"/>
    </row>
    <row r="3528" spans="153:170" x14ac:dyDescent="0.35">
      <c r="EW3528" s="48"/>
      <c r="FB3528" s="5"/>
      <c r="FI3528" s="5"/>
      <c r="FJ3528" s="164"/>
      <c r="FL3528" s="2"/>
      <c r="FN3528" s="2"/>
    </row>
    <row r="3529" spans="153:170" x14ac:dyDescent="0.35">
      <c r="EW3529" s="48"/>
      <c r="FB3529" s="5"/>
      <c r="FI3529" s="5"/>
      <c r="FJ3529" s="164"/>
      <c r="FL3529" s="2"/>
      <c r="FN3529" s="2"/>
    </row>
    <row r="3530" spans="153:170" x14ac:dyDescent="0.35">
      <c r="EW3530" s="48"/>
      <c r="FB3530" s="5"/>
      <c r="FI3530" s="5"/>
      <c r="FJ3530" s="164"/>
      <c r="FL3530" s="2"/>
      <c r="FN3530" s="2"/>
    </row>
    <row r="3531" spans="153:170" x14ac:dyDescent="0.35">
      <c r="EW3531" s="48"/>
      <c r="FB3531" s="5"/>
      <c r="FI3531" s="5"/>
      <c r="FJ3531" s="164"/>
      <c r="FL3531" s="2"/>
      <c r="FN3531" s="2"/>
    </row>
    <row r="3532" spans="153:170" x14ac:dyDescent="0.35">
      <c r="EW3532" s="48"/>
      <c r="FB3532" s="5"/>
      <c r="FI3532" s="5"/>
      <c r="FJ3532" s="164"/>
      <c r="FL3532" s="2"/>
      <c r="FN3532" s="2"/>
    </row>
    <row r="3533" spans="153:170" x14ac:dyDescent="0.35">
      <c r="EW3533" s="48"/>
      <c r="FB3533" s="5"/>
      <c r="FI3533" s="5"/>
      <c r="FJ3533" s="164"/>
      <c r="FL3533" s="2"/>
      <c r="FN3533" s="2"/>
    </row>
    <row r="3534" spans="153:170" x14ac:dyDescent="0.35">
      <c r="EW3534" s="48"/>
      <c r="FB3534" s="5"/>
      <c r="FI3534" s="5"/>
      <c r="FJ3534" s="164"/>
      <c r="FL3534" s="2"/>
      <c r="FN3534" s="2"/>
    </row>
    <row r="3535" spans="153:170" x14ac:dyDescent="0.35">
      <c r="EW3535" s="48"/>
      <c r="FB3535" s="5"/>
      <c r="FI3535" s="5"/>
      <c r="FJ3535" s="164"/>
      <c r="FL3535" s="2"/>
      <c r="FN3535" s="2"/>
    </row>
    <row r="3536" spans="153:170" x14ac:dyDescent="0.35">
      <c r="EW3536" s="48"/>
      <c r="FB3536" s="5"/>
      <c r="FI3536" s="5"/>
      <c r="FJ3536" s="164"/>
      <c r="FL3536" s="2"/>
      <c r="FN3536" s="2"/>
    </row>
    <row r="3537" spans="153:170" x14ac:dyDescent="0.35">
      <c r="EW3537" s="48"/>
      <c r="FB3537" s="5"/>
      <c r="FI3537" s="5"/>
      <c r="FJ3537" s="164"/>
      <c r="FL3537" s="2"/>
      <c r="FN3537" s="2"/>
    </row>
    <row r="3538" spans="153:170" x14ac:dyDescent="0.35">
      <c r="EW3538" s="48"/>
      <c r="FB3538" s="5"/>
      <c r="FI3538" s="5"/>
      <c r="FJ3538" s="164"/>
      <c r="FL3538" s="2"/>
      <c r="FN3538" s="2"/>
    </row>
    <row r="3539" spans="153:170" x14ac:dyDescent="0.35">
      <c r="EW3539" s="48"/>
      <c r="FB3539" s="5"/>
      <c r="FI3539" s="5"/>
      <c r="FJ3539" s="164"/>
      <c r="FL3539" s="2"/>
      <c r="FN3539" s="2"/>
    </row>
    <row r="3540" spans="153:170" x14ac:dyDescent="0.35">
      <c r="EW3540" s="48"/>
      <c r="FB3540" s="5"/>
      <c r="FI3540" s="5"/>
      <c r="FJ3540" s="164"/>
      <c r="FL3540" s="2"/>
      <c r="FN3540" s="2"/>
    </row>
    <row r="3541" spans="153:170" x14ac:dyDescent="0.35">
      <c r="EW3541" s="48"/>
      <c r="FB3541" s="5"/>
      <c r="FI3541" s="5"/>
      <c r="FJ3541" s="164"/>
      <c r="FL3541" s="2"/>
      <c r="FN3541" s="2"/>
    </row>
    <row r="3542" spans="153:170" x14ac:dyDescent="0.35">
      <c r="EW3542" s="48"/>
      <c r="FB3542" s="5"/>
      <c r="FI3542" s="5"/>
      <c r="FJ3542" s="164"/>
      <c r="FL3542" s="2"/>
      <c r="FN3542" s="2"/>
    </row>
    <row r="3543" spans="153:170" x14ac:dyDescent="0.35">
      <c r="EW3543" s="48"/>
      <c r="FB3543" s="5"/>
      <c r="FI3543" s="5"/>
      <c r="FJ3543" s="164"/>
      <c r="FL3543" s="2"/>
      <c r="FN3543" s="2"/>
    </row>
    <row r="3544" spans="153:170" x14ac:dyDescent="0.35">
      <c r="EW3544" s="48"/>
      <c r="FB3544" s="5"/>
      <c r="FI3544" s="5"/>
      <c r="FJ3544" s="164"/>
      <c r="FL3544" s="2"/>
      <c r="FN3544" s="2"/>
    </row>
    <row r="3545" spans="153:170" x14ac:dyDescent="0.35">
      <c r="EW3545" s="48"/>
      <c r="FB3545" s="5"/>
      <c r="FI3545" s="5"/>
      <c r="FJ3545" s="164"/>
      <c r="FL3545" s="2"/>
      <c r="FN3545" s="2"/>
    </row>
    <row r="3546" spans="153:170" x14ac:dyDescent="0.35">
      <c r="EW3546" s="48"/>
      <c r="FB3546" s="5"/>
      <c r="FI3546" s="5"/>
      <c r="FJ3546" s="164"/>
      <c r="FL3546" s="2"/>
      <c r="FN3546" s="2"/>
    </row>
    <row r="3547" spans="153:170" x14ac:dyDescent="0.35">
      <c r="EW3547" s="48"/>
      <c r="FB3547" s="5"/>
      <c r="FI3547" s="5"/>
      <c r="FJ3547" s="164"/>
      <c r="FL3547" s="2"/>
      <c r="FN3547" s="2"/>
    </row>
    <row r="3548" spans="153:170" x14ac:dyDescent="0.35">
      <c r="EW3548" s="48"/>
      <c r="FB3548" s="5"/>
      <c r="FI3548" s="5"/>
      <c r="FJ3548" s="164"/>
      <c r="FL3548" s="2"/>
      <c r="FN3548" s="2"/>
    </row>
    <row r="3549" spans="153:170" x14ac:dyDescent="0.35">
      <c r="EW3549" s="48"/>
      <c r="FB3549" s="5"/>
      <c r="FI3549" s="5"/>
      <c r="FJ3549" s="164"/>
      <c r="FL3549" s="2"/>
      <c r="FN3549" s="2"/>
    </row>
    <row r="3550" spans="153:170" x14ac:dyDescent="0.35">
      <c r="EW3550" s="48"/>
      <c r="FB3550" s="5"/>
      <c r="FI3550" s="5"/>
      <c r="FJ3550" s="164"/>
      <c r="FL3550" s="2"/>
      <c r="FN3550" s="2"/>
    </row>
    <row r="3551" spans="153:170" x14ac:dyDescent="0.35">
      <c r="EW3551" s="48"/>
      <c r="FB3551" s="5"/>
      <c r="FI3551" s="5"/>
      <c r="FJ3551" s="164"/>
      <c r="FL3551" s="2"/>
      <c r="FN3551" s="2"/>
    </row>
    <row r="3552" spans="153:170" x14ac:dyDescent="0.35">
      <c r="EW3552" s="48"/>
      <c r="FB3552" s="5"/>
      <c r="FI3552" s="5"/>
      <c r="FJ3552" s="164"/>
      <c r="FL3552" s="2"/>
      <c r="FN3552" s="2"/>
    </row>
    <row r="3553" spans="153:170" x14ac:dyDescent="0.35">
      <c r="EW3553" s="48"/>
      <c r="FB3553" s="5"/>
      <c r="FI3553" s="5"/>
      <c r="FJ3553" s="164"/>
      <c r="FL3553" s="2"/>
      <c r="FN3553" s="2"/>
    </row>
    <row r="3554" spans="153:170" x14ac:dyDescent="0.35">
      <c r="EW3554" s="48"/>
      <c r="FB3554" s="5"/>
      <c r="FI3554" s="5"/>
      <c r="FJ3554" s="164"/>
      <c r="FL3554" s="2"/>
      <c r="FN3554" s="2"/>
    </row>
    <row r="3555" spans="153:170" x14ac:dyDescent="0.35">
      <c r="EW3555" s="48"/>
      <c r="FB3555" s="5"/>
      <c r="FI3555" s="5"/>
      <c r="FJ3555" s="164"/>
      <c r="FL3555" s="2"/>
      <c r="FN3555" s="2"/>
    </row>
    <row r="3556" spans="153:170" x14ac:dyDescent="0.35">
      <c r="EW3556" s="48"/>
      <c r="FB3556" s="5"/>
      <c r="FI3556" s="5"/>
      <c r="FJ3556" s="164"/>
      <c r="FL3556" s="2"/>
      <c r="FN3556" s="2"/>
    </row>
    <row r="3557" spans="153:170" x14ac:dyDescent="0.35">
      <c r="EW3557" s="48"/>
      <c r="FB3557" s="5"/>
      <c r="FI3557" s="5"/>
      <c r="FJ3557" s="164"/>
      <c r="FL3557" s="2"/>
      <c r="FN3557" s="2"/>
    </row>
    <row r="3558" spans="153:170" x14ac:dyDescent="0.35">
      <c r="EW3558" s="48"/>
      <c r="FB3558" s="5"/>
      <c r="FI3558" s="5"/>
      <c r="FJ3558" s="164"/>
      <c r="FL3558" s="2"/>
      <c r="FN3558" s="2"/>
    </row>
    <row r="3559" spans="153:170" x14ac:dyDescent="0.35">
      <c r="EW3559" s="48"/>
      <c r="FB3559" s="5"/>
      <c r="FI3559" s="5"/>
      <c r="FJ3559" s="164"/>
      <c r="FL3559" s="2"/>
      <c r="FN3559" s="2"/>
    </row>
    <row r="3560" spans="153:170" x14ac:dyDescent="0.35">
      <c r="EW3560" s="48"/>
      <c r="FB3560" s="5"/>
      <c r="FI3560" s="5"/>
      <c r="FJ3560" s="164"/>
      <c r="FL3560" s="2"/>
      <c r="FN3560" s="2"/>
    </row>
    <row r="3561" spans="153:170" x14ac:dyDescent="0.35">
      <c r="EW3561" s="48"/>
      <c r="FB3561" s="5"/>
      <c r="FI3561" s="5"/>
      <c r="FJ3561" s="164"/>
      <c r="FL3561" s="2"/>
      <c r="FN3561" s="2"/>
    </row>
    <row r="3562" spans="153:170" x14ac:dyDescent="0.35">
      <c r="EW3562" s="48"/>
      <c r="FB3562" s="5"/>
      <c r="FI3562" s="5"/>
      <c r="FJ3562" s="164"/>
      <c r="FL3562" s="2"/>
      <c r="FN3562" s="2"/>
    </row>
    <row r="3563" spans="153:170" x14ac:dyDescent="0.35">
      <c r="EW3563" s="48"/>
      <c r="FB3563" s="5"/>
      <c r="FI3563" s="5"/>
      <c r="FJ3563" s="164"/>
      <c r="FL3563" s="2"/>
      <c r="FN3563" s="2"/>
    </row>
    <row r="3564" spans="153:170" x14ac:dyDescent="0.35">
      <c r="EW3564" s="48"/>
      <c r="FB3564" s="5"/>
      <c r="FI3564" s="5"/>
      <c r="FJ3564" s="164"/>
      <c r="FL3564" s="2"/>
      <c r="FN3564" s="2"/>
    </row>
    <row r="3565" spans="153:170" x14ac:dyDescent="0.35">
      <c r="EW3565" s="48"/>
      <c r="FB3565" s="5"/>
      <c r="FI3565" s="5"/>
      <c r="FJ3565" s="164"/>
      <c r="FL3565" s="2"/>
      <c r="FN3565" s="2"/>
    </row>
    <row r="3566" spans="153:170" x14ac:dyDescent="0.35">
      <c r="EW3566" s="48"/>
      <c r="FB3566" s="5"/>
      <c r="FI3566" s="5"/>
      <c r="FJ3566" s="164"/>
      <c r="FL3566" s="2"/>
      <c r="FN3566" s="2"/>
    </row>
    <row r="3567" spans="153:170" x14ac:dyDescent="0.35">
      <c r="EW3567" s="48"/>
      <c r="FB3567" s="5"/>
      <c r="FI3567" s="5"/>
      <c r="FJ3567" s="164"/>
      <c r="FL3567" s="2"/>
      <c r="FN3567" s="2"/>
    </row>
    <row r="3568" spans="153:170" x14ac:dyDescent="0.35">
      <c r="EW3568" s="48"/>
      <c r="FB3568" s="5"/>
      <c r="FI3568" s="5"/>
      <c r="FJ3568" s="164"/>
      <c r="FL3568" s="2"/>
      <c r="FN3568" s="2"/>
    </row>
    <row r="3569" spans="153:170" x14ac:dyDescent="0.35">
      <c r="EW3569" s="48"/>
      <c r="FB3569" s="5"/>
      <c r="FI3569" s="5"/>
      <c r="FJ3569" s="164"/>
      <c r="FL3569" s="2"/>
      <c r="FN3569" s="2"/>
    </row>
    <row r="3570" spans="153:170" x14ac:dyDescent="0.35">
      <c r="EW3570" s="48"/>
      <c r="FB3570" s="5"/>
      <c r="FI3570" s="5"/>
      <c r="FJ3570" s="164"/>
      <c r="FL3570" s="2"/>
      <c r="FN3570" s="2"/>
    </row>
    <row r="3571" spans="153:170" x14ac:dyDescent="0.35">
      <c r="EW3571" s="48"/>
      <c r="FB3571" s="5"/>
      <c r="FI3571" s="5"/>
      <c r="FJ3571" s="164"/>
      <c r="FL3571" s="2"/>
      <c r="FN3571" s="2"/>
    </row>
    <row r="3572" spans="153:170" x14ac:dyDescent="0.35">
      <c r="EW3572" s="48"/>
      <c r="FB3572" s="5"/>
      <c r="FI3572" s="5"/>
      <c r="FJ3572" s="164"/>
      <c r="FL3572" s="2"/>
      <c r="FN3572" s="2"/>
    </row>
    <row r="3573" spans="153:170" x14ac:dyDescent="0.35">
      <c r="EW3573" s="48"/>
      <c r="FB3573" s="5"/>
      <c r="FI3573" s="5"/>
      <c r="FJ3573" s="164"/>
      <c r="FL3573" s="2"/>
      <c r="FN3573" s="2"/>
    </row>
    <row r="3574" spans="153:170" x14ac:dyDescent="0.35">
      <c r="EW3574" s="48"/>
      <c r="FB3574" s="5"/>
      <c r="FI3574" s="5"/>
      <c r="FJ3574" s="164"/>
      <c r="FL3574" s="2"/>
      <c r="FN3574" s="2"/>
    </row>
    <row r="3575" spans="153:170" x14ac:dyDescent="0.35">
      <c r="EW3575" s="48"/>
      <c r="FB3575" s="5"/>
      <c r="FI3575" s="5"/>
      <c r="FJ3575" s="164"/>
      <c r="FL3575" s="2"/>
      <c r="FN3575" s="2"/>
    </row>
    <row r="3576" spans="153:170" x14ac:dyDescent="0.35">
      <c r="EW3576" s="48"/>
      <c r="FB3576" s="5"/>
      <c r="FI3576" s="5"/>
      <c r="FJ3576" s="164"/>
      <c r="FL3576" s="2"/>
      <c r="FN3576" s="2"/>
    </row>
    <row r="3577" spans="153:170" x14ac:dyDescent="0.35">
      <c r="EW3577" s="48"/>
      <c r="FB3577" s="5"/>
      <c r="FI3577" s="5"/>
      <c r="FJ3577" s="164"/>
      <c r="FL3577" s="2"/>
      <c r="FN3577" s="2"/>
    </row>
    <row r="3578" spans="153:170" x14ac:dyDescent="0.35">
      <c r="EW3578" s="48"/>
      <c r="FB3578" s="5"/>
      <c r="FI3578" s="5"/>
      <c r="FJ3578" s="164"/>
      <c r="FL3578" s="2"/>
      <c r="FN3578" s="2"/>
    </row>
    <row r="3579" spans="153:170" x14ac:dyDescent="0.35">
      <c r="EW3579" s="48"/>
      <c r="FB3579" s="5"/>
      <c r="FI3579" s="5"/>
      <c r="FJ3579" s="164"/>
      <c r="FL3579" s="2"/>
      <c r="FN3579" s="2"/>
    </row>
    <row r="3580" spans="153:170" x14ac:dyDescent="0.35">
      <c r="EW3580" s="48"/>
      <c r="FB3580" s="5"/>
      <c r="FI3580" s="5"/>
      <c r="FJ3580" s="164"/>
      <c r="FL3580" s="2"/>
      <c r="FN3580" s="2"/>
    </row>
    <row r="3581" spans="153:170" x14ac:dyDescent="0.35">
      <c r="EW3581" s="48"/>
      <c r="FB3581" s="5"/>
      <c r="FI3581" s="5"/>
      <c r="FJ3581" s="164"/>
      <c r="FL3581" s="2"/>
      <c r="FN3581" s="2"/>
    </row>
    <row r="3582" spans="153:170" x14ac:dyDescent="0.35">
      <c r="EW3582" s="48"/>
      <c r="FB3582" s="5"/>
      <c r="FI3582" s="5"/>
      <c r="FJ3582" s="164"/>
      <c r="FL3582" s="2"/>
      <c r="FN3582" s="2"/>
    </row>
    <row r="3583" spans="153:170" x14ac:dyDescent="0.35">
      <c r="EW3583" s="48"/>
      <c r="FB3583" s="5"/>
      <c r="FI3583" s="5"/>
      <c r="FJ3583" s="164"/>
      <c r="FL3583" s="2"/>
      <c r="FN3583" s="2"/>
    </row>
    <row r="3584" spans="153:170" x14ac:dyDescent="0.35">
      <c r="EW3584" s="48"/>
      <c r="FB3584" s="5"/>
      <c r="FI3584" s="5"/>
      <c r="FJ3584" s="164"/>
      <c r="FL3584" s="2"/>
      <c r="FN3584" s="2"/>
    </row>
    <row r="3585" spans="153:170" x14ac:dyDescent="0.35">
      <c r="EW3585" s="48"/>
      <c r="FB3585" s="5"/>
      <c r="FI3585" s="5"/>
      <c r="FJ3585" s="164"/>
      <c r="FL3585" s="2"/>
      <c r="FN3585" s="2"/>
    </row>
    <row r="3586" spans="153:170" x14ac:dyDescent="0.35">
      <c r="EW3586" s="48"/>
      <c r="FB3586" s="5"/>
      <c r="FI3586" s="5"/>
      <c r="FJ3586" s="164"/>
      <c r="FL3586" s="2"/>
      <c r="FN3586" s="2"/>
    </row>
    <row r="3587" spans="153:170" x14ac:dyDescent="0.35">
      <c r="EW3587" s="48"/>
      <c r="FB3587" s="5"/>
      <c r="FI3587" s="5"/>
      <c r="FJ3587" s="164"/>
      <c r="FL3587" s="2"/>
      <c r="FN3587" s="2"/>
    </row>
    <row r="3588" spans="153:170" x14ac:dyDescent="0.35">
      <c r="EW3588" s="48"/>
      <c r="FB3588" s="5"/>
      <c r="FI3588" s="5"/>
      <c r="FJ3588" s="164"/>
      <c r="FL3588" s="2"/>
      <c r="FN3588" s="2"/>
    </row>
    <row r="3589" spans="153:170" x14ac:dyDescent="0.35">
      <c r="EW3589" s="48"/>
      <c r="FB3589" s="5"/>
      <c r="FI3589" s="5"/>
      <c r="FJ3589" s="164"/>
      <c r="FL3589" s="2"/>
      <c r="FN3589" s="2"/>
    </row>
    <row r="3590" spans="153:170" x14ac:dyDescent="0.35">
      <c r="EW3590" s="48"/>
      <c r="FB3590" s="5"/>
      <c r="FI3590" s="5"/>
      <c r="FJ3590" s="164"/>
      <c r="FL3590" s="2"/>
      <c r="FN3590" s="2"/>
    </row>
    <row r="3591" spans="153:170" x14ac:dyDescent="0.35">
      <c r="EW3591" s="48"/>
      <c r="FB3591" s="5"/>
      <c r="FI3591" s="5"/>
      <c r="FJ3591" s="164"/>
      <c r="FL3591" s="2"/>
      <c r="FN3591" s="2"/>
    </row>
    <row r="3592" spans="153:170" x14ac:dyDescent="0.35">
      <c r="EW3592" s="48"/>
      <c r="FB3592" s="5"/>
      <c r="FI3592" s="5"/>
      <c r="FJ3592" s="164"/>
      <c r="FL3592" s="2"/>
      <c r="FN3592" s="2"/>
    </row>
    <row r="3593" spans="153:170" x14ac:dyDescent="0.35">
      <c r="EW3593" s="48"/>
      <c r="FB3593" s="5"/>
      <c r="FI3593" s="5"/>
      <c r="FJ3593" s="164"/>
      <c r="FL3593" s="2"/>
      <c r="FN3593" s="2"/>
    </row>
    <row r="3594" spans="153:170" x14ac:dyDescent="0.35">
      <c r="EW3594" s="48"/>
      <c r="FB3594" s="5"/>
      <c r="FI3594" s="5"/>
      <c r="FJ3594" s="164"/>
      <c r="FL3594" s="2"/>
      <c r="FN3594" s="2"/>
    </row>
    <row r="3595" spans="153:170" x14ac:dyDescent="0.35">
      <c r="EW3595" s="48"/>
      <c r="FB3595" s="5"/>
      <c r="FI3595" s="5"/>
      <c r="FJ3595" s="164"/>
      <c r="FL3595" s="2"/>
      <c r="FN3595" s="2"/>
    </row>
    <row r="3596" spans="153:170" x14ac:dyDescent="0.35">
      <c r="EW3596" s="48"/>
      <c r="FB3596" s="5"/>
      <c r="FI3596" s="5"/>
      <c r="FJ3596" s="164"/>
      <c r="FL3596" s="2"/>
      <c r="FN3596" s="2"/>
    </row>
    <row r="3597" spans="153:170" x14ac:dyDescent="0.35">
      <c r="EW3597" s="48"/>
      <c r="FB3597" s="5"/>
      <c r="FI3597" s="5"/>
      <c r="FJ3597" s="164"/>
      <c r="FL3597" s="2"/>
      <c r="FN3597" s="2"/>
    </row>
    <row r="3598" spans="153:170" x14ac:dyDescent="0.35">
      <c r="EW3598" s="48"/>
      <c r="FB3598" s="5"/>
      <c r="FI3598" s="5"/>
      <c r="FJ3598" s="164"/>
      <c r="FL3598" s="2"/>
      <c r="FN3598" s="2"/>
    </row>
    <row r="3599" spans="153:170" x14ac:dyDescent="0.35">
      <c r="EW3599" s="48"/>
      <c r="FB3599" s="5"/>
      <c r="FI3599" s="5"/>
      <c r="FJ3599" s="164"/>
      <c r="FL3599" s="2"/>
      <c r="FN3599" s="2"/>
    </row>
    <row r="3600" spans="153:170" x14ac:dyDescent="0.35">
      <c r="EW3600" s="48"/>
      <c r="FB3600" s="5"/>
      <c r="FI3600" s="5"/>
      <c r="FJ3600" s="164"/>
      <c r="FL3600" s="2"/>
      <c r="FN3600" s="2"/>
    </row>
    <row r="3601" spans="153:170" x14ac:dyDescent="0.35">
      <c r="EW3601" s="48"/>
      <c r="FB3601" s="5"/>
      <c r="FI3601" s="5"/>
      <c r="FJ3601" s="164"/>
      <c r="FL3601" s="2"/>
      <c r="FN3601" s="2"/>
    </row>
    <row r="3602" spans="153:170" x14ac:dyDescent="0.35">
      <c r="EW3602" s="48"/>
      <c r="FB3602" s="5"/>
      <c r="FI3602" s="5"/>
      <c r="FJ3602" s="164"/>
      <c r="FL3602" s="2"/>
      <c r="FN3602" s="2"/>
    </row>
    <row r="3603" spans="153:170" x14ac:dyDescent="0.35">
      <c r="EW3603" s="48"/>
      <c r="FB3603" s="5"/>
      <c r="FI3603" s="5"/>
      <c r="FJ3603" s="164"/>
      <c r="FL3603" s="2"/>
      <c r="FN3603" s="2"/>
    </row>
    <row r="3604" spans="153:170" x14ac:dyDescent="0.35">
      <c r="EW3604" s="48"/>
      <c r="FB3604" s="5"/>
      <c r="FI3604" s="5"/>
      <c r="FJ3604" s="164"/>
      <c r="FL3604" s="2"/>
      <c r="FN3604" s="2"/>
    </row>
    <row r="3605" spans="153:170" x14ac:dyDescent="0.35">
      <c r="EW3605" s="48"/>
      <c r="FB3605" s="5"/>
      <c r="FI3605" s="5"/>
      <c r="FJ3605" s="164"/>
      <c r="FL3605" s="2"/>
      <c r="FN3605" s="2"/>
    </row>
    <row r="3606" spans="153:170" x14ac:dyDescent="0.35">
      <c r="EW3606" s="48"/>
      <c r="FB3606" s="5"/>
      <c r="FI3606" s="5"/>
      <c r="FJ3606" s="164"/>
      <c r="FL3606" s="2"/>
      <c r="FN3606" s="2"/>
    </row>
    <row r="3607" spans="153:170" x14ac:dyDescent="0.35">
      <c r="EW3607" s="48"/>
      <c r="FB3607" s="5"/>
      <c r="FI3607" s="5"/>
      <c r="FJ3607" s="164"/>
      <c r="FL3607" s="2"/>
      <c r="FN3607" s="2"/>
    </row>
    <row r="3608" spans="153:170" x14ac:dyDescent="0.35">
      <c r="EW3608" s="48"/>
      <c r="FB3608" s="5"/>
      <c r="FI3608" s="5"/>
      <c r="FJ3608" s="164"/>
      <c r="FL3608" s="2"/>
      <c r="FN3608" s="2"/>
    </row>
    <row r="3609" spans="153:170" x14ac:dyDescent="0.35">
      <c r="EW3609" s="48"/>
      <c r="FB3609" s="5"/>
      <c r="FI3609" s="5"/>
      <c r="FJ3609" s="164"/>
      <c r="FL3609" s="2"/>
      <c r="FN3609" s="2"/>
    </row>
    <row r="3610" spans="153:170" x14ac:dyDescent="0.35">
      <c r="EW3610" s="48"/>
      <c r="FB3610" s="5"/>
      <c r="FI3610" s="5"/>
      <c r="FJ3610" s="164"/>
      <c r="FL3610" s="2"/>
      <c r="FN3610" s="2"/>
    </row>
    <row r="3611" spans="153:170" x14ac:dyDescent="0.35">
      <c r="EW3611" s="48"/>
      <c r="FB3611" s="5"/>
      <c r="FI3611" s="5"/>
      <c r="FJ3611" s="164"/>
      <c r="FL3611" s="2"/>
      <c r="FN3611" s="2"/>
    </row>
    <row r="3612" spans="153:170" x14ac:dyDescent="0.35">
      <c r="EW3612" s="48"/>
      <c r="FB3612" s="5"/>
      <c r="FI3612" s="5"/>
      <c r="FJ3612" s="164"/>
      <c r="FL3612" s="2"/>
      <c r="FN3612" s="2"/>
    </row>
    <row r="3613" spans="153:170" x14ac:dyDescent="0.35">
      <c r="EW3613" s="48"/>
      <c r="FB3613" s="5"/>
      <c r="FI3613" s="5"/>
      <c r="FJ3613" s="164"/>
      <c r="FL3613" s="2"/>
      <c r="FN3613" s="2"/>
    </row>
    <row r="3614" spans="153:170" x14ac:dyDescent="0.35">
      <c r="EW3614" s="48"/>
      <c r="FB3614" s="5"/>
      <c r="FI3614" s="5"/>
      <c r="FJ3614" s="164"/>
      <c r="FL3614" s="2"/>
      <c r="FN3614" s="2"/>
    </row>
    <row r="3615" spans="153:170" x14ac:dyDescent="0.35">
      <c r="EW3615" s="48"/>
      <c r="FB3615" s="5"/>
      <c r="FI3615" s="5"/>
      <c r="FJ3615" s="164"/>
      <c r="FL3615" s="2"/>
      <c r="FN3615" s="2"/>
    </row>
    <row r="3616" spans="153:170" x14ac:dyDescent="0.35">
      <c r="EW3616" s="48"/>
      <c r="FB3616" s="5"/>
      <c r="FI3616" s="5"/>
      <c r="FJ3616" s="164"/>
      <c r="FL3616" s="2"/>
      <c r="FN3616" s="2"/>
    </row>
    <row r="3617" spans="153:170" x14ac:dyDescent="0.35">
      <c r="EW3617" s="48"/>
      <c r="FB3617" s="5"/>
      <c r="FI3617" s="5"/>
      <c r="FJ3617" s="164"/>
      <c r="FL3617" s="2"/>
      <c r="FN3617" s="2"/>
    </row>
    <row r="3618" spans="153:170" x14ac:dyDescent="0.35">
      <c r="EW3618" s="48"/>
      <c r="FB3618" s="5"/>
      <c r="FI3618" s="5"/>
      <c r="FJ3618" s="164"/>
      <c r="FL3618" s="2"/>
      <c r="FN3618" s="2"/>
    </row>
    <row r="3619" spans="153:170" x14ac:dyDescent="0.35">
      <c r="EW3619" s="48"/>
      <c r="FB3619" s="5"/>
      <c r="FI3619" s="5"/>
      <c r="FJ3619" s="164"/>
      <c r="FL3619" s="2"/>
      <c r="FN3619" s="2"/>
    </row>
    <row r="3620" spans="153:170" x14ac:dyDescent="0.35">
      <c r="EW3620" s="48"/>
      <c r="FB3620" s="5"/>
      <c r="FI3620" s="5"/>
      <c r="FJ3620" s="164"/>
      <c r="FL3620" s="2"/>
      <c r="FN3620" s="2"/>
    </row>
    <row r="3621" spans="153:170" x14ac:dyDescent="0.35">
      <c r="EW3621" s="48"/>
      <c r="FB3621" s="5"/>
      <c r="FI3621" s="5"/>
      <c r="FJ3621" s="164"/>
      <c r="FL3621" s="2"/>
      <c r="FN3621" s="2"/>
    </row>
    <row r="3622" spans="153:170" x14ac:dyDescent="0.35">
      <c r="EW3622" s="48"/>
      <c r="FB3622" s="5"/>
      <c r="FI3622" s="5"/>
      <c r="FJ3622" s="164"/>
      <c r="FL3622" s="2"/>
      <c r="FN3622" s="2"/>
    </row>
    <row r="3623" spans="153:170" x14ac:dyDescent="0.35">
      <c r="EW3623" s="48"/>
      <c r="FB3623" s="5"/>
      <c r="FI3623" s="5"/>
      <c r="FJ3623" s="164"/>
      <c r="FL3623" s="2"/>
      <c r="FN3623" s="2"/>
    </row>
    <row r="3624" spans="153:170" x14ac:dyDescent="0.35">
      <c r="EW3624" s="48"/>
      <c r="FB3624" s="5"/>
      <c r="FI3624" s="5"/>
      <c r="FJ3624" s="164"/>
      <c r="FL3624" s="2"/>
      <c r="FN3624" s="2"/>
    </row>
    <row r="3625" spans="153:170" x14ac:dyDescent="0.35">
      <c r="EW3625" s="48"/>
      <c r="FB3625" s="5"/>
      <c r="FI3625" s="5"/>
      <c r="FJ3625" s="164"/>
      <c r="FL3625" s="2"/>
      <c r="FN3625" s="2"/>
    </row>
    <row r="3626" spans="153:170" x14ac:dyDescent="0.35">
      <c r="EW3626" s="48"/>
      <c r="FB3626" s="5"/>
      <c r="FI3626" s="5"/>
      <c r="FJ3626" s="164"/>
      <c r="FL3626" s="2"/>
      <c r="FN3626" s="2"/>
    </row>
    <row r="3627" spans="153:170" x14ac:dyDescent="0.35">
      <c r="EW3627" s="48"/>
      <c r="FB3627" s="5"/>
      <c r="FI3627" s="5"/>
      <c r="FJ3627" s="164"/>
      <c r="FL3627" s="2"/>
      <c r="FN3627" s="2"/>
    </row>
    <row r="3628" spans="153:170" x14ac:dyDescent="0.35">
      <c r="EW3628" s="48"/>
      <c r="FB3628" s="5"/>
      <c r="FI3628" s="5"/>
      <c r="FJ3628" s="164"/>
      <c r="FL3628" s="2"/>
      <c r="FN3628" s="2"/>
    </row>
    <row r="3629" spans="153:170" x14ac:dyDescent="0.35">
      <c r="EW3629" s="48"/>
      <c r="FB3629" s="5"/>
      <c r="FI3629" s="5"/>
      <c r="FJ3629" s="164"/>
      <c r="FL3629" s="2"/>
      <c r="FN3629" s="2"/>
    </row>
    <row r="3630" spans="153:170" x14ac:dyDescent="0.35">
      <c r="EW3630" s="48"/>
      <c r="FB3630" s="5"/>
      <c r="FI3630" s="5"/>
      <c r="FJ3630" s="164"/>
      <c r="FL3630" s="2"/>
      <c r="FN3630" s="2"/>
    </row>
    <row r="3631" spans="153:170" x14ac:dyDescent="0.35">
      <c r="EW3631" s="48"/>
      <c r="FB3631" s="5"/>
      <c r="FI3631" s="5"/>
      <c r="FJ3631" s="164"/>
      <c r="FL3631" s="2"/>
      <c r="FN3631" s="2"/>
    </row>
    <row r="3632" spans="153:170" x14ac:dyDescent="0.35">
      <c r="EW3632" s="48"/>
      <c r="FB3632" s="5"/>
      <c r="FI3632" s="5"/>
      <c r="FJ3632" s="164"/>
      <c r="FL3632" s="2"/>
      <c r="FN3632" s="2"/>
    </row>
    <row r="3633" spans="153:170" x14ac:dyDescent="0.35">
      <c r="EW3633" s="48"/>
      <c r="FB3633" s="5"/>
      <c r="FI3633" s="5"/>
      <c r="FJ3633" s="164"/>
      <c r="FL3633" s="2"/>
      <c r="FN3633" s="2"/>
    </row>
    <row r="3634" spans="153:170" x14ac:dyDescent="0.35">
      <c r="EW3634" s="48"/>
      <c r="FB3634" s="5"/>
      <c r="FI3634" s="5"/>
      <c r="FJ3634" s="164"/>
      <c r="FL3634" s="2"/>
      <c r="FN3634" s="2"/>
    </row>
    <row r="3635" spans="153:170" x14ac:dyDescent="0.35">
      <c r="EW3635" s="48"/>
      <c r="FB3635" s="5"/>
      <c r="FI3635" s="5"/>
      <c r="FJ3635" s="164"/>
      <c r="FL3635" s="2"/>
      <c r="FN3635" s="2"/>
    </row>
    <row r="3636" spans="153:170" x14ac:dyDescent="0.35">
      <c r="EW3636" s="48"/>
      <c r="FB3636" s="5"/>
      <c r="FI3636" s="5"/>
      <c r="FJ3636" s="164"/>
      <c r="FL3636" s="2"/>
      <c r="FN3636" s="2"/>
    </row>
    <row r="3637" spans="153:170" x14ac:dyDescent="0.35">
      <c r="EW3637" s="48"/>
      <c r="FB3637" s="5"/>
      <c r="FI3637" s="5"/>
      <c r="FJ3637" s="164"/>
      <c r="FL3637" s="2"/>
      <c r="FN3637" s="2"/>
    </row>
    <row r="3638" spans="153:170" x14ac:dyDescent="0.35">
      <c r="EW3638" s="48"/>
      <c r="FB3638" s="5"/>
      <c r="FI3638" s="5"/>
      <c r="FJ3638" s="164"/>
      <c r="FL3638" s="2"/>
      <c r="FN3638" s="2"/>
    </row>
    <row r="3639" spans="153:170" x14ac:dyDescent="0.35">
      <c r="EW3639" s="48"/>
      <c r="FB3639" s="5"/>
      <c r="FI3639" s="5"/>
      <c r="FJ3639" s="164"/>
      <c r="FL3639" s="2"/>
      <c r="FN3639" s="2"/>
    </row>
    <row r="3640" spans="153:170" x14ac:dyDescent="0.35">
      <c r="EW3640" s="48"/>
      <c r="FB3640" s="5"/>
      <c r="FI3640" s="5"/>
      <c r="FJ3640" s="164"/>
      <c r="FL3640" s="2"/>
      <c r="FN3640" s="2"/>
    </row>
    <row r="3641" spans="153:170" x14ac:dyDescent="0.35">
      <c r="EW3641" s="48"/>
      <c r="FB3641" s="5"/>
      <c r="FI3641" s="5"/>
      <c r="FJ3641" s="164"/>
      <c r="FL3641" s="2"/>
      <c r="FN3641" s="2"/>
    </row>
    <row r="3642" spans="153:170" x14ac:dyDescent="0.35">
      <c r="EW3642" s="48"/>
      <c r="FB3642" s="5"/>
      <c r="FI3642" s="5"/>
      <c r="FJ3642" s="164"/>
      <c r="FL3642" s="2"/>
      <c r="FN3642" s="2"/>
    </row>
    <row r="3643" spans="153:170" x14ac:dyDescent="0.35">
      <c r="EW3643" s="48"/>
      <c r="FB3643" s="5"/>
      <c r="FI3643" s="5"/>
      <c r="FJ3643" s="164"/>
      <c r="FL3643" s="2"/>
      <c r="FN3643" s="2"/>
    </row>
    <row r="3644" spans="153:170" x14ac:dyDescent="0.35">
      <c r="EW3644" s="48"/>
      <c r="FB3644" s="5"/>
      <c r="FI3644" s="5"/>
      <c r="FJ3644" s="164"/>
      <c r="FL3644" s="2"/>
      <c r="FN3644" s="2"/>
    </row>
    <row r="3645" spans="153:170" x14ac:dyDescent="0.35">
      <c r="EW3645" s="48"/>
      <c r="FB3645" s="5"/>
      <c r="FI3645" s="5"/>
      <c r="FJ3645" s="164"/>
      <c r="FL3645" s="2"/>
      <c r="FN3645" s="2"/>
    </row>
    <row r="3646" spans="153:170" x14ac:dyDescent="0.35">
      <c r="EW3646" s="48"/>
      <c r="FB3646" s="5"/>
      <c r="FI3646" s="5"/>
      <c r="FJ3646" s="164"/>
      <c r="FL3646" s="2"/>
      <c r="FN3646" s="2"/>
    </row>
    <row r="3647" spans="153:170" x14ac:dyDescent="0.35">
      <c r="EW3647" s="48"/>
      <c r="FB3647" s="5"/>
      <c r="FI3647" s="5"/>
      <c r="FJ3647" s="164"/>
      <c r="FL3647" s="2"/>
      <c r="FN3647" s="2"/>
    </row>
    <row r="3648" spans="153:170" x14ac:dyDescent="0.35">
      <c r="EW3648" s="48"/>
      <c r="FB3648" s="5"/>
      <c r="FI3648" s="5"/>
      <c r="FJ3648" s="164"/>
      <c r="FL3648" s="2"/>
      <c r="FN3648" s="2"/>
    </row>
    <row r="3649" spans="153:170" x14ac:dyDescent="0.35">
      <c r="EW3649" s="48"/>
      <c r="FB3649" s="5"/>
      <c r="FI3649" s="5"/>
      <c r="FJ3649" s="164"/>
      <c r="FL3649" s="2"/>
      <c r="FN3649" s="2"/>
    </row>
    <row r="3650" spans="153:170" x14ac:dyDescent="0.35">
      <c r="EW3650" s="48"/>
      <c r="FB3650" s="5"/>
      <c r="FI3650" s="5"/>
      <c r="FJ3650" s="164"/>
      <c r="FL3650" s="2"/>
      <c r="FN3650" s="2"/>
    </row>
    <row r="3651" spans="153:170" x14ac:dyDescent="0.35">
      <c r="EW3651" s="48"/>
      <c r="FB3651" s="5"/>
      <c r="FI3651" s="5"/>
      <c r="FJ3651" s="164"/>
      <c r="FL3651" s="2"/>
      <c r="FN3651" s="2"/>
    </row>
    <row r="3652" spans="153:170" x14ac:dyDescent="0.35">
      <c r="EW3652" s="48"/>
      <c r="FB3652" s="5"/>
      <c r="FI3652" s="5"/>
      <c r="FJ3652" s="164"/>
      <c r="FL3652" s="2"/>
      <c r="FN3652" s="2"/>
    </row>
    <row r="3653" spans="153:170" x14ac:dyDescent="0.35">
      <c r="EW3653" s="48"/>
      <c r="FB3653" s="5"/>
      <c r="FI3653" s="5"/>
      <c r="FJ3653" s="164"/>
      <c r="FL3653" s="2"/>
      <c r="FN3653" s="2"/>
    </row>
    <row r="3654" spans="153:170" x14ac:dyDescent="0.35">
      <c r="EW3654" s="48"/>
      <c r="FB3654" s="5"/>
      <c r="FI3654" s="5"/>
      <c r="FJ3654" s="164"/>
      <c r="FL3654" s="2"/>
      <c r="FN3654" s="2"/>
    </row>
    <row r="3655" spans="153:170" x14ac:dyDescent="0.35">
      <c r="EW3655" s="48"/>
      <c r="FB3655" s="5"/>
      <c r="FI3655" s="5"/>
      <c r="FJ3655" s="164"/>
      <c r="FL3655" s="2"/>
      <c r="FN3655" s="2"/>
    </row>
    <row r="3656" spans="153:170" x14ac:dyDescent="0.35">
      <c r="EW3656" s="48"/>
      <c r="FB3656" s="5"/>
      <c r="FI3656" s="5"/>
      <c r="FJ3656" s="164"/>
      <c r="FL3656" s="2"/>
      <c r="FN3656" s="2"/>
    </row>
    <row r="3657" spans="153:170" x14ac:dyDescent="0.35">
      <c r="EW3657" s="48"/>
      <c r="FB3657" s="5"/>
      <c r="FI3657" s="5"/>
      <c r="FJ3657" s="164"/>
      <c r="FL3657" s="2"/>
      <c r="FN3657" s="2"/>
    </row>
    <row r="3658" spans="153:170" x14ac:dyDescent="0.35">
      <c r="EW3658" s="48"/>
      <c r="FB3658" s="5"/>
      <c r="FI3658" s="5"/>
      <c r="FJ3658" s="164"/>
      <c r="FL3658" s="2"/>
      <c r="FN3658" s="2"/>
    </row>
    <row r="3659" spans="153:170" x14ac:dyDescent="0.35">
      <c r="EW3659" s="48"/>
      <c r="FB3659" s="5"/>
      <c r="FI3659" s="5"/>
      <c r="FJ3659" s="164"/>
      <c r="FL3659" s="2"/>
      <c r="FN3659" s="2"/>
    </row>
    <row r="3660" spans="153:170" x14ac:dyDescent="0.35">
      <c r="EW3660" s="48"/>
      <c r="FB3660" s="5"/>
      <c r="FI3660" s="5"/>
      <c r="FJ3660" s="164"/>
      <c r="FL3660" s="2"/>
      <c r="FN3660" s="2"/>
    </row>
    <row r="3661" spans="153:170" x14ac:dyDescent="0.35">
      <c r="EW3661" s="48"/>
      <c r="FB3661" s="5"/>
      <c r="FI3661" s="5"/>
      <c r="FJ3661" s="164"/>
      <c r="FL3661" s="2"/>
      <c r="FN3661" s="2"/>
    </row>
    <row r="3662" spans="153:170" x14ac:dyDescent="0.35">
      <c r="EW3662" s="48"/>
      <c r="FB3662" s="5"/>
      <c r="FI3662" s="5"/>
      <c r="FJ3662" s="164"/>
      <c r="FL3662" s="2"/>
      <c r="FN3662" s="2"/>
    </row>
    <row r="3663" spans="153:170" x14ac:dyDescent="0.35">
      <c r="EW3663" s="48"/>
      <c r="FB3663" s="5"/>
      <c r="FI3663" s="5"/>
      <c r="FJ3663" s="164"/>
      <c r="FL3663" s="2"/>
      <c r="FN3663" s="2"/>
    </row>
    <row r="3664" spans="153:170" x14ac:dyDescent="0.35">
      <c r="EW3664" s="48"/>
      <c r="FB3664" s="5"/>
      <c r="FI3664" s="5"/>
      <c r="FJ3664" s="164"/>
      <c r="FL3664" s="2"/>
      <c r="FN3664" s="2"/>
    </row>
    <row r="3665" spans="153:170" x14ac:dyDescent="0.35">
      <c r="EW3665" s="48"/>
      <c r="FB3665" s="5"/>
      <c r="FI3665" s="5"/>
      <c r="FJ3665" s="164"/>
      <c r="FL3665" s="2"/>
      <c r="FN3665" s="2"/>
    </row>
    <row r="3666" spans="153:170" x14ac:dyDescent="0.35">
      <c r="EW3666" s="48"/>
      <c r="FB3666" s="5"/>
      <c r="FI3666" s="5"/>
      <c r="FJ3666" s="164"/>
      <c r="FL3666" s="2"/>
      <c r="FN3666" s="2"/>
    </row>
    <row r="3667" spans="153:170" x14ac:dyDescent="0.35">
      <c r="EW3667" s="48"/>
      <c r="FB3667" s="5"/>
      <c r="FI3667" s="5"/>
      <c r="FJ3667" s="164"/>
      <c r="FL3667" s="2"/>
      <c r="FN3667" s="2"/>
    </row>
    <row r="3668" spans="153:170" x14ac:dyDescent="0.35">
      <c r="EW3668" s="48"/>
      <c r="FB3668" s="5"/>
      <c r="FI3668" s="5"/>
      <c r="FJ3668" s="164"/>
      <c r="FL3668" s="2"/>
      <c r="FN3668" s="2"/>
    </row>
    <row r="3669" spans="153:170" x14ac:dyDescent="0.35">
      <c r="EW3669" s="48"/>
      <c r="FB3669" s="5"/>
      <c r="FI3669" s="5"/>
      <c r="FJ3669" s="164"/>
      <c r="FL3669" s="2"/>
      <c r="FN3669" s="2"/>
    </row>
    <row r="3670" spans="153:170" x14ac:dyDescent="0.35">
      <c r="EW3670" s="48"/>
      <c r="FB3670" s="5"/>
      <c r="FI3670" s="5"/>
      <c r="FJ3670" s="164"/>
      <c r="FL3670" s="2"/>
      <c r="FN3670" s="2"/>
    </row>
    <row r="3671" spans="153:170" x14ac:dyDescent="0.35">
      <c r="EW3671" s="48"/>
      <c r="FB3671" s="5"/>
      <c r="FI3671" s="5"/>
      <c r="FJ3671" s="164"/>
      <c r="FL3671" s="2"/>
      <c r="FN3671" s="2"/>
    </row>
    <row r="3672" spans="153:170" x14ac:dyDescent="0.35">
      <c r="EW3672" s="48"/>
      <c r="FB3672" s="5"/>
      <c r="FI3672" s="5"/>
      <c r="FJ3672" s="164"/>
      <c r="FL3672" s="2"/>
      <c r="FN3672" s="2"/>
    </row>
    <row r="3673" spans="153:170" x14ac:dyDescent="0.35">
      <c r="EW3673" s="48"/>
      <c r="FB3673" s="5"/>
      <c r="FI3673" s="5"/>
      <c r="FJ3673" s="164"/>
      <c r="FL3673" s="2"/>
      <c r="FN3673" s="2"/>
    </row>
    <row r="3674" spans="153:170" x14ac:dyDescent="0.35">
      <c r="EW3674" s="48"/>
      <c r="FB3674" s="5"/>
      <c r="FI3674" s="5"/>
      <c r="FJ3674" s="164"/>
      <c r="FL3674" s="2"/>
      <c r="FN3674" s="2"/>
    </row>
    <row r="3675" spans="153:170" x14ac:dyDescent="0.35">
      <c r="EW3675" s="48"/>
      <c r="FB3675" s="5"/>
      <c r="FI3675" s="5"/>
      <c r="FJ3675" s="164"/>
      <c r="FL3675" s="2"/>
      <c r="FN3675" s="2"/>
    </row>
    <row r="3676" spans="153:170" x14ac:dyDescent="0.35">
      <c r="EW3676" s="48"/>
      <c r="FB3676" s="5"/>
      <c r="FI3676" s="5"/>
      <c r="FJ3676" s="164"/>
      <c r="FL3676" s="2"/>
      <c r="FN3676" s="2"/>
    </row>
    <row r="3677" spans="153:170" x14ac:dyDescent="0.35">
      <c r="EW3677" s="48"/>
      <c r="FB3677" s="5"/>
      <c r="FI3677" s="5"/>
      <c r="FJ3677" s="164"/>
      <c r="FL3677" s="2"/>
      <c r="FN3677" s="2"/>
    </row>
    <row r="3678" spans="153:170" x14ac:dyDescent="0.35">
      <c r="EW3678" s="48"/>
      <c r="FB3678" s="5"/>
      <c r="FI3678" s="5"/>
      <c r="FJ3678" s="164"/>
      <c r="FL3678" s="2"/>
      <c r="FN3678" s="2"/>
    </row>
    <row r="3679" spans="153:170" x14ac:dyDescent="0.35">
      <c r="EW3679" s="48"/>
      <c r="FB3679" s="5"/>
      <c r="FI3679" s="5"/>
      <c r="FJ3679" s="164"/>
      <c r="FL3679" s="2"/>
      <c r="FN3679" s="2"/>
    </row>
    <row r="3680" spans="153:170" x14ac:dyDescent="0.35">
      <c r="EW3680" s="48"/>
      <c r="FB3680" s="5"/>
      <c r="FI3680" s="5"/>
      <c r="FJ3680" s="164"/>
      <c r="FL3680" s="2"/>
      <c r="FN3680" s="2"/>
    </row>
    <row r="3681" spans="153:170" x14ac:dyDescent="0.35">
      <c r="EW3681" s="48"/>
      <c r="FB3681" s="5"/>
      <c r="FI3681" s="5"/>
      <c r="FJ3681" s="164"/>
      <c r="FL3681" s="2"/>
      <c r="FN3681" s="2"/>
    </row>
    <row r="3682" spans="153:170" x14ac:dyDescent="0.35">
      <c r="EW3682" s="48"/>
      <c r="FB3682" s="5"/>
      <c r="FI3682" s="5"/>
      <c r="FJ3682" s="164"/>
      <c r="FL3682" s="2"/>
      <c r="FN3682" s="2"/>
    </row>
    <row r="3683" spans="153:170" x14ac:dyDescent="0.35">
      <c r="EW3683" s="48"/>
      <c r="FB3683" s="5"/>
      <c r="FI3683" s="5"/>
      <c r="FJ3683" s="164"/>
      <c r="FL3683" s="2"/>
      <c r="FN3683" s="2"/>
    </row>
    <row r="3684" spans="153:170" x14ac:dyDescent="0.35">
      <c r="EW3684" s="48"/>
      <c r="FB3684" s="5"/>
      <c r="FI3684" s="5"/>
      <c r="FJ3684" s="164"/>
      <c r="FL3684" s="2"/>
      <c r="FN3684" s="2"/>
    </row>
    <row r="3685" spans="153:170" x14ac:dyDescent="0.35">
      <c r="EW3685" s="48"/>
      <c r="FB3685" s="5"/>
      <c r="FI3685" s="5"/>
      <c r="FJ3685" s="164"/>
      <c r="FL3685" s="2"/>
      <c r="FN3685" s="2"/>
    </row>
    <row r="3686" spans="153:170" x14ac:dyDescent="0.35">
      <c r="EW3686" s="48"/>
      <c r="FB3686" s="5"/>
      <c r="FI3686" s="5"/>
      <c r="FJ3686" s="164"/>
      <c r="FL3686" s="2"/>
      <c r="FN3686" s="2"/>
    </row>
    <row r="3687" spans="153:170" x14ac:dyDescent="0.35">
      <c r="EW3687" s="48"/>
      <c r="FB3687" s="5"/>
      <c r="FI3687" s="5"/>
      <c r="FJ3687" s="164"/>
      <c r="FL3687" s="2"/>
      <c r="FN3687" s="2"/>
    </row>
    <row r="3688" spans="153:170" x14ac:dyDescent="0.35">
      <c r="EW3688" s="48"/>
      <c r="FB3688" s="5"/>
      <c r="FI3688" s="5"/>
      <c r="FJ3688" s="164"/>
      <c r="FL3688" s="2"/>
      <c r="FN3688" s="2"/>
    </row>
    <row r="3689" spans="153:170" x14ac:dyDescent="0.35">
      <c r="EW3689" s="48"/>
      <c r="FB3689" s="5"/>
      <c r="FI3689" s="5"/>
      <c r="FJ3689" s="164"/>
      <c r="FL3689" s="2"/>
      <c r="FN3689" s="2"/>
    </row>
    <row r="3690" spans="153:170" x14ac:dyDescent="0.35">
      <c r="EW3690" s="48"/>
      <c r="FB3690" s="5"/>
      <c r="FI3690" s="5"/>
      <c r="FJ3690" s="164"/>
      <c r="FL3690" s="2"/>
      <c r="FN3690" s="2"/>
    </row>
    <row r="3691" spans="153:170" x14ac:dyDescent="0.35">
      <c r="EW3691" s="48"/>
      <c r="FB3691" s="5"/>
      <c r="FI3691" s="5"/>
      <c r="FJ3691" s="164"/>
      <c r="FL3691" s="2"/>
      <c r="FN3691" s="2"/>
    </row>
    <row r="3692" spans="153:170" x14ac:dyDescent="0.35">
      <c r="EW3692" s="48"/>
      <c r="FB3692" s="5"/>
      <c r="FI3692" s="5"/>
      <c r="FJ3692" s="164"/>
      <c r="FL3692" s="2"/>
      <c r="FN3692" s="2"/>
    </row>
    <row r="3693" spans="153:170" x14ac:dyDescent="0.35">
      <c r="EW3693" s="48"/>
      <c r="FB3693" s="5"/>
      <c r="FI3693" s="5"/>
      <c r="FJ3693" s="164"/>
      <c r="FL3693" s="2"/>
      <c r="FN3693" s="2"/>
    </row>
    <row r="3694" spans="153:170" x14ac:dyDescent="0.35">
      <c r="EW3694" s="48"/>
      <c r="FB3694" s="5"/>
      <c r="FI3694" s="5"/>
      <c r="FJ3694" s="164"/>
      <c r="FL3694" s="2"/>
      <c r="FN3694" s="2"/>
    </row>
    <row r="3695" spans="153:170" x14ac:dyDescent="0.35">
      <c r="EW3695" s="48"/>
      <c r="FB3695" s="5"/>
      <c r="FI3695" s="5"/>
      <c r="FJ3695" s="164"/>
      <c r="FL3695" s="2"/>
      <c r="FN3695" s="2"/>
    </row>
    <row r="3696" spans="153:170" x14ac:dyDescent="0.35">
      <c r="EW3696" s="48"/>
      <c r="FB3696" s="5"/>
      <c r="FI3696" s="5"/>
      <c r="FJ3696" s="164"/>
      <c r="FL3696" s="2"/>
      <c r="FN3696" s="2"/>
    </row>
    <row r="3697" spans="153:170" x14ac:dyDescent="0.35">
      <c r="EW3697" s="48"/>
      <c r="FB3697" s="5"/>
      <c r="FI3697" s="5"/>
      <c r="FJ3697" s="164"/>
      <c r="FL3697" s="2"/>
      <c r="FN3697" s="2"/>
    </row>
    <row r="3698" spans="153:170" x14ac:dyDescent="0.35">
      <c r="EW3698" s="48"/>
      <c r="FB3698" s="5"/>
      <c r="FI3698" s="5"/>
      <c r="FJ3698" s="164"/>
      <c r="FL3698" s="2"/>
      <c r="FN3698" s="2"/>
    </row>
    <row r="3699" spans="153:170" x14ac:dyDescent="0.35">
      <c r="EW3699" s="48"/>
      <c r="FB3699" s="5"/>
      <c r="FI3699" s="5"/>
      <c r="FJ3699" s="164"/>
      <c r="FL3699" s="2"/>
      <c r="FN3699" s="2"/>
    </row>
    <row r="3700" spans="153:170" x14ac:dyDescent="0.35">
      <c r="EW3700" s="48"/>
      <c r="FB3700" s="5"/>
      <c r="FI3700" s="5"/>
      <c r="FJ3700" s="164"/>
      <c r="FL3700" s="2"/>
      <c r="FN3700" s="2"/>
    </row>
    <row r="3701" spans="153:170" x14ac:dyDescent="0.35">
      <c r="EW3701" s="48"/>
      <c r="FB3701" s="5"/>
      <c r="FI3701" s="5"/>
      <c r="FJ3701" s="164"/>
      <c r="FL3701" s="2"/>
      <c r="FN3701" s="2"/>
    </row>
    <row r="3702" spans="153:170" x14ac:dyDescent="0.35">
      <c r="EW3702" s="48"/>
      <c r="FB3702" s="5"/>
      <c r="FI3702" s="5"/>
      <c r="FJ3702" s="164"/>
      <c r="FL3702" s="2"/>
      <c r="FN3702" s="2"/>
    </row>
    <row r="3703" spans="153:170" x14ac:dyDescent="0.35">
      <c r="EW3703" s="48"/>
      <c r="FB3703" s="5"/>
      <c r="FI3703" s="5"/>
      <c r="FJ3703" s="164"/>
      <c r="FL3703" s="2"/>
      <c r="FN3703" s="2"/>
    </row>
    <row r="3704" spans="153:170" x14ac:dyDescent="0.35">
      <c r="EW3704" s="48"/>
      <c r="FB3704" s="5"/>
      <c r="FI3704" s="5"/>
      <c r="FJ3704" s="164"/>
      <c r="FL3704" s="2"/>
      <c r="FN3704" s="2"/>
    </row>
    <row r="3705" spans="153:170" x14ac:dyDescent="0.35">
      <c r="EW3705" s="48"/>
      <c r="FB3705" s="5"/>
      <c r="FI3705" s="5"/>
      <c r="FJ3705" s="164"/>
      <c r="FL3705" s="2"/>
      <c r="FN3705" s="2"/>
    </row>
    <row r="3706" spans="153:170" x14ac:dyDescent="0.35">
      <c r="EW3706" s="48"/>
      <c r="FB3706" s="5"/>
      <c r="FI3706" s="5"/>
      <c r="FJ3706" s="164"/>
      <c r="FL3706" s="2"/>
      <c r="FN3706" s="2"/>
    </row>
    <row r="3707" spans="153:170" x14ac:dyDescent="0.35">
      <c r="EW3707" s="48"/>
      <c r="FB3707" s="5"/>
      <c r="FI3707" s="5"/>
      <c r="FJ3707" s="164"/>
      <c r="FL3707" s="2"/>
      <c r="FN3707" s="2"/>
    </row>
    <row r="3708" spans="153:170" x14ac:dyDescent="0.35">
      <c r="EW3708" s="48"/>
      <c r="FB3708" s="5"/>
      <c r="FI3708" s="5"/>
      <c r="FJ3708" s="164"/>
      <c r="FL3708" s="2"/>
      <c r="FN3708" s="2"/>
    </row>
    <row r="3709" spans="153:170" x14ac:dyDescent="0.35">
      <c r="EW3709" s="48"/>
      <c r="FB3709" s="5"/>
      <c r="FI3709" s="5"/>
      <c r="FJ3709" s="164"/>
      <c r="FL3709" s="2"/>
      <c r="FN3709" s="2"/>
    </row>
    <row r="3710" spans="153:170" x14ac:dyDescent="0.35">
      <c r="EW3710" s="48"/>
      <c r="FB3710" s="5"/>
      <c r="FI3710" s="5"/>
      <c r="FJ3710" s="164"/>
      <c r="FL3710" s="2"/>
      <c r="FN3710" s="2"/>
    </row>
    <row r="3711" spans="153:170" x14ac:dyDescent="0.35">
      <c r="EW3711" s="48"/>
      <c r="FB3711" s="5"/>
      <c r="FI3711" s="5"/>
      <c r="FJ3711" s="164"/>
      <c r="FL3711" s="2"/>
      <c r="FN3711" s="2"/>
    </row>
    <row r="3712" spans="153:170" x14ac:dyDescent="0.35">
      <c r="EW3712" s="48"/>
      <c r="FB3712" s="5"/>
      <c r="FI3712" s="5"/>
      <c r="FJ3712" s="164"/>
      <c r="FL3712" s="2"/>
      <c r="FN3712" s="2"/>
    </row>
    <row r="3713" spans="153:170" x14ac:dyDescent="0.35">
      <c r="EW3713" s="48"/>
      <c r="FB3713" s="5"/>
      <c r="FI3713" s="5"/>
      <c r="FJ3713" s="164"/>
      <c r="FL3713" s="2"/>
      <c r="FN3713" s="2"/>
    </row>
    <row r="3714" spans="153:170" x14ac:dyDescent="0.35">
      <c r="EW3714" s="48"/>
      <c r="FB3714" s="5"/>
      <c r="FI3714" s="5"/>
      <c r="FJ3714" s="164"/>
      <c r="FL3714" s="2"/>
      <c r="FN3714" s="2"/>
    </row>
    <row r="3715" spans="153:170" x14ac:dyDescent="0.35">
      <c r="EW3715" s="48"/>
      <c r="FB3715" s="5"/>
      <c r="FI3715" s="5"/>
      <c r="FJ3715" s="164"/>
      <c r="FL3715" s="2"/>
      <c r="FN3715" s="2"/>
    </row>
    <row r="3716" spans="153:170" x14ac:dyDescent="0.35">
      <c r="EW3716" s="48"/>
      <c r="FB3716" s="5"/>
      <c r="FI3716" s="5"/>
      <c r="FJ3716" s="164"/>
      <c r="FL3716" s="2"/>
      <c r="FN3716" s="2"/>
    </row>
    <row r="3717" spans="153:170" x14ac:dyDescent="0.35">
      <c r="EW3717" s="48"/>
      <c r="FB3717" s="5"/>
      <c r="FI3717" s="5"/>
      <c r="FJ3717" s="164"/>
      <c r="FL3717" s="2"/>
      <c r="FN3717" s="2"/>
    </row>
    <row r="3718" spans="153:170" x14ac:dyDescent="0.35">
      <c r="EW3718" s="48"/>
      <c r="FB3718" s="5"/>
      <c r="FI3718" s="5"/>
      <c r="FJ3718" s="164"/>
      <c r="FL3718" s="2"/>
      <c r="FN3718" s="2"/>
    </row>
    <row r="3719" spans="153:170" x14ac:dyDescent="0.35">
      <c r="EW3719" s="48"/>
      <c r="FB3719" s="5"/>
      <c r="FI3719" s="5"/>
      <c r="FJ3719" s="164"/>
      <c r="FL3719" s="2"/>
      <c r="FN3719" s="2"/>
    </row>
    <row r="3720" spans="153:170" x14ac:dyDescent="0.35">
      <c r="EW3720" s="48"/>
      <c r="FB3720" s="5"/>
      <c r="FI3720" s="5"/>
      <c r="FJ3720" s="164"/>
      <c r="FL3720" s="2"/>
      <c r="FN3720" s="2"/>
    </row>
    <row r="3721" spans="153:170" x14ac:dyDescent="0.35">
      <c r="EW3721" s="48"/>
      <c r="FB3721" s="5"/>
      <c r="FI3721" s="5"/>
      <c r="FJ3721" s="164"/>
      <c r="FL3721" s="2"/>
      <c r="FN3721" s="2"/>
    </row>
    <row r="3722" spans="153:170" x14ac:dyDescent="0.35">
      <c r="EW3722" s="48"/>
      <c r="FB3722" s="5"/>
      <c r="FI3722" s="5"/>
      <c r="FJ3722" s="164"/>
      <c r="FL3722" s="2"/>
      <c r="FN3722" s="2"/>
    </row>
    <row r="3723" spans="153:170" x14ac:dyDescent="0.35">
      <c r="EW3723" s="48"/>
      <c r="FB3723" s="5"/>
      <c r="FI3723" s="5"/>
      <c r="FJ3723" s="164"/>
      <c r="FL3723" s="2"/>
      <c r="FN3723" s="2"/>
    </row>
    <row r="3724" spans="153:170" x14ac:dyDescent="0.35">
      <c r="EW3724" s="48"/>
      <c r="FB3724" s="5"/>
      <c r="FI3724" s="5"/>
      <c r="FJ3724" s="164"/>
      <c r="FL3724" s="2"/>
      <c r="FN3724" s="2"/>
    </row>
    <row r="3725" spans="153:170" x14ac:dyDescent="0.35">
      <c r="EW3725" s="48"/>
      <c r="FB3725" s="5"/>
      <c r="FI3725" s="5"/>
      <c r="FJ3725" s="164"/>
      <c r="FL3725" s="2"/>
      <c r="FN3725" s="2"/>
    </row>
    <row r="3726" spans="153:170" x14ac:dyDescent="0.35">
      <c r="EW3726" s="48"/>
      <c r="FB3726" s="5"/>
      <c r="FI3726" s="5"/>
      <c r="FJ3726" s="164"/>
      <c r="FL3726" s="2"/>
      <c r="FN3726" s="2"/>
    </row>
    <row r="3727" spans="153:170" x14ac:dyDescent="0.35">
      <c r="EW3727" s="48"/>
      <c r="FB3727" s="5"/>
      <c r="FI3727" s="5"/>
      <c r="FJ3727" s="164"/>
      <c r="FL3727" s="2"/>
      <c r="FN3727" s="2"/>
    </row>
    <row r="3728" spans="153:170" x14ac:dyDescent="0.35">
      <c r="EW3728" s="48"/>
      <c r="FB3728" s="5"/>
      <c r="FI3728" s="5"/>
      <c r="FJ3728" s="164"/>
      <c r="FL3728" s="2"/>
      <c r="FN3728" s="2"/>
    </row>
    <row r="3729" spans="153:170" x14ac:dyDescent="0.35">
      <c r="EW3729" s="48"/>
      <c r="FB3729" s="5"/>
      <c r="FI3729" s="5"/>
      <c r="FJ3729" s="164"/>
      <c r="FL3729" s="2"/>
      <c r="FN3729" s="2"/>
    </row>
    <row r="3730" spans="153:170" x14ac:dyDescent="0.35">
      <c r="EW3730" s="48"/>
      <c r="FB3730" s="5"/>
      <c r="FI3730" s="5"/>
      <c r="FJ3730" s="164"/>
      <c r="FL3730" s="2"/>
      <c r="FN3730" s="2"/>
    </row>
    <row r="3731" spans="153:170" x14ac:dyDescent="0.35">
      <c r="EW3731" s="48"/>
      <c r="FB3731" s="5"/>
      <c r="FI3731" s="5"/>
      <c r="FJ3731" s="164"/>
      <c r="FL3731" s="2"/>
      <c r="FN3731" s="2"/>
    </row>
    <row r="3732" spans="153:170" x14ac:dyDescent="0.35">
      <c r="EW3732" s="48"/>
      <c r="FB3732" s="5"/>
      <c r="FI3732" s="5"/>
      <c r="FJ3732" s="164"/>
      <c r="FL3732" s="2"/>
      <c r="FN3732" s="2"/>
    </row>
    <row r="3733" spans="153:170" x14ac:dyDescent="0.35">
      <c r="EW3733" s="48"/>
      <c r="FB3733" s="5"/>
      <c r="FI3733" s="5"/>
      <c r="FJ3733" s="164"/>
      <c r="FL3733" s="2"/>
      <c r="FN3733" s="2"/>
    </row>
    <row r="3734" spans="153:170" x14ac:dyDescent="0.35">
      <c r="EW3734" s="48"/>
      <c r="FB3734" s="5"/>
      <c r="FI3734" s="5"/>
      <c r="FJ3734" s="164"/>
      <c r="FL3734" s="2"/>
      <c r="FN3734" s="2"/>
    </row>
    <row r="3735" spans="153:170" x14ac:dyDescent="0.35">
      <c r="EW3735" s="48"/>
      <c r="FB3735" s="5"/>
      <c r="FI3735" s="5"/>
      <c r="FJ3735" s="164"/>
      <c r="FL3735" s="2"/>
      <c r="FN3735" s="2"/>
    </row>
    <row r="3736" spans="153:170" x14ac:dyDescent="0.35">
      <c r="EW3736" s="48"/>
      <c r="FB3736" s="5"/>
      <c r="FI3736" s="5"/>
      <c r="FJ3736" s="164"/>
      <c r="FL3736" s="2"/>
      <c r="FN3736" s="2"/>
    </row>
    <row r="3737" spans="153:170" x14ac:dyDescent="0.35">
      <c r="EW3737" s="48"/>
      <c r="FB3737" s="5"/>
      <c r="FI3737" s="5"/>
      <c r="FJ3737" s="164"/>
      <c r="FL3737" s="2"/>
      <c r="FN3737" s="2"/>
    </row>
    <row r="3738" spans="153:170" x14ac:dyDescent="0.35">
      <c r="EW3738" s="48"/>
      <c r="FB3738" s="5"/>
      <c r="FI3738" s="5"/>
      <c r="FJ3738" s="164"/>
      <c r="FL3738" s="2"/>
      <c r="FN3738" s="2"/>
    </row>
    <row r="3739" spans="153:170" x14ac:dyDescent="0.35">
      <c r="EW3739" s="48"/>
      <c r="FB3739" s="5"/>
      <c r="FI3739" s="5"/>
      <c r="FJ3739" s="164"/>
      <c r="FL3739" s="2"/>
      <c r="FN3739" s="2"/>
    </row>
    <row r="3740" spans="153:170" x14ac:dyDescent="0.35">
      <c r="EW3740" s="48"/>
      <c r="FB3740" s="5"/>
      <c r="FI3740" s="5"/>
      <c r="FJ3740" s="164"/>
      <c r="FL3740" s="2"/>
      <c r="FN3740" s="2"/>
    </row>
    <row r="3741" spans="153:170" x14ac:dyDescent="0.35">
      <c r="EW3741" s="48"/>
      <c r="FB3741" s="5"/>
      <c r="FI3741" s="5"/>
      <c r="FJ3741" s="164"/>
      <c r="FL3741" s="2"/>
      <c r="FN3741" s="2"/>
    </row>
    <row r="3742" spans="153:170" x14ac:dyDescent="0.35">
      <c r="EW3742" s="48"/>
      <c r="FB3742" s="5"/>
      <c r="FI3742" s="5"/>
      <c r="FJ3742" s="164"/>
      <c r="FL3742" s="2"/>
      <c r="FN3742" s="2"/>
    </row>
    <row r="3743" spans="153:170" x14ac:dyDescent="0.35">
      <c r="EW3743" s="48"/>
      <c r="FB3743" s="5"/>
      <c r="FI3743" s="5"/>
      <c r="FJ3743" s="164"/>
      <c r="FL3743" s="2"/>
      <c r="FN3743" s="2"/>
    </row>
    <row r="3744" spans="153:170" x14ac:dyDescent="0.35">
      <c r="EW3744" s="48"/>
      <c r="FB3744" s="5"/>
      <c r="FI3744" s="5"/>
      <c r="FJ3744" s="164"/>
      <c r="FL3744" s="2"/>
      <c r="FN3744" s="2"/>
    </row>
    <row r="3745" spans="153:170" x14ac:dyDescent="0.35">
      <c r="EW3745" s="48"/>
      <c r="FB3745" s="5"/>
      <c r="FI3745" s="5"/>
      <c r="FJ3745" s="164"/>
      <c r="FL3745" s="2"/>
      <c r="FN3745" s="2"/>
    </row>
    <row r="3746" spans="153:170" x14ac:dyDescent="0.35">
      <c r="EW3746" s="48"/>
      <c r="FB3746" s="5"/>
      <c r="FI3746" s="5"/>
      <c r="FJ3746" s="164"/>
      <c r="FL3746" s="2"/>
      <c r="FN3746" s="2"/>
    </row>
    <row r="3747" spans="153:170" x14ac:dyDescent="0.35">
      <c r="EW3747" s="48"/>
      <c r="FB3747" s="5"/>
      <c r="FI3747" s="5"/>
      <c r="FJ3747" s="164"/>
      <c r="FL3747" s="2"/>
      <c r="FN3747" s="2"/>
    </row>
    <row r="3748" spans="153:170" x14ac:dyDescent="0.35">
      <c r="EW3748" s="48"/>
      <c r="FB3748" s="5"/>
      <c r="FI3748" s="5"/>
      <c r="FJ3748" s="164"/>
      <c r="FL3748" s="2"/>
      <c r="FN3748" s="2"/>
    </row>
    <row r="3749" spans="153:170" x14ac:dyDescent="0.35">
      <c r="EW3749" s="48"/>
      <c r="FB3749" s="5"/>
      <c r="FI3749" s="5"/>
      <c r="FJ3749" s="164"/>
      <c r="FL3749" s="2"/>
      <c r="FN3749" s="2"/>
    </row>
    <row r="3750" spans="153:170" x14ac:dyDescent="0.35">
      <c r="EW3750" s="48"/>
      <c r="FB3750" s="5"/>
      <c r="FI3750" s="5"/>
      <c r="FJ3750" s="164"/>
      <c r="FL3750" s="2"/>
      <c r="FN3750" s="2"/>
    </row>
    <row r="3751" spans="153:170" x14ac:dyDescent="0.35">
      <c r="EW3751" s="48"/>
      <c r="FB3751" s="5"/>
      <c r="FI3751" s="5"/>
      <c r="FJ3751" s="164"/>
      <c r="FL3751" s="2"/>
      <c r="FN3751" s="2"/>
    </row>
    <row r="3752" spans="153:170" x14ac:dyDescent="0.35">
      <c r="EW3752" s="48"/>
      <c r="FB3752" s="5"/>
      <c r="FI3752" s="5"/>
      <c r="FJ3752" s="164"/>
      <c r="FL3752" s="2"/>
      <c r="FN3752" s="2"/>
    </row>
    <row r="3753" spans="153:170" x14ac:dyDescent="0.35">
      <c r="EW3753" s="48"/>
      <c r="FB3753" s="5"/>
      <c r="FI3753" s="5"/>
      <c r="FJ3753" s="164"/>
      <c r="FL3753" s="2"/>
      <c r="FN3753" s="2"/>
    </row>
    <row r="3754" spans="153:170" x14ac:dyDescent="0.35">
      <c r="EW3754" s="48"/>
      <c r="FB3754" s="5"/>
      <c r="FI3754" s="5"/>
      <c r="FJ3754" s="164"/>
      <c r="FL3754" s="2"/>
      <c r="FN3754" s="2"/>
    </row>
    <row r="3755" spans="153:170" x14ac:dyDescent="0.35">
      <c r="EW3755" s="48"/>
      <c r="FB3755" s="5"/>
      <c r="FI3755" s="5"/>
      <c r="FJ3755" s="164"/>
      <c r="FL3755" s="2"/>
      <c r="FN3755" s="2"/>
    </row>
    <row r="3756" spans="153:170" x14ac:dyDescent="0.35">
      <c r="EW3756" s="48"/>
      <c r="FB3756" s="5"/>
      <c r="FI3756" s="5"/>
      <c r="FJ3756" s="164"/>
      <c r="FL3756" s="2"/>
      <c r="FN3756" s="2"/>
    </row>
    <row r="3757" spans="153:170" x14ac:dyDescent="0.35">
      <c r="EW3757" s="48"/>
      <c r="FB3757" s="5"/>
      <c r="FI3757" s="5"/>
      <c r="FJ3757" s="164"/>
      <c r="FL3757" s="2"/>
      <c r="FN3757" s="2"/>
    </row>
    <row r="3758" spans="153:170" x14ac:dyDescent="0.35">
      <c r="EW3758" s="48"/>
      <c r="FB3758" s="5"/>
      <c r="FI3758" s="5"/>
      <c r="FJ3758" s="164"/>
      <c r="FL3758" s="2"/>
      <c r="FN3758" s="2"/>
    </row>
    <row r="3759" spans="153:170" x14ac:dyDescent="0.35">
      <c r="EW3759" s="48"/>
      <c r="FB3759" s="5"/>
      <c r="FI3759" s="5"/>
      <c r="FJ3759" s="164"/>
      <c r="FL3759" s="2"/>
      <c r="FN3759" s="2"/>
    </row>
    <row r="3760" spans="153:170" x14ac:dyDescent="0.35">
      <c r="EW3760" s="48"/>
      <c r="FB3760" s="5"/>
      <c r="FI3760" s="5"/>
      <c r="FJ3760" s="164"/>
      <c r="FL3760" s="2"/>
      <c r="FN3760" s="2"/>
    </row>
    <row r="3761" spans="153:170" x14ac:dyDescent="0.35">
      <c r="EW3761" s="48"/>
      <c r="FB3761" s="5"/>
      <c r="FI3761" s="5"/>
      <c r="FJ3761" s="164"/>
      <c r="FL3761" s="2"/>
      <c r="FN3761" s="2"/>
    </row>
    <row r="3762" spans="153:170" x14ac:dyDescent="0.35">
      <c r="EW3762" s="48"/>
      <c r="FB3762" s="5"/>
      <c r="FI3762" s="5"/>
      <c r="FJ3762" s="164"/>
      <c r="FL3762" s="2"/>
      <c r="FN3762" s="2"/>
    </row>
    <row r="3763" spans="153:170" x14ac:dyDescent="0.35">
      <c r="EW3763" s="48"/>
      <c r="FB3763" s="5"/>
      <c r="FI3763" s="5"/>
      <c r="FJ3763" s="164"/>
      <c r="FL3763" s="2"/>
      <c r="FN3763" s="2"/>
    </row>
    <row r="3764" spans="153:170" x14ac:dyDescent="0.35">
      <c r="EW3764" s="48"/>
      <c r="FB3764" s="5"/>
      <c r="FI3764" s="5"/>
      <c r="FJ3764" s="164"/>
      <c r="FL3764" s="2"/>
      <c r="FN3764" s="2"/>
    </row>
    <row r="3765" spans="153:170" x14ac:dyDescent="0.35">
      <c r="EW3765" s="48"/>
      <c r="FB3765" s="5"/>
      <c r="FI3765" s="5"/>
      <c r="FJ3765" s="164"/>
      <c r="FL3765" s="2"/>
      <c r="FN3765" s="2"/>
    </row>
    <row r="3766" spans="153:170" x14ac:dyDescent="0.35">
      <c r="EW3766" s="48"/>
      <c r="FB3766" s="5"/>
      <c r="FI3766" s="5"/>
      <c r="FJ3766" s="164"/>
      <c r="FL3766" s="2"/>
      <c r="FN3766" s="2"/>
    </row>
    <row r="3767" spans="153:170" x14ac:dyDescent="0.35">
      <c r="EW3767" s="48"/>
      <c r="FB3767" s="5"/>
      <c r="FI3767" s="5"/>
      <c r="FJ3767" s="164"/>
      <c r="FL3767" s="2"/>
      <c r="FN3767" s="2"/>
    </row>
    <row r="3768" spans="153:170" x14ac:dyDescent="0.35">
      <c r="EW3768" s="48"/>
      <c r="FB3768" s="5"/>
      <c r="FI3768" s="5"/>
      <c r="FJ3768" s="164"/>
      <c r="FL3768" s="2"/>
      <c r="FN3768" s="2"/>
    </row>
    <row r="3769" spans="153:170" x14ac:dyDescent="0.35">
      <c r="EW3769" s="48"/>
      <c r="FB3769" s="5"/>
      <c r="FI3769" s="5"/>
      <c r="FJ3769" s="164"/>
      <c r="FL3769" s="2"/>
      <c r="FN3769" s="2"/>
    </row>
    <row r="3770" spans="153:170" x14ac:dyDescent="0.35">
      <c r="EW3770" s="48"/>
      <c r="FB3770" s="5"/>
      <c r="FI3770" s="5"/>
      <c r="FJ3770" s="164"/>
      <c r="FL3770" s="2"/>
      <c r="FN3770" s="2"/>
    </row>
    <row r="3771" spans="153:170" x14ac:dyDescent="0.35">
      <c r="EW3771" s="48"/>
      <c r="FB3771" s="5"/>
      <c r="FI3771" s="5"/>
      <c r="FJ3771" s="164"/>
      <c r="FL3771" s="2"/>
      <c r="FN3771" s="2"/>
    </row>
    <row r="3772" spans="153:170" x14ac:dyDescent="0.35">
      <c r="EW3772" s="48"/>
      <c r="FB3772" s="5"/>
      <c r="FI3772" s="5"/>
      <c r="FJ3772" s="164"/>
      <c r="FL3772" s="2"/>
      <c r="FN3772" s="2"/>
    </row>
    <row r="3773" spans="153:170" x14ac:dyDescent="0.35">
      <c r="EW3773" s="48"/>
      <c r="FB3773" s="5"/>
      <c r="FI3773" s="5"/>
      <c r="FJ3773" s="164"/>
      <c r="FL3773" s="2"/>
      <c r="FN3773" s="2"/>
    </row>
    <row r="3774" spans="153:170" x14ac:dyDescent="0.35">
      <c r="EW3774" s="48"/>
      <c r="FB3774" s="5"/>
      <c r="FI3774" s="5"/>
      <c r="FJ3774" s="164"/>
      <c r="FL3774" s="2"/>
      <c r="FN3774" s="2"/>
    </row>
    <row r="3775" spans="153:170" x14ac:dyDescent="0.35">
      <c r="EW3775" s="48"/>
      <c r="FB3775" s="5"/>
      <c r="FI3775" s="5"/>
      <c r="FJ3775" s="164"/>
      <c r="FL3775" s="2"/>
      <c r="FN3775" s="2"/>
    </row>
    <row r="3776" spans="153:170" x14ac:dyDescent="0.35">
      <c r="EW3776" s="48"/>
      <c r="FB3776" s="5"/>
      <c r="FI3776" s="5"/>
      <c r="FJ3776" s="164"/>
      <c r="FL3776" s="2"/>
      <c r="FN3776" s="2"/>
    </row>
    <row r="3777" spans="153:170" x14ac:dyDescent="0.35">
      <c r="EW3777" s="48"/>
      <c r="FB3777" s="5"/>
      <c r="FI3777" s="5"/>
      <c r="FJ3777" s="164"/>
      <c r="FL3777" s="2"/>
      <c r="FN3777" s="2"/>
    </row>
    <row r="3778" spans="153:170" x14ac:dyDescent="0.35">
      <c r="EW3778" s="48"/>
      <c r="FB3778" s="5"/>
      <c r="FI3778" s="5"/>
      <c r="FJ3778" s="164"/>
      <c r="FL3778" s="2"/>
      <c r="FN3778" s="2"/>
    </row>
    <row r="3779" spans="153:170" x14ac:dyDescent="0.35">
      <c r="EW3779" s="48"/>
      <c r="FB3779" s="5"/>
      <c r="FI3779" s="5"/>
      <c r="FJ3779" s="164"/>
      <c r="FL3779" s="2"/>
      <c r="FN3779" s="2"/>
    </row>
    <row r="3780" spans="153:170" x14ac:dyDescent="0.35">
      <c r="EW3780" s="48"/>
      <c r="FB3780" s="5"/>
      <c r="FI3780" s="5"/>
      <c r="FJ3780" s="164"/>
      <c r="FL3780" s="2"/>
      <c r="FN3780" s="2"/>
    </row>
    <row r="3781" spans="153:170" x14ac:dyDescent="0.35">
      <c r="EW3781" s="48"/>
      <c r="FB3781" s="5"/>
      <c r="FI3781" s="5"/>
      <c r="FJ3781" s="164"/>
      <c r="FL3781" s="2"/>
      <c r="FN3781" s="2"/>
    </row>
    <row r="3782" spans="153:170" x14ac:dyDescent="0.35">
      <c r="EW3782" s="48"/>
      <c r="FB3782" s="5"/>
      <c r="FI3782" s="5"/>
      <c r="FJ3782" s="164"/>
      <c r="FL3782" s="2"/>
      <c r="FN3782" s="2"/>
    </row>
    <row r="3783" spans="153:170" x14ac:dyDescent="0.35">
      <c r="EW3783" s="48"/>
      <c r="FB3783" s="5"/>
      <c r="FI3783" s="5"/>
      <c r="FJ3783" s="164"/>
      <c r="FL3783" s="2"/>
      <c r="FN3783" s="2"/>
    </row>
    <row r="3784" spans="153:170" x14ac:dyDescent="0.35">
      <c r="EW3784" s="48"/>
      <c r="FB3784" s="5"/>
      <c r="FI3784" s="5"/>
      <c r="FJ3784" s="164"/>
      <c r="FL3784" s="2"/>
      <c r="FN3784" s="2"/>
    </row>
    <row r="3785" spans="153:170" x14ac:dyDescent="0.35">
      <c r="EW3785" s="48"/>
      <c r="FB3785" s="5"/>
      <c r="FI3785" s="5"/>
      <c r="FJ3785" s="164"/>
      <c r="FL3785" s="2"/>
      <c r="FN3785" s="2"/>
    </row>
    <row r="3786" spans="153:170" x14ac:dyDescent="0.35">
      <c r="EW3786" s="48"/>
      <c r="FB3786" s="5"/>
      <c r="FI3786" s="5"/>
      <c r="FJ3786" s="164"/>
      <c r="FL3786" s="2"/>
      <c r="FN3786" s="2"/>
    </row>
    <row r="3787" spans="153:170" x14ac:dyDescent="0.35">
      <c r="EW3787" s="48"/>
      <c r="FB3787" s="5"/>
      <c r="FI3787" s="5"/>
      <c r="FJ3787" s="164"/>
      <c r="FL3787" s="2"/>
      <c r="FN3787" s="2"/>
    </row>
    <row r="3788" spans="153:170" x14ac:dyDescent="0.35">
      <c r="EW3788" s="48"/>
      <c r="FB3788" s="5"/>
      <c r="FI3788" s="5"/>
      <c r="FJ3788" s="164"/>
      <c r="FL3788" s="2"/>
      <c r="FN3788" s="2"/>
    </row>
    <row r="3789" spans="153:170" x14ac:dyDescent="0.35">
      <c r="EW3789" s="48"/>
      <c r="FB3789" s="5"/>
      <c r="FI3789" s="5"/>
      <c r="FJ3789" s="164"/>
      <c r="FL3789" s="2"/>
      <c r="FN3789" s="2"/>
    </row>
    <row r="3790" spans="153:170" x14ac:dyDescent="0.35">
      <c r="EW3790" s="48"/>
      <c r="FB3790" s="5"/>
      <c r="FI3790" s="5"/>
      <c r="FJ3790" s="164"/>
      <c r="FL3790" s="2"/>
      <c r="FN3790" s="2"/>
    </row>
    <row r="3791" spans="153:170" x14ac:dyDescent="0.35">
      <c r="EW3791" s="48"/>
      <c r="FB3791" s="5"/>
      <c r="FI3791" s="5"/>
      <c r="FJ3791" s="164"/>
      <c r="FL3791" s="2"/>
      <c r="FN3791" s="2"/>
    </row>
    <row r="3792" spans="153:170" x14ac:dyDescent="0.35">
      <c r="EW3792" s="48"/>
      <c r="FB3792" s="5"/>
      <c r="FI3792" s="5"/>
      <c r="FJ3792" s="164"/>
      <c r="FL3792" s="2"/>
      <c r="FN3792" s="2"/>
    </row>
    <row r="3793" spans="153:170" x14ac:dyDescent="0.35">
      <c r="EW3793" s="48"/>
      <c r="FB3793" s="5"/>
      <c r="FI3793" s="5"/>
      <c r="FJ3793" s="164"/>
      <c r="FL3793" s="2"/>
      <c r="FN3793" s="2"/>
    </row>
    <row r="3794" spans="153:170" x14ac:dyDescent="0.35">
      <c r="EW3794" s="48"/>
      <c r="FB3794" s="5"/>
      <c r="FI3794" s="5"/>
      <c r="FJ3794" s="164"/>
      <c r="FL3794" s="2"/>
      <c r="FN3794" s="2"/>
    </row>
    <row r="3795" spans="153:170" x14ac:dyDescent="0.35">
      <c r="EW3795" s="48"/>
      <c r="FB3795" s="5"/>
      <c r="FI3795" s="5"/>
      <c r="FJ3795" s="164"/>
      <c r="FL3795" s="2"/>
      <c r="FN3795" s="2"/>
    </row>
    <row r="3796" spans="153:170" x14ac:dyDescent="0.35">
      <c r="EW3796" s="48"/>
      <c r="FB3796" s="5"/>
      <c r="FI3796" s="5"/>
      <c r="FJ3796" s="164"/>
      <c r="FL3796" s="2"/>
      <c r="FN3796" s="2"/>
    </row>
    <row r="3797" spans="153:170" x14ac:dyDescent="0.35">
      <c r="EW3797" s="48"/>
      <c r="FB3797" s="5"/>
      <c r="FI3797" s="5"/>
      <c r="FJ3797" s="164"/>
      <c r="FL3797" s="2"/>
      <c r="FN3797" s="2"/>
    </row>
    <row r="3798" spans="153:170" x14ac:dyDescent="0.35">
      <c r="EW3798" s="48"/>
      <c r="FB3798" s="5"/>
      <c r="FI3798" s="5"/>
      <c r="FJ3798" s="164"/>
      <c r="FL3798" s="2"/>
      <c r="FN3798" s="2"/>
    </row>
    <row r="3799" spans="153:170" x14ac:dyDescent="0.35">
      <c r="EW3799" s="48"/>
      <c r="FB3799" s="5"/>
      <c r="FI3799" s="5"/>
      <c r="FJ3799" s="164"/>
      <c r="FL3799" s="2"/>
      <c r="FN3799" s="2"/>
    </row>
    <row r="3800" spans="153:170" x14ac:dyDescent="0.35">
      <c r="EW3800" s="48"/>
      <c r="FB3800" s="5"/>
      <c r="FI3800" s="5"/>
      <c r="FJ3800" s="164"/>
      <c r="FL3800" s="2"/>
      <c r="FN3800" s="2"/>
    </row>
    <row r="3801" spans="153:170" x14ac:dyDescent="0.35">
      <c r="EW3801" s="48"/>
      <c r="FB3801" s="5"/>
      <c r="FI3801" s="5"/>
      <c r="FJ3801" s="164"/>
      <c r="FL3801" s="2"/>
      <c r="FN3801" s="2"/>
    </row>
    <row r="3802" spans="153:170" x14ac:dyDescent="0.35">
      <c r="EW3802" s="48"/>
      <c r="FB3802" s="5"/>
      <c r="FI3802" s="5"/>
      <c r="FJ3802" s="164"/>
      <c r="FL3802" s="2"/>
      <c r="FN3802" s="2"/>
    </row>
    <row r="3803" spans="153:170" x14ac:dyDescent="0.35">
      <c r="EW3803" s="48"/>
      <c r="FB3803" s="5"/>
      <c r="FI3803" s="5"/>
      <c r="FJ3803" s="164"/>
      <c r="FL3803" s="2"/>
      <c r="FN3803" s="2"/>
    </row>
    <row r="3804" spans="153:170" x14ac:dyDescent="0.35">
      <c r="EW3804" s="48"/>
      <c r="FB3804" s="5"/>
      <c r="FI3804" s="5"/>
      <c r="FJ3804" s="164"/>
      <c r="FL3804" s="2"/>
      <c r="FN3804" s="2"/>
    </row>
    <row r="3805" spans="153:170" x14ac:dyDescent="0.35">
      <c r="EW3805" s="48"/>
      <c r="FB3805" s="5"/>
      <c r="FI3805" s="5"/>
      <c r="FJ3805" s="164"/>
      <c r="FL3805" s="2"/>
      <c r="FN3805" s="2"/>
    </row>
    <row r="3806" spans="153:170" x14ac:dyDescent="0.35">
      <c r="EW3806" s="48"/>
      <c r="FB3806" s="5"/>
      <c r="FI3806" s="5"/>
      <c r="FJ3806" s="164"/>
      <c r="FL3806" s="2"/>
      <c r="FN3806" s="2"/>
    </row>
    <row r="3807" spans="153:170" x14ac:dyDescent="0.35">
      <c r="EW3807" s="48"/>
      <c r="FB3807" s="5"/>
      <c r="FI3807" s="5"/>
      <c r="FJ3807" s="164"/>
      <c r="FL3807" s="2"/>
      <c r="FN3807" s="2"/>
    </row>
    <row r="3808" spans="153:170" x14ac:dyDescent="0.35">
      <c r="EW3808" s="48"/>
      <c r="FB3808" s="5"/>
      <c r="FI3808" s="5"/>
      <c r="FJ3808" s="164"/>
      <c r="FL3808" s="2"/>
      <c r="FN3808" s="2"/>
    </row>
    <row r="3809" spans="153:170" x14ac:dyDescent="0.35">
      <c r="EW3809" s="48"/>
      <c r="FB3809" s="5"/>
      <c r="FI3809" s="5"/>
      <c r="FJ3809" s="164"/>
      <c r="FL3809" s="2"/>
      <c r="FN3809" s="2"/>
    </row>
    <row r="3810" spans="153:170" x14ac:dyDescent="0.35">
      <c r="EW3810" s="48"/>
      <c r="FB3810" s="5"/>
      <c r="FI3810" s="5"/>
      <c r="FJ3810" s="164"/>
      <c r="FL3810" s="2"/>
      <c r="FN3810" s="2"/>
    </row>
    <row r="3811" spans="153:170" x14ac:dyDescent="0.35">
      <c r="EW3811" s="48"/>
      <c r="FB3811" s="5"/>
      <c r="FI3811" s="5"/>
      <c r="FJ3811" s="164"/>
      <c r="FL3811" s="2"/>
      <c r="FN3811" s="2"/>
    </row>
    <row r="3812" spans="153:170" x14ac:dyDescent="0.35">
      <c r="EW3812" s="48"/>
      <c r="FB3812" s="5"/>
      <c r="FI3812" s="5"/>
      <c r="FJ3812" s="164"/>
      <c r="FL3812" s="2"/>
      <c r="FN3812" s="2"/>
    </row>
    <row r="3813" spans="153:170" x14ac:dyDescent="0.35">
      <c r="EW3813" s="48"/>
      <c r="FB3813" s="5"/>
      <c r="FI3813" s="5"/>
      <c r="FJ3813" s="164"/>
      <c r="FL3813" s="2"/>
      <c r="FN3813" s="2"/>
    </row>
    <row r="3814" spans="153:170" x14ac:dyDescent="0.35">
      <c r="EW3814" s="48"/>
      <c r="FB3814" s="5"/>
      <c r="FI3814" s="5"/>
      <c r="FJ3814" s="164"/>
      <c r="FL3814" s="2"/>
      <c r="FN3814" s="2"/>
    </row>
    <row r="3815" spans="153:170" x14ac:dyDescent="0.35">
      <c r="EW3815" s="48"/>
      <c r="FB3815" s="5"/>
      <c r="FI3815" s="5"/>
      <c r="FJ3815" s="164"/>
      <c r="FL3815" s="2"/>
      <c r="FN3815" s="2"/>
    </row>
    <row r="3816" spans="153:170" x14ac:dyDescent="0.35">
      <c r="EW3816" s="48"/>
      <c r="FB3816" s="5"/>
      <c r="FI3816" s="5"/>
      <c r="FJ3816" s="164"/>
      <c r="FL3816" s="2"/>
      <c r="FN3816" s="2"/>
    </row>
    <row r="3817" spans="153:170" x14ac:dyDescent="0.35">
      <c r="EW3817" s="48"/>
      <c r="FB3817" s="5"/>
      <c r="FI3817" s="5"/>
      <c r="FJ3817" s="164"/>
      <c r="FL3817" s="2"/>
      <c r="FN3817" s="2"/>
    </row>
    <row r="3818" spans="153:170" x14ac:dyDescent="0.35">
      <c r="EW3818" s="48"/>
      <c r="FB3818" s="5"/>
      <c r="FI3818" s="5"/>
      <c r="FJ3818" s="164"/>
      <c r="FL3818" s="2"/>
      <c r="FN3818" s="2"/>
    </row>
    <row r="3819" spans="153:170" x14ac:dyDescent="0.35">
      <c r="EW3819" s="48"/>
      <c r="FB3819" s="5"/>
      <c r="FI3819" s="5"/>
      <c r="FJ3819" s="164"/>
      <c r="FL3819" s="2"/>
      <c r="FN3819" s="2"/>
    </row>
    <row r="3820" spans="153:170" x14ac:dyDescent="0.35">
      <c r="EW3820" s="48"/>
      <c r="FB3820" s="5"/>
      <c r="FI3820" s="5"/>
      <c r="FJ3820" s="164"/>
      <c r="FL3820" s="2"/>
      <c r="FN3820" s="2"/>
    </row>
    <row r="3821" spans="153:170" x14ac:dyDescent="0.35">
      <c r="EW3821" s="48"/>
      <c r="FB3821" s="5"/>
      <c r="FI3821" s="5"/>
      <c r="FJ3821" s="164"/>
      <c r="FL3821" s="2"/>
      <c r="FN3821" s="2"/>
    </row>
    <row r="3822" spans="153:170" x14ac:dyDescent="0.35">
      <c r="EW3822" s="48"/>
      <c r="FB3822" s="5"/>
      <c r="FI3822" s="5"/>
      <c r="FJ3822" s="164"/>
      <c r="FL3822" s="2"/>
      <c r="FN3822" s="2"/>
    </row>
    <row r="3823" spans="153:170" x14ac:dyDescent="0.35">
      <c r="EW3823" s="48"/>
      <c r="FB3823" s="5"/>
      <c r="FI3823" s="5"/>
      <c r="FJ3823" s="164"/>
      <c r="FL3823" s="2"/>
      <c r="FN3823" s="2"/>
    </row>
    <row r="3824" spans="153:170" x14ac:dyDescent="0.35">
      <c r="EW3824" s="48"/>
      <c r="FB3824" s="5"/>
      <c r="FI3824" s="5"/>
      <c r="FJ3824" s="164"/>
      <c r="FL3824" s="2"/>
      <c r="FN3824" s="2"/>
    </row>
    <row r="3825" spans="153:170" x14ac:dyDescent="0.35">
      <c r="EW3825" s="48"/>
      <c r="FB3825" s="5"/>
      <c r="FI3825" s="5"/>
      <c r="FJ3825" s="164"/>
      <c r="FL3825" s="2"/>
      <c r="FN3825" s="2"/>
    </row>
    <row r="3826" spans="153:170" x14ac:dyDescent="0.35">
      <c r="EW3826" s="48"/>
      <c r="FB3826" s="5"/>
      <c r="FI3826" s="5"/>
      <c r="FJ3826" s="164"/>
      <c r="FL3826" s="2"/>
      <c r="FN3826" s="2"/>
    </row>
    <row r="3827" spans="153:170" x14ac:dyDescent="0.35">
      <c r="EW3827" s="48"/>
      <c r="FB3827" s="5"/>
      <c r="FI3827" s="5"/>
      <c r="FJ3827" s="164"/>
      <c r="FL3827" s="2"/>
      <c r="FN3827" s="2"/>
    </row>
    <row r="3828" spans="153:170" x14ac:dyDescent="0.35">
      <c r="EW3828" s="48"/>
      <c r="FB3828" s="5"/>
      <c r="FI3828" s="5"/>
      <c r="FJ3828" s="164"/>
      <c r="FL3828" s="2"/>
      <c r="FN3828" s="2"/>
    </row>
    <row r="3829" spans="153:170" x14ac:dyDescent="0.35">
      <c r="EW3829" s="48"/>
      <c r="FB3829" s="5"/>
      <c r="FI3829" s="5"/>
      <c r="FJ3829" s="164"/>
      <c r="FL3829" s="2"/>
      <c r="FN3829" s="2"/>
    </row>
    <row r="3830" spans="153:170" x14ac:dyDescent="0.35">
      <c r="EW3830" s="48"/>
      <c r="FB3830" s="5"/>
      <c r="FI3830" s="5"/>
      <c r="FJ3830" s="164"/>
      <c r="FL3830" s="2"/>
      <c r="FN3830" s="2"/>
    </row>
    <row r="3831" spans="153:170" x14ac:dyDescent="0.35">
      <c r="EW3831" s="48"/>
      <c r="FB3831" s="5"/>
      <c r="FI3831" s="5"/>
      <c r="FJ3831" s="164"/>
      <c r="FL3831" s="2"/>
      <c r="FN3831" s="2"/>
    </row>
    <row r="3832" spans="153:170" x14ac:dyDescent="0.35">
      <c r="EW3832" s="48"/>
      <c r="FB3832" s="5"/>
      <c r="FI3832" s="5"/>
      <c r="FJ3832" s="164"/>
      <c r="FL3832" s="2"/>
      <c r="FN3832" s="2"/>
    </row>
    <row r="3833" spans="153:170" x14ac:dyDescent="0.35">
      <c r="EW3833" s="48"/>
      <c r="FB3833" s="5"/>
      <c r="FI3833" s="5"/>
      <c r="FJ3833" s="164"/>
      <c r="FL3833" s="2"/>
      <c r="FN3833" s="2"/>
    </row>
    <row r="3834" spans="153:170" x14ac:dyDescent="0.35">
      <c r="EW3834" s="48"/>
      <c r="FB3834" s="5"/>
      <c r="FI3834" s="5"/>
      <c r="FJ3834" s="164"/>
      <c r="FL3834" s="2"/>
      <c r="FN3834" s="2"/>
    </row>
    <row r="3835" spans="153:170" x14ac:dyDescent="0.35">
      <c r="EW3835" s="48"/>
      <c r="FB3835" s="5"/>
      <c r="FI3835" s="5"/>
      <c r="FJ3835" s="164"/>
      <c r="FL3835" s="2"/>
      <c r="FN3835" s="2"/>
    </row>
    <row r="3836" spans="153:170" x14ac:dyDescent="0.35">
      <c r="EW3836" s="48"/>
      <c r="FB3836" s="5"/>
      <c r="FI3836" s="5"/>
      <c r="FJ3836" s="164"/>
      <c r="FL3836" s="2"/>
      <c r="FN3836" s="2"/>
    </row>
    <row r="3837" spans="153:170" x14ac:dyDescent="0.35">
      <c r="EW3837" s="48"/>
      <c r="FB3837" s="5"/>
      <c r="FI3837" s="5"/>
      <c r="FJ3837" s="164"/>
      <c r="FL3837" s="2"/>
      <c r="FN3837" s="2"/>
    </row>
    <row r="3838" spans="153:170" x14ac:dyDescent="0.35">
      <c r="EW3838" s="48"/>
      <c r="FB3838" s="5"/>
      <c r="FI3838" s="5"/>
      <c r="FJ3838" s="164"/>
      <c r="FL3838" s="2"/>
      <c r="FN3838" s="2"/>
    </row>
    <row r="3839" spans="153:170" x14ac:dyDescent="0.35">
      <c r="EW3839" s="48"/>
      <c r="FB3839" s="5"/>
      <c r="FI3839" s="5"/>
      <c r="FJ3839" s="164"/>
      <c r="FL3839" s="2"/>
      <c r="FN3839" s="2"/>
    </row>
    <row r="3840" spans="153:170" x14ac:dyDescent="0.35">
      <c r="EW3840" s="48"/>
      <c r="FB3840" s="5"/>
      <c r="FI3840" s="5"/>
      <c r="FJ3840" s="164"/>
      <c r="FL3840" s="2"/>
      <c r="FN3840" s="2"/>
    </row>
    <row r="3841" spans="153:170" x14ac:dyDescent="0.35">
      <c r="EW3841" s="48"/>
      <c r="FB3841" s="5"/>
      <c r="FI3841" s="5"/>
      <c r="FJ3841" s="164"/>
      <c r="FL3841" s="2"/>
      <c r="FN3841" s="2"/>
    </row>
    <row r="3842" spans="153:170" x14ac:dyDescent="0.35">
      <c r="EW3842" s="48"/>
      <c r="FB3842" s="5"/>
      <c r="FI3842" s="5"/>
      <c r="FJ3842" s="164"/>
      <c r="FL3842" s="2"/>
      <c r="FN3842" s="2"/>
    </row>
    <row r="3843" spans="153:170" x14ac:dyDescent="0.35">
      <c r="EW3843" s="48"/>
      <c r="FB3843" s="5"/>
      <c r="FI3843" s="5"/>
      <c r="FJ3843" s="164"/>
      <c r="FL3843" s="2"/>
      <c r="FN3843" s="2"/>
    </row>
    <row r="3844" spans="153:170" x14ac:dyDescent="0.35">
      <c r="EW3844" s="48"/>
      <c r="FB3844" s="5"/>
      <c r="FI3844" s="5"/>
      <c r="FJ3844" s="164"/>
      <c r="FL3844" s="2"/>
      <c r="FN3844" s="2"/>
    </row>
    <row r="3845" spans="153:170" x14ac:dyDescent="0.35">
      <c r="EW3845" s="48"/>
      <c r="FB3845" s="5"/>
      <c r="FI3845" s="5"/>
      <c r="FJ3845" s="164"/>
      <c r="FL3845" s="2"/>
      <c r="FN3845" s="2"/>
    </row>
    <row r="3846" spans="153:170" x14ac:dyDescent="0.35">
      <c r="EW3846" s="48"/>
      <c r="FB3846" s="5"/>
      <c r="FI3846" s="5"/>
      <c r="FJ3846" s="164"/>
      <c r="FL3846" s="2"/>
      <c r="FN3846" s="2"/>
    </row>
    <row r="3847" spans="153:170" x14ac:dyDescent="0.35">
      <c r="EW3847" s="48"/>
      <c r="FB3847" s="5"/>
      <c r="FI3847" s="5"/>
      <c r="FJ3847" s="164"/>
      <c r="FL3847" s="2"/>
      <c r="FN3847" s="2"/>
    </row>
    <row r="3848" spans="153:170" x14ac:dyDescent="0.35">
      <c r="EW3848" s="48"/>
      <c r="FB3848" s="5"/>
      <c r="FI3848" s="5"/>
      <c r="FJ3848" s="164"/>
      <c r="FL3848" s="2"/>
      <c r="FN3848" s="2"/>
    </row>
    <row r="3849" spans="153:170" x14ac:dyDescent="0.35">
      <c r="EW3849" s="48"/>
      <c r="FB3849" s="5"/>
      <c r="FI3849" s="5"/>
      <c r="FJ3849" s="164"/>
      <c r="FL3849" s="2"/>
      <c r="FN3849" s="2"/>
    </row>
    <row r="3850" spans="153:170" x14ac:dyDescent="0.35">
      <c r="EW3850" s="48"/>
      <c r="FB3850" s="5"/>
      <c r="FI3850" s="5"/>
      <c r="FJ3850" s="164"/>
      <c r="FL3850" s="2"/>
      <c r="FN3850" s="2"/>
    </row>
    <row r="3851" spans="153:170" x14ac:dyDescent="0.35">
      <c r="EW3851" s="48"/>
      <c r="FB3851" s="5"/>
      <c r="FI3851" s="5"/>
      <c r="FJ3851" s="164"/>
      <c r="FL3851" s="2"/>
      <c r="FN3851" s="2"/>
    </row>
    <row r="3852" spans="153:170" x14ac:dyDescent="0.35">
      <c r="EW3852" s="48"/>
      <c r="FB3852" s="5"/>
      <c r="FI3852" s="5"/>
      <c r="FJ3852" s="164"/>
      <c r="FL3852" s="2"/>
      <c r="FN3852" s="2"/>
    </row>
    <row r="3853" spans="153:170" x14ac:dyDescent="0.35">
      <c r="EW3853" s="48"/>
      <c r="FB3853" s="5"/>
      <c r="FI3853" s="5"/>
      <c r="FJ3853" s="164"/>
      <c r="FL3853" s="2"/>
      <c r="FN3853" s="2"/>
    </row>
    <row r="3854" spans="153:170" x14ac:dyDescent="0.35">
      <c r="EW3854" s="48"/>
      <c r="FB3854" s="5"/>
      <c r="FI3854" s="5"/>
      <c r="FJ3854" s="164"/>
      <c r="FL3854" s="2"/>
      <c r="FN3854" s="2"/>
    </row>
    <row r="3855" spans="153:170" x14ac:dyDescent="0.35">
      <c r="EW3855" s="48"/>
      <c r="FB3855" s="5"/>
      <c r="FI3855" s="5"/>
      <c r="FJ3855" s="164"/>
      <c r="FL3855" s="2"/>
      <c r="FN3855" s="2"/>
    </row>
    <row r="3856" spans="153:170" x14ac:dyDescent="0.35">
      <c r="EW3856" s="48"/>
      <c r="FB3856" s="5"/>
      <c r="FI3856" s="5"/>
      <c r="FJ3856" s="164"/>
      <c r="FL3856" s="2"/>
      <c r="FN3856" s="2"/>
    </row>
    <row r="3857" spans="153:170" x14ac:dyDescent="0.35">
      <c r="EW3857" s="48"/>
      <c r="FB3857" s="5"/>
      <c r="FI3857" s="5"/>
      <c r="FJ3857" s="164"/>
      <c r="FL3857" s="2"/>
      <c r="FN3857" s="2"/>
    </row>
    <row r="3858" spans="153:170" x14ac:dyDescent="0.35">
      <c r="EW3858" s="48"/>
      <c r="FB3858" s="5"/>
      <c r="FI3858" s="5"/>
      <c r="FJ3858" s="164"/>
      <c r="FL3858" s="2"/>
      <c r="FN3858" s="2"/>
    </row>
    <row r="3859" spans="153:170" x14ac:dyDescent="0.35">
      <c r="EW3859" s="48"/>
      <c r="FB3859" s="5"/>
      <c r="FI3859" s="5"/>
      <c r="FJ3859" s="164"/>
      <c r="FL3859" s="2"/>
      <c r="FN3859" s="2"/>
    </row>
    <row r="3860" spans="153:170" x14ac:dyDescent="0.35">
      <c r="EW3860" s="48"/>
      <c r="FB3860" s="5"/>
      <c r="FI3860" s="5"/>
      <c r="FJ3860" s="164"/>
      <c r="FL3860" s="2"/>
      <c r="FN3860" s="2"/>
    </row>
    <row r="3861" spans="153:170" x14ac:dyDescent="0.35">
      <c r="EW3861" s="48"/>
      <c r="FB3861" s="5"/>
      <c r="FI3861" s="5"/>
      <c r="FJ3861" s="164"/>
      <c r="FL3861" s="2"/>
      <c r="FN3861" s="2"/>
    </row>
    <row r="3862" spans="153:170" x14ac:dyDescent="0.35">
      <c r="EW3862" s="48"/>
      <c r="FB3862" s="5"/>
      <c r="FI3862" s="5"/>
      <c r="FJ3862" s="164"/>
      <c r="FL3862" s="2"/>
      <c r="FN3862" s="2"/>
    </row>
    <row r="3863" spans="153:170" x14ac:dyDescent="0.35">
      <c r="EW3863" s="48"/>
      <c r="FB3863" s="5"/>
      <c r="FI3863" s="5"/>
      <c r="FJ3863" s="164"/>
      <c r="FL3863" s="2"/>
      <c r="FN3863" s="2"/>
    </row>
    <row r="3864" spans="153:170" x14ac:dyDescent="0.35">
      <c r="EW3864" s="48"/>
      <c r="FB3864" s="5"/>
      <c r="FI3864" s="5"/>
      <c r="FJ3864" s="164"/>
      <c r="FL3864" s="2"/>
      <c r="FN3864" s="2"/>
    </row>
    <row r="3865" spans="153:170" x14ac:dyDescent="0.35">
      <c r="EW3865" s="48"/>
      <c r="FB3865" s="5"/>
      <c r="FI3865" s="5"/>
      <c r="FJ3865" s="164"/>
      <c r="FL3865" s="2"/>
      <c r="FN3865" s="2"/>
    </row>
    <row r="3866" spans="153:170" x14ac:dyDescent="0.35">
      <c r="EW3866" s="48"/>
      <c r="FB3866" s="5"/>
      <c r="FI3866" s="5"/>
      <c r="FJ3866" s="164"/>
      <c r="FL3866" s="2"/>
      <c r="FN3866" s="2"/>
    </row>
    <row r="3867" spans="153:170" x14ac:dyDescent="0.35">
      <c r="EW3867" s="48"/>
      <c r="FB3867" s="5"/>
      <c r="FI3867" s="5"/>
      <c r="FJ3867" s="164"/>
      <c r="FL3867" s="2"/>
      <c r="FN3867" s="2"/>
    </row>
    <row r="3868" spans="153:170" x14ac:dyDescent="0.35">
      <c r="EW3868" s="48"/>
      <c r="FB3868" s="5"/>
      <c r="FI3868" s="5"/>
      <c r="FJ3868" s="164"/>
      <c r="FL3868" s="2"/>
      <c r="FN3868" s="2"/>
    </row>
    <row r="3869" spans="153:170" x14ac:dyDescent="0.35">
      <c r="EW3869" s="48"/>
      <c r="FB3869" s="5"/>
      <c r="FI3869" s="5"/>
      <c r="FJ3869" s="164"/>
      <c r="FL3869" s="2"/>
      <c r="FN3869" s="2"/>
    </row>
    <row r="3870" spans="153:170" x14ac:dyDescent="0.35">
      <c r="EW3870" s="48"/>
      <c r="FB3870" s="5"/>
      <c r="FI3870" s="5"/>
      <c r="FJ3870" s="164"/>
      <c r="FL3870" s="2"/>
      <c r="FN3870" s="2"/>
    </row>
    <row r="3871" spans="153:170" x14ac:dyDescent="0.35">
      <c r="EW3871" s="48"/>
      <c r="FB3871" s="5"/>
      <c r="FI3871" s="5"/>
      <c r="FJ3871" s="164"/>
      <c r="FL3871" s="2"/>
      <c r="FN3871" s="2"/>
    </row>
    <row r="3872" spans="153:170" x14ac:dyDescent="0.35">
      <c r="EW3872" s="48"/>
      <c r="FB3872" s="5"/>
      <c r="FI3872" s="5"/>
      <c r="FJ3872" s="164"/>
      <c r="FL3872" s="2"/>
      <c r="FN3872" s="2"/>
    </row>
    <row r="3873" spans="153:170" x14ac:dyDescent="0.35">
      <c r="EW3873" s="48"/>
      <c r="FB3873" s="5"/>
      <c r="FI3873" s="5"/>
      <c r="FJ3873" s="164"/>
      <c r="FL3873" s="2"/>
      <c r="FN3873" s="2"/>
    </row>
    <row r="3874" spans="153:170" x14ac:dyDescent="0.35">
      <c r="EW3874" s="48"/>
      <c r="FB3874" s="5"/>
      <c r="FI3874" s="5"/>
      <c r="FJ3874" s="164"/>
      <c r="FL3874" s="2"/>
      <c r="FN3874" s="2"/>
    </row>
    <row r="3875" spans="153:170" x14ac:dyDescent="0.35">
      <c r="EW3875" s="48"/>
      <c r="FB3875" s="5"/>
      <c r="FI3875" s="5"/>
      <c r="FJ3875" s="164"/>
      <c r="FL3875" s="2"/>
      <c r="FN3875" s="2"/>
    </row>
    <row r="3876" spans="153:170" x14ac:dyDescent="0.35">
      <c r="EW3876" s="48"/>
      <c r="FB3876" s="5"/>
      <c r="FI3876" s="5"/>
      <c r="FJ3876" s="164"/>
      <c r="FL3876" s="2"/>
      <c r="FN3876" s="2"/>
    </row>
    <row r="3877" spans="153:170" x14ac:dyDescent="0.35">
      <c r="EW3877" s="48"/>
      <c r="FB3877" s="5"/>
      <c r="FI3877" s="5"/>
      <c r="FJ3877" s="164"/>
      <c r="FL3877" s="2"/>
      <c r="FN3877" s="2"/>
    </row>
    <row r="3878" spans="153:170" x14ac:dyDescent="0.35">
      <c r="EW3878" s="48"/>
      <c r="FB3878" s="5"/>
      <c r="FI3878" s="5"/>
      <c r="FJ3878" s="164"/>
      <c r="FL3878" s="2"/>
      <c r="FN3878" s="2"/>
    </row>
    <row r="3879" spans="153:170" x14ac:dyDescent="0.35">
      <c r="EW3879" s="48"/>
      <c r="FB3879" s="5"/>
      <c r="FI3879" s="5"/>
      <c r="FJ3879" s="164"/>
      <c r="FL3879" s="2"/>
      <c r="FN3879" s="2"/>
    </row>
    <row r="3880" spans="153:170" x14ac:dyDescent="0.35">
      <c r="EW3880" s="48"/>
      <c r="FB3880" s="5"/>
      <c r="FI3880" s="5"/>
      <c r="FJ3880" s="164"/>
      <c r="FL3880" s="2"/>
      <c r="FN3880" s="2"/>
    </row>
    <row r="3881" spans="153:170" x14ac:dyDescent="0.35">
      <c r="EW3881" s="48"/>
      <c r="FB3881" s="5"/>
      <c r="FI3881" s="5"/>
      <c r="FJ3881" s="164"/>
      <c r="FL3881" s="2"/>
      <c r="FN3881" s="2"/>
    </row>
    <row r="3882" spans="153:170" x14ac:dyDescent="0.35">
      <c r="EW3882" s="48"/>
      <c r="FB3882" s="5"/>
      <c r="FI3882" s="5"/>
      <c r="FJ3882" s="164"/>
      <c r="FL3882" s="2"/>
      <c r="FN3882" s="2"/>
    </row>
    <row r="3883" spans="153:170" x14ac:dyDescent="0.35">
      <c r="EW3883" s="48"/>
      <c r="FB3883" s="5"/>
      <c r="FI3883" s="5"/>
      <c r="FJ3883" s="164"/>
      <c r="FL3883" s="2"/>
      <c r="FN3883" s="2"/>
    </row>
    <row r="3884" spans="153:170" x14ac:dyDescent="0.35">
      <c r="EW3884" s="48"/>
      <c r="FB3884" s="5"/>
      <c r="FI3884" s="5"/>
      <c r="FJ3884" s="164"/>
      <c r="FL3884" s="2"/>
      <c r="FN3884" s="2"/>
    </row>
    <row r="3885" spans="153:170" x14ac:dyDescent="0.35">
      <c r="EW3885" s="48"/>
      <c r="FB3885" s="5"/>
      <c r="FI3885" s="5"/>
      <c r="FJ3885" s="164"/>
      <c r="FL3885" s="2"/>
      <c r="FN3885" s="2"/>
    </row>
    <row r="3886" spans="153:170" x14ac:dyDescent="0.35">
      <c r="EW3886" s="48"/>
      <c r="FB3886" s="5"/>
      <c r="FI3886" s="5"/>
      <c r="FJ3886" s="164"/>
      <c r="FL3886" s="2"/>
      <c r="FN3886" s="2"/>
    </row>
    <row r="3887" spans="153:170" x14ac:dyDescent="0.35">
      <c r="EW3887" s="48"/>
      <c r="FB3887" s="5"/>
      <c r="FI3887" s="5"/>
      <c r="FJ3887" s="164"/>
      <c r="FL3887" s="2"/>
      <c r="FN3887" s="2"/>
    </row>
    <row r="3888" spans="153:170" x14ac:dyDescent="0.35">
      <c r="EW3888" s="48"/>
      <c r="FB3888" s="5"/>
      <c r="FI3888" s="5"/>
      <c r="FJ3888" s="164"/>
      <c r="FL3888" s="2"/>
      <c r="FN3888" s="2"/>
    </row>
    <row r="3889" spans="153:170" x14ac:dyDescent="0.35">
      <c r="EW3889" s="48"/>
      <c r="FB3889" s="5"/>
      <c r="FI3889" s="5"/>
      <c r="FJ3889" s="164"/>
      <c r="FL3889" s="2"/>
      <c r="FN3889" s="2"/>
    </row>
    <row r="3890" spans="153:170" x14ac:dyDescent="0.35">
      <c r="EW3890" s="48"/>
      <c r="FB3890" s="5"/>
      <c r="FI3890" s="5"/>
      <c r="FJ3890" s="164"/>
      <c r="FL3890" s="2"/>
      <c r="FN3890" s="2"/>
    </row>
    <row r="3891" spans="153:170" x14ac:dyDescent="0.35">
      <c r="EW3891" s="48"/>
      <c r="FB3891" s="5"/>
      <c r="FI3891" s="5"/>
      <c r="FJ3891" s="164"/>
      <c r="FL3891" s="2"/>
      <c r="FN3891" s="2"/>
    </row>
    <row r="3892" spans="153:170" x14ac:dyDescent="0.35">
      <c r="EW3892" s="48"/>
      <c r="FB3892" s="5"/>
      <c r="FI3892" s="5"/>
      <c r="FJ3892" s="164"/>
      <c r="FL3892" s="2"/>
      <c r="FN3892" s="2"/>
    </row>
    <row r="3893" spans="153:170" x14ac:dyDescent="0.35">
      <c r="EW3893" s="48"/>
      <c r="FB3893" s="5"/>
      <c r="FI3893" s="5"/>
      <c r="FJ3893" s="164"/>
      <c r="FL3893" s="2"/>
      <c r="FN3893" s="2"/>
    </row>
    <row r="3894" spans="153:170" x14ac:dyDescent="0.35">
      <c r="EW3894" s="48"/>
      <c r="FB3894" s="5"/>
      <c r="FI3894" s="5"/>
      <c r="FJ3894" s="164"/>
      <c r="FL3894" s="2"/>
      <c r="FN3894" s="2"/>
    </row>
    <row r="3895" spans="153:170" x14ac:dyDescent="0.35">
      <c r="EW3895" s="48"/>
      <c r="FB3895" s="5"/>
      <c r="FI3895" s="5"/>
      <c r="FJ3895" s="164"/>
      <c r="FL3895" s="2"/>
      <c r="FN3895" s="2"/>
    </row>
    <row r="3896" spans="153:170" x14ac:dyDescent="0.35">
      <c r="EW3896" s="48"/>
      <c r="FB3896" s="5"/>
      <c r="FI3896" s="5"/>
      <c r="FJ3896" s="164"/>
      <c r="FL3896" s="2"/>
      <c r="FN3896" s="2"/>
    </row>
    <row r="3897" spans="153:170" x14ac:dyDescent="0.35">
      <c r="EW3897" s="48"/>
      <c r="FB3897" s="5"/>
      <c r="FI3897" s="5"/>
      <c r="FJ3897" s="164"/>
      <c r="FL3897" s="2"/>
      <c r="FN3897" s="2"/>
    </row>
    <row r="3898" spans="153:170" x14ac:dyDescent="0.35">
      <c r="EW3898" s="48"/>
      <c r="FB3898" s="5"/>
      <c r="FI3898" s="5"/>
      <c r="FJ3898" s="164"/>
      <c r="FL3898" s="2"/>
      <c r="FN3898" s="2"/>
    </row>
    <row r="3899" spans="153:170" x14ac:dyDescent="0.35">
      <c r="EW3899" s="48"/>
      <c r="FB3899" s="5"/>
      <c r="FI3899" s="5"/>
      <c r="FJ3899" s="164"/>
      <c r="FL3899" s="2"/>
      <c r="FN3899" s="2"/>
    </row>
    <row r="3900" spans="153:170" x14ac:dyDescent="0.35">
      <c r="EW3900" s="48"/>
      <c r="FB3900" s="5"/>
      <c r="FI3900" s="5"/>
      <c r="FJ3900" s="164"/>
      <c r="FL3900" s="2"/>
      <c r="FN3900" s="2"/>
    </row>
    <row r="3901" spans="153:170" x14ac:dyDescent="0.35">
      <c r="EW3901" s="48"/>
      <c r="FB3901" s="5"/>
      <c r="FI3901" s="5"/>
      <c r="FJ3901" s="164"/>
      <c r="FL3901" s="2"/>
      <c r="FN3901" s="2"/>
    </row>
    <row r="3902" spans="153:170" x14ac:dyDescent="0.35">
      <c r="EW3902" s="48"/>
      <c r="FB3902" s="5"/>
      <c r="FI3902" s="5"/>
      <c r="FJ3902" s="164"/>
      <c r="FL3902" s="2"/>
      <c r="FN3902" s="2"/>
    </row>
    <row r="3903" spans="153:170" x14ac:dyDescent="0.35">
      <c r="EW3903" s="48"/>
      <c r="FB3903" s="5"/>
      <c r="FI3903" s="5"/>
      <c r="FJ3903" s="164"/>
      <c r="FL3903" s="2"/>
      <c r="FN3903" s="2"/>
    </row>
    <row r="3904" spans="153:170" x14ac:dyDescent="0.35">
      <c r="EW3904" s="48"/>
      <c r="FB3904" s="5"/>
      <c r="FI3904" s="5"/>
      <c r="FJ3904" s="164"/>
      <c r="FL3904" s="2"/>
      <c r="FN3904" s="2"/>
    </row>
    <row r="3905" spans="153:170" x14ac:dyDescent="0.35">
      <c r="EW3905" s="48"/>
      <c r="FB3905" s="5"/>
      <c r="FI3905" s="5"/>
      <c r="FJ3905" s="164"/>
      <c r="FL3905" s="2"/>
      <c r="FN3905" s="2"/>
    </row>
    <row r="3906" spans="153:170" x14ac:dyDescent="0.35">
      <c r="EW3906" s="48"/>
      <c r="FB3906" s="5"/>
      <c r="FI3906" s="5"/>
      <c r="FJ3906" s="164"/>
      <c r="FL3906" s="2"/>
      <c r="FN3906" s="2"/>
    </row>
    <row r="3907" spans="153:170" x14ac:dyDescent="0.35">
      <c r="EW3907" s="48"/>
      <c r="FB3907" s="5"/>
      <c r="FI3907" s="5"/>
      <c r="FJ3907" s="164"/>
      <c r="FL3907" s="2"/>
      <c r="FN3907" s="2"/>
    </row>
    <row r="3908" spans="153:170" x14ac:dyDescent="0.35">
      <c r="EW3908" s="48"/>
      <c r="FB3908" s="5"/>
      <c r="FI3908" s="5"/>
      <c r="FJ3908" s="164"/>
      <c r="FL3908" s="2"/>
      <c r="FN3908" s="2"/>
    </row>
    <row r="3909" spans="153:170" x14ac:dyDescent="0.35">
      <c r="EW3909" s="48"/>
      <c r="FB3909" s="5"/>
      <c r="FI3909" s="5"/>
      <c r="FJ3909" s="164"/>
      <c r="FL3909" s="2"/>
      <c r="FN3909" s="2"/>
    </row>
    <row r="3910" spans="153:170" x14ac:dyDescent="0.35">
      <c r="EW3910" s="48"/>
      <c r="FB3910" s="5"/>
      <c r="FI3910" s="5"/>
      <c r="FJ3910" s="164"/>
      <c r="FL3910" s="2"/>
      <c r="FN3910" s="2"/>
    </row>
    <row r="3911" spans="153:170" x14ac:dyDescent="0.35">
      <c r="EW3911" s="48"/>
      <c r="FB3911" s="5"/>
      <c r="FI3911" s="5"/>
      <c r="FJ3911" s="164"/>
      <c r="FL3911" s="2"/>
      <c r="FN3911" s="2"/>
    </row>
    <row r="3912" spans="153:170" x14ac:dyDescent="0.35">
      <c r="EW3912" s="48"/>
      <c r="FB3912" s="5"/>
      <c r="FI3912" s="5"/>
      <c r="FJ3912" s="164"/>
      <c r="FL3912" s="2"/>
      <c r="FN3912" s="2"/>
    </row>
    <row r="3913" spans="153:170" x14ac:dyDescent="0.35">
      <c r="EW3913" s="48"/>
      <c r="FB3913" s="5"/>
      <c r="FI3913" s="5"/>
      <c r="FJ3913" s="164"/>
      <c r="FL3913" s="2"/>
      <c r="FN3913" s="2"/>
    </row>
    <row r="3914" spans="153:170" x14ac:dyDescent="0.35">
      <c r="EW3914" s="48"/>
      <c r="FB3914" s="5"/>
      <c r="FI3914" s="5"/>
      <c r="FJ3914" s="164"/>
      <c r="FL3914" s="2"/>
      <c r="FN3914" s="2"/>
    </row>
    <row r="3915" spans="153:170" x14ac:dyDescent="0.35">
      <c r="EW3915" s="48"/>
      <c r="FB3915" s="5"/>
      <c r="FI3915" s="5"/>
      <c r="FJ3915" s="164"/>
      <c r="FL3915" s="2"/>
      <c r="FN3915" s="2"/>
    </row>
    <row r="3916" spans="153:170" x14ac:dyDescent="0.35">
      <c r="EW3916" s="48"/>
      <c r="FB3916" s="5"/>
      <c r="FI3916" s="5"/>
      <c r="FJ3916" s="164"/>
      <c r="FL3916" s="2"/>
      <c r="FN3916" s="2"/>
    </row>
    <row r="3917" spans="153:170" x14ac:dyDescent="0.35">
      <c r="EW3917" s="48"/>
      <c r="FB3917" s="5"/>
      <c r="FI3917" s="5"/>
      <c r="FJ3917" s="164"/>
      <c r="FL3917" s="2"/>
      <c r="FN3917" s="2"/>
    </row>
    <row r="3918" spans="153:170" x14ac:dyDescent="0.35">
      <c r="EW3918" s="48"/>
      <c r="FB3918" s="5"/>
      <c r="FI3918" s="5"/>
      <c r="FJ3918" s="164"/>
      <c r="FL3918" s="2"/>
      <c r="FN3918" s="2"/>
    </row>
    <row r="3919" spans="153:170" x14ac:dyDescent="0.35">
      <c r="EW3919" s="48"/>
      <c r="FB3919" s="5"/>
      <c r="FI3919" s="5"/>
      <c r="FJ3919" s="164"/>
      <c r="FL3919" s="2"/>
      <c r="FN3919" s="2"/>
    </row>
    <row r="3920" spans="153:170" x14ac:dyDescent="0.35">
      <c r="EW3920" s="48"/>
      <c r="FB3920" s="5"/>
      <c r="FI3920" s="5"/>
      <c r="FJ3920" s="164"/>
      <c r="FL3920" s="2"/>
      <c r="FN3920" s="2"/>
    </row>
    <row r="3921" spans="153:170" x14ac:dyDescent="0.35">
      <c r="EW3921" s="48"/>
      <c r="FB3921" s="5"/>
      <c r="FI3921" s="5"/>
      <c r="FJ3921" s="164"/>
      <c r="FL3921" s="2"/>
      <c r="FN3921" s="2"/>
    </row>
    <row r="3922" spans="153:170" x14ac:dyDescent="0.35">
      <c r="EW3922" s="48"/>
      <c r="FB3922" s="5"/>
      <c r="FI3922" s="5"/>
      <c r="FJ3922" s="164"/>
      <c r="FL3922" s="2"/>
      <c r="FN3922" s="2"/>
    </row>
    <row r="3923" spans="153:170" x14ac:dyDescent="0.35">
      <c r="EW3923" s="48"/>
      <c r="FB3923" s="5"/>
      <c r="FI3923" s="5"/>
      <c r="FJ3923" s="164"/>
      <c r="FL3923" s="2"/>
      <c r="FN3923" s="2"/>
    </row>
    <row r="3924" spans="153:170" x14ac:dyDescent="0.35">
      <c r="EW3924" s="48"/>
      <c r="FB3924" s="5"/>
      <c r="FI3924" s="5"/>
      <c r="FJ3924" s="164"/>
      <c r="FL3924" s="2"/>
      <c r="FN3924" s="2"/>
    </row>
    <row r="3925" spans="153:170" x14ac:dyDescent="0.35">
      <c r="EW3925" s="48"/>
      <c r="FB3925" s="5"/>
      <c r="FI3925" s="5"/>
      <c r="FJ3925" s="164"/>
      <c r="FL3925" s="2"/>
      <c r="FN3925" s="2"/>
    </row>
    <row r="3926" spans="153:170" x14ac:dyDescent="0.35">
      <c r="EW3926" s="48"/>
      <c r="FB3926" s="5"/>
      <c r="FI3926" s="5"/>
      <c r="FJ3926" s="164"/>
      <c r="FL3926" s="2"/>
      <c r="FN3926" s="2"/>
    </row>
    <row r="3927" spans="153:170" x14ac:dyDescent="0.35">
      <c r="EW3927" s="48"/>
      <c r="FB3927" s="5"/>
      <c r="FI3927" s="5"/>
      <c r="FJ3927" s="164"/>
      <c r="FL3927" s="2"/>
      <c r="FN3927" s="2"/>
    </row>
    <row r="3928" spans="153:170" x14ac:dyDescent="0.35">
      <c r="EW3928" s="48"/>
      <c r="FB3928" s="5"/>
      <c r="FI3928" s="5"/>
      <c r="FJ3928" s="164"/>
      <c r="FL3928" s="2"/>
      <c r="FN3928" s="2"/>
    </row>
    <row r="3929" spans="153:170" x14ac:dyDescent="0.35">
      <c r="EW3929" s="48"/>
      <c r="FB3929" s="5"/>
      <c r="FI3929" s="5"/>
      <c r="FJ3929" s="164"/>
      <c r="FL3929" s="2"/>
      <c r="FN3929" s="2"/>
    </row>
    <row r="3930" spans="153:170" x14ac:dyDescent="0.35">
      <c r="EW3930" s="48"/>
      <c r="FB3930" s="5"/>
      <c r="FI3930" s="5"/>
      <c r="FJ3930" s="164"/>
      <c r="FL3930" s="2"/>
      <c r="FN3930" s="2"/>
    </row>
    <row r="3931" spans="153:170" x14ac:dyDescent="0.35">
      <c r="EW3931" s="48"/>
      <c r="FB3931" s="5"/>
      <c r="FI3931" s="5"/>
      <c r="FJ3931" s="164"/>
      <c r="FL3931" s="2"/>
      <c r="FN3931" s="2"/>
    </row>
    <row r="3932" spans="153:170" x14ac:dyDescent="0.35">
      <c r="EW3932" s="48"/>
      <c r="FB3932" s="5"/>
      <c r="FI3932" s="5"/>
      <c r="FJ3932" s="164"/>
      <c r="FL3932" s="2"/>
      <c r="FN3932" s="2"/>
    </row>
    <row r="3933" spans="153:170" x14ac:dyDescent="0.35">
      <c r="EW3933" s="48"/>
      <c r="FB3933" s="5"/>
      <c r="FI3933" s="5"/>
      <c r="FJ3933" s="164"/>
      <c r="FL3933" s="2"/>
      <c r="FN3933" s="2"/>
    </row>
    <row r="3934" spans="153:170" x14ac:dyDescent="0.35">
      <c r="EW3934" s="48"/>
      <c r="FB3934" s="5"/>
      <c r="FI3934" s="5"/>
      <c r="FJ3934" s="164"/>
      <c r="FL3934" s="2"/>
      <c r="FN3934" s="2"/>
    </row>
    <row r="3935" spans="153:170" x14ac:dyDescent="0.35">
      <c r="EW3935" s="48"/>
      <c r="FB3935" s="5"/>
      <c r="FI3935" s="5"/>
      <c r="FJ3935" s="164"/>
      <c r="FL3935" s="2"/>
      <c r="FN3935" s="2"/>
    </row>
    <row r="3936" spans="153:170" x14ac:dyDescent="0.35">
      <c r="EW3936" s="48"/>
      <c r="FB3936" s="5"/>
      <c r="FI3936" s="5"/>
      <c r="FJ3936" s="164"/>
      <c r="FL3936" s="2"/>
      <c r="FN3936" s="2"/>
    </row>
    <row r="3937" spans="153:170" x14ac:dyDescent="0.35">
      <c r="EW3937" s="48"/>
      <c r="FB3937" s="5"/>
      <c r="FI3937" s="5"/>
      <c r="FJ3937" s="164"/>
      <c r="FL3937" s="2"/>
      <c r="FN3937" s="2"/>
    </row>
    <row r="3938" spans="153:170" x14ac:dyDescent="0.35">
      <c r="EW3938" s="48"/>
      <c r="FB3938" s="5"/>
      <c r="FI3938" s="5"/>
      <c r="FJ3938" s="164"/>
      <c r="FL3938" s="2"/>
      <c r="FN3938" s="2"/>
    </row>
    <row r="3939" spans="153:170" x14ac:dyDescent="0.35">
      <c r="EW3939" s="48"/>
      <c r="FB3939" s="5"/>
      <c r="FI3939" s="5"/>
      <c r="FJ3939" s="164"/>
      <c r="FL3939" s="2"/>
      <c r="FN3939" s="2"/>
    </row>
    <row r="3940" spans="153:170" x14ac:dyDescent="0.35">
      <c r="EW3940" s="48"/>
      <c r="FB3940" s="5"/>
      <c r="FI3940" s="5"/>
      <c r="FJ3940" s="164"/>
      <c r="FL3940" s="2"/>
      <c r="FN3940" s="2"/>
    </row>
    <row r="3941" spans="153:170" x14ac:dyDescent="0.35">
      <c r="EW3941" s="48"/>
      <c r="FB3941" s="5"/>
      <c r="FI3941" s="5"/>
      <c r="FJ3941" s="164"/>
      <c r="FL3941" s="2"/>
      <c r="FN3941" s="2"/>
    </row>
    <row r="3942" spans="153:170" x14ac:dyDescent="0.35">
      <c r="EW3942" s="48"/>
      <c r="FB3942" s="5"/>
      <c r="FI3942" s="5"/>
      <c r="FJ3942" s="164"/>
      <c r="FL3942" s="2"/>
      <c r="FN3942" s="2"/>
    </row>
    <row r="3943" spans="153:170" x14ac:dyDescent="0.35">
      <c r="EW3943" s="48"/>
      <c r="FB3943" s="5"/>
      <c r="FI3943" s="5"/>
      <c r="FJ3943" s="164"/>
      <c r="FL3943" s="2"/>
      <c r="FN3943" s="2"/>
    </row>
    <row r="3944" spans="153:170" x14ac:dyDescent="0.35">
      <c r="EW3944" s="48"/>
      <c r="FB3944" s="5"/>
      <c r="FI3944" s="5"/>
      <c r="FJ3944" s="164"/>
      <c r="FL3944" s="2"/>
      <c r="FN3944" s="2"/>
    </row>
    <row r="3945" spans="153:170" x14ac:dyDescent="0.35">
      <c r="EW3945" s="48"/>
      <c r="FB3945" s="5"/>
      <c r="FI3945" s="5"/>
      <c r="FJ3945" s="164"/>
      <c r="FL3945" s="2"/>
      <c r="FN3945" s="2"/>
    </row>
    <row r="3946" spans="153:170" x14ac:dyDescent="0.35">
      <c r="EW3946" s="48"/>
      <c r="FB3946" s="5"/>
      <c r="FI3946" s="5"/>
      <c r="FJ3946" s="164"/>
      <c r="FL3946" s="2"/>
      <c r="FN3946" s="2"/>
    </row>
    <row r="3947" spans="153:170" x14ac:dyDescent="0.35">
      <c r="EW3947" s="48"/>
      <c r="FB3947" s="5"/>
      <c r="FI3947" s="5"/>
      <c r="FJ3947" s="164"/>
      <c r="FL3947" s="2"/>
      <c r="FN3947" s="2"/>
    </row>
    <row r="3948" spans="153:170" x14ac:dyDescent="0.35">
      <c r="EW3948" s="48"/>
      <c r="FB3948" s="5"/>
      <c r="FI3948" s="5"/>
      <c r="FJ3948" s="164"/>
      <c r="FL3948" s="2"/>
      <c r="FN3948" s="2"/>
    </row>
    <row r="3949" spans="153:170" x14ac:dyDescent="0.35">
      <c r="EW3949" s="48"/>
      <c r="FB3949" s="5"/>
      <c r="FI3949" s="5"/>
      <c r="FJ3949" s="164"/>
      <c r="FL3949" s="2"/>
      <c r="FN3949" s="2"/>
    </row>
    <row r="3950" spans="153:170" x14ac:dyDescent="0.35">
      <c r="EW3950" s="48"/>
      <c r="FB3950" s="5"/>
      <c r="FI3950" s="5"/>
      <c r="FJ3950" s="164"/>
      <c r="FL3950" s="2"/>
      <c r="FN3950" s="2"/>
    </row>
    <row r="3951" spans="153:170" x14ac:dyDescent="0.35">
      <c r="EW3951" s="48"/>
      <c r="FB3951" s="5"/>
      <c r="FI3951" s="5"/>
      <c r="FJ3951" s="164"/>
      <c r="FL3951" s="2"/>
      <c r="FN3951" s="2"/>
    </row>
    <row r="3952" spans="153:170" x14ac:dyDescent="0.35">
      <c r="EW3952" s="48"/>
      <c r="FB3952" s="5"/>
      <c r="FI3952" s="5"/>
      <c r="FJ3952" s="164"/>
      <c r="FL3952" s="2"/>
      <c r="FN3952" s="2"/>
    </row>
    <row r="3953" spans="153:170" x14ac:dyDescent="0.35">
      <c r="EW3953" s="48"/>
      <c r="FB3953" s="5"/>
      <c r="FI3953" s="5"/>
      <c r="FJ3953" s="164"/>
      <c r="FL3953" s="2"/>
      <c r="FN3953" s="2"/>
    </row>
    <row r="3954" spans="153:170" x14ac:dyDescent="0.35">
      <c r="EW3954" s="48"/>
      <c r="FB3954" s="5"/>
      <c r="FI3954" s="5"/>
      <c r="FJ3954" s="164"/>
      <c r="FL3954" s="2"/>
      <c r="FN3954" s="2"/>
    </row>
    <row r="3955" spans="153:170" x14ac:dyDescent="0.35">
      <c r="EW3955" s="48"/>
      <c r="FB3955" s="5"/>
      <c r="FI3955" s="5"/>
      <c r="FJ3955" s="164"/>
      <c r="FL3955" s="2"/>
      <c r="FN3955" s="2"/>
    </row>
    <row r="3956" spans="153:170" x14ac:dyDescent="0.35">
      <c r="EW3956" s="48"/>
      <c r="FB3956" s="5"/>
      <c r="FI3956" s="5"/>
      <c r="FJ3956" s="164"/>
      <c r="FL3956" s="2"/>
      <c r="FN3956" s="2"/>
    </row>
    <row r="3957" spans="153:170" x14ac:dyDescent="0.35">
      <c r="EW3957" s="48"/>
      <c r="FB3957" s="5"/>
      <c r="FI3957" s="5"/>
      <c r="FJ3957" s="164"/>
      <c r="FL3957" s="2"/>
      <c r="FN3957" s="2"/>
    </row>
    <row r="3958" spans="153:170" x14ac:dyDescent="0.35">
      <c r="EW3958" s="48"/>
      <c r="FB3958" s="5"/>
      <c r="FI3958" s="5"/>
      <c r="FJ3958" s="164"/>
      <c r="FL3958" s="2"/>
      <c r="FN3958" s="2"/>
    </row>
    <row r="3959" spans="153:170" x14ac:dyDescent="0.35">
      <c r="EW3959" s="48"/>
      <c r="FB3959" s="5"/>
      <c r="FI3959" s="5"/>
      <c r="FJ3959" s="164"/>
      <c r="FL3959" s="2"/>
      <c r="FN3959" s="2"/>
    </row>
    <row r="3960" spans="153:170" x14ac:dyDescent="0.35">
      <c r="EW3960" s="48"/>
      <c r="FB3960" s="5"/>
      <c r="FI3960" s="5"/>
      <c r="FJ3960" s="164"/>
      <c r="FL3960" s="2"/>
      <c r="FN3960" s="2"/>
    </row>
    <row r="3961" spans="153:170" x14ac:dyDescent="0.35">
      <c r="EW3961" s="48"/>
      <c r="FB3961" s="5"/>
      <c r="FI3961" s="5"/>
      <c r="FJ3961" s="164"/>
      <c r="FL3961" s="2"/>
      <c r="FN3961" s="2"/>
    </row>
    <row r="3962" spans="153:170" x14ac:dyDescent="0.35">
      <c r="EW3962" s="48"/>
      <c r="FB3962" s="5"/>
      <c r="FI3962" s="5"/>
      <c r="FJ3962" s="164"/>
      <c r="FL3962" s="2"/>
      <c r="FN3962" s="2"/>
    </row>
    <row r="3963" spans="153:170" x14ac:dyDescent="0.35">
      <c r="EW3963" s="48"/>
      <c r="FB3963" s="5"/>
      <c r="FI3963" s="5"/>
      <c r="FJ3963" s="164"/>
      <c r="FL3963" s="2"/>
      <c r="FN3963" s="2"/>
    </row>
    <row r="3964" spans="153:170" x14ac:dyDescent="0.35">
      <c r="EW3964" s="48"/>
      <c r="FB3964" s="5"/>
      <c r="FI3964" s="5"/>
      <c r="FJ3964" s="164"/>
      <c r="FL3964" s="2"/>
      <c r="FN3964" s="2"/>
    </row>
    <row r="3965" spans="153:170" x14ac:dyDescent="0.35">
      <c r="EW3965" s="48"/>
      <c r="FB3965" s="5"/>
      <c r="FI3965" s="5"/>
      <c r="FJ3965" s="164"/>
      <c r="FL3965" s="2"/>
      <c r="FN3965" s="2"/>
    </row>
    <row r="3966" spans="153:170" x14ac:dyDescent="0.35">
      <c r="EW3966" s="48"/>
      <c r="FB3966" s="5"/>
      <c r="FI3966" s="5"/>
      <c r="FJ3966" s="164"/>
      <c r="FL3966" s="2"/>
      <c r="FN3966" s="2"/>
    </row>
    <row r="3967" spans="153:170" x14ac:dyDescent="0.35">
      <c r="EW3967" s="48"/>
      <c r="FB3967" s="5"/>
      <c r="FI3967" s="5"/>
      <c r="FJ3967" s="164"/>
      <c r="FL3967" s="2"/>
      <c r="FN3967" s="2"/>
    </row>
    <row r="3968" spans="153:170" x14ac:dyDescent="0.35">
      <c r="EW3968" s="48"/>
      <c r="FB3968" s="5"/>
      <c r="FI3968" s="5"/>
      <c r="FJ3968" s="164"/>
      <c r="FL3968" s="2"/>
      <c r="FN3968" s="2"/>
    </row>
    <row r="3969" spans="153:170" x14ac:dyDescent="0.35">
      <c r="EW3969" s="48"/>
      <c r="FB3969" s="5"/>
      <c r="FI3969" s="5"/>
      <c r="FJ3969" s="164"/>
      <c r="FL3969" s="2"/>
      <c r="FN3969" s="2"/>
    </row>
    <row r="3970" spans="153:170" x14ac:dyDescent="0.35">
      <c r="EW3970" s="48"/>
      <c r="FB3970" s="5"/>
      <c r="FI3970" s="5"/>
      <c r="FJ3970" s="164"/>
      <c r="FL3970" s="2"/>
      <c r="FN3970" s="2"/>
    </row>
    <row r="3971" spans="153:170" x14ac:dyDescent="0.35">
      <c r="EW3971" s="48"/>
      <c r="FB3971" s="5"/>
      <c r="FI3971" s="5"/>
      <c r="FJ3971" s="164"/>
      <c r="FL3971" s="2"/>
      <c r="FN3971" s="2"/>
    </row>
    <row r="3972" spans="153:170" x14ac:dyDescent="0.35">
      <c r="EW3972" s="48"/>
      <c r="FB3972" s="5"/>
      <c r="FI3972" s="5"/>
      <c r="FJ3972" s="164"/>
      <c r="FL3972" s="2"/>
      <c r="FN3972" s="2"/>
    </row>
    <row r="3973" spans="153:170" x14ac:dyDescent="0.35">
      <c r="EW3973" s="48"/>
      <c r="FB3973" s="5"/>
      <c r="FI3973" s="5"/>
      <c r="FJ3973" s="164"/>
      <c r="FL3973" s="2"/>
      <c r="FN3973" s="2"/>
    </row>
    <row r="3974" spans="153:170" x14ac:dyDescent="0.35">
      <c r="EW3974" s="48"/>
      <c r="FB3974" s="5"/>
      <c r="FI3974" s="5"/>
      <c r="FJ3974" s="164"/>
      <c r="FL3974" s="2"/>
      <c r="FN3974" s="2"/>
    </row>
    <row r="3975" spans="153:170" x14ac:dyDescent="0.35">
      <c r="EW3975" s="48"/>
      <c r="FB3975" s="5"/>
      <c r="FI3975" s="5"/>
      <c r="FJ3975" s="164"/>
      <c r="FL3975" s="2"/>
      <c r="FN3975" s="2"/>
    </row>
    <row r="3976" spans="153:170" x14ac:dyDescent="0.35">
      <c r="EW3976" s="48"/>
      <c r="FB3976" s="5"/>
      <c r="FI3976" s="5"/>
      <c r="FJ3976" s="164"/>
      <c r="FL3976" s="2"/>
      <c r="FN3976" s="2"/>
    </row>
    <row r="3977" spans="153:170" x14ac:dyDescent="0.35">
      <c r="EW3977" s="48"/>
      <c r="FB3977" s="5"/>
      <c r="FI3977" s="5"/>
      <c r="FJ3977" s="164"/>
      <c r="FL3977" s="2"/>
      <c r="FN3977" s="2"/>
    </row>
    <row r="3978" spans="153:170" x14ac:dyDescent="0.35">
      <c r="EW3978" s="48"/>
      <c r="FB3978" s="5"/>
      <c r="FI3978" s="5"/>
      <c r="FJ3978" s="164"/>
      <c r="FL3978" s="2"/>
      <c r="FN3978" s="2"/>
    </row>
    <row r="3979" spans="153:170" x14ac:dyDescent="0.35">
      <c r="EW3979" s="48"/>
      <c r="FB3979" s="5"/>
      <c r="FI3979" s="5"/>
      <c r="FJ3979" s="164"/>
      <c r="FL3979" s="2"/>
      <c r="FN3979" s="2"/>
    </row>
    <row r="3980" spans="153:170" x14ac:dyDescent="0.35">
      <c r="EW3980" s="48"/>
      <c r="FB3980" s="5"/>
      <c r="FI3980" s="5"/>
      <c r="FJ3980" s="164"/>
      <c r="FL3980" s="2"/>
      <c r="FN3980" s="2"/>
    </row>
    <row r="3981" spans="153:170" x14ac:dyDescent="0.35">
      <c r="EW3981" s="48"/>
      <c r="FB3981" s="5"/>
      <c r="FI3981" s="5"/>
      <c r="FJ3981" s="164"/>
      <c r="FL3981" s="2"/>
      <c r="FN3981" s="2"/>
    </row>
    <row r="3982" spans="153:170" x14ac:dyDescent="0.35">
      <c r="EW3982" s="48"/>
      <c r="FB3982" s="5"/>
      <c r="FI3982" s="5"/>
      <c r="FJ3982" s="164"/>
      <c r="FL3982" s="2"/>
      <c r="FN3982" s="2"/>
    </row>
    <row r="3983" spans="153:170" x14ac:dyDescent="0.35">
      <c r="EW3983" s="48"/>
      <c r="FB3983" s="5"/>
      <c r="FI3983" s="5"/>
      <c r="FJ3983" s="164"/>
      <c r="FL3983" s="2"/>
      <c r="FN3983" s="2"/>
    </row>
    <row r="3984" spans="153:170" x14ac:dyDescent="0.35">
      <c r="EW3984" s="48"/>
      <c r="FB3984" s="5"/>
      <c r="FI3984" s="5"/>
      <c r="FJ3984" s="164"/>
      <c r="FL3984" s="2"/>
      <c r="FN3984" s="2"/>
    </row>
    <row r="3985" spans="153:170" x14ac:dyDescent="0.35">
      <c r="EW3985" s="48"/>
      <c r="FB3985" s="5"/>
      <c r="FI3985" s="5"/>
      <c r="FJ3985" s="164"/>
      <c r="FL3985" s="2"/>
      <c r="FN3985" s="2"/>
    </row>
    <row r="3986" spans="153:170" x14ac:dyDescent="0.35">
      <c r="EW3986" s="48"/>
      <c r="FB3986" s="5"/>
      <c r="FI3986" s="5"/>
      <c r="FJ3986" s="164"/>
      <c r="FL3986" s="2"/>
      <c r="FN3986" s="2"/>
    </row>
    <row r="3987" spans="153:170" x14ac:dyDescent="0.35">
      <c r="EW3987" s="48"/>
      <c r="FB3987" s="5"/>
      <c r="FI3987" s="5"/>
      <c r="FJ3987" s="164"/>
      <c r="FL3987" s="2"/>
      <c r="FN3987" s="2"/>
    </row>
    <row r="3988" spans="153:170" x14ac:dyDescent="0.35">
      <c r="EW3988" s="48"/>
      <c r="FB3988" s="5"/>
      <c r="FI3988" s="5"/>
      <c r="FJ3988" s="164"/>
      <c r="FL3988" s="2"/>
      <c r="FN3988" s="2"/>
    </row>
    <row r="3989" spans="153:170" x14ac:dyDescent="0.35">
      <c r="EW3989" s="48"/>
      <c r="FB3989" s="5"/>
      <c r="FI3989" s="5"/>
      <c r="FJ3989" s="164"/>
      <c r="FL3989" s="2"/>
      <c r="FN3989" s="2"/>
    </row>
    <row r="3990" spans="153:170" x14ac:dyDescent="0.35">
      <c r="EW3990" s="48"/>
      <c r="FB3990" s="5"/>
      <c r="FI3990" s="5"/>
      <c r="FJ3990" s="164"/>
      <c r="FL3990" s="2"/>
      <c r="FN3990" s="2"/>
    </row>
    <row r="3991" spans="153:170" x14ac:dyDescent="0.35">
      <c r="EW3991" s="48"/>
      <c r="FB3991" s="5"/>
      <c r="FI3991" s="5"/>
      <c r="FJ3991" s="164"/>
      <c r="FL3991" s="2"/>
      <c r="FN3991" s="2"/>
    </row>
    <row r="3992" spans="153:170" x14ac:dyDescent="0.35">
      <c r="EW3992" s="48"/>
      <c r="FB3992" s="5"/>
      <c r="FI3992" s="5"/>
      <c r="FJ3992" s="164"/>
      <c r="FL3992" s="2"/>
      <c r="FN3992" s="2"/>
    </row>
    <row r="3993" spans="153:170" x14ac:dyDescent="0.35">
      <c r="EW3993" s="48"/>
      <c r="FB3993" s="5"/>
      <c r="FI3993" s="5"/>
      <c r="FJ3993" s="164"/>
      <c r="FL3993" s="2"/>
      <c r="FN3993" s="2"/>
    </row>
    <row r="3994" spans="153:170" x14ac:dyDescent="0.35">
      <c r="EW3994" s="48"/>
      <c r="FB3994" s="5"/>
      <c r="FI3994" s="5"/>
      <c r="FJ3994" s="164"/>
      <c r="FL3994" s="2"/>
      <c r="FN3994" s="2"/>
    </row>
    <row r="3995" spans="153:170" x14ac:dyDescent="0.35">
      <c r="EW3995" s="48"/>
      <c r="FB3995" s="5"/>
      <c r="FI3995" s="5"/>
      <c r="FJ3995" s="164"/>
      <c r="FL3995" s="2"/>
      <c r="FN3995" s="2"/>
    </row>
    <row r="3996" spans="153:170" x14ac:dyDescent="0.35">
      <c r="EW3996" s="48"/>
      <c r="FB3996" s="5"/>
      <c r="FI3996" s="5"/>
      <c r="FJ3996" s="164"/>
      <c r="FL3996" s="2"/>
      <c r="FN3996" s="2"/>
    </row>
    <row r="3997" spans="153:170" x14ac:dyDescent="0.35">
      <c r="EW3997" s="48"/>
      <c r="FB3997" s="5"/>
      <c r="FI3997" s="5"/>
      <c r="FJ3997" s="164"/>
      <c r="FL3997" s="2"/>
      <c r="FN3997" s="2"/>
    </row>
    <row r="3998" spans="153:170" x14ac:dyDescent="0.35">
      <c r="EW3998" s="48"/>
      <c r="FB3998" s="5"/>
      <c r="FI3998" s="5"/>
      <c r="FJ3998" s="164"/>
      <c r="FL3998" s="2"/>
      <c r="FN3998" s="2"/>
    </row>
    <row r="3999" spans="153:170" x14ac:dyDescent="0.35">
      <c r="EW3999" s="48"/>
      <c r="FB3999" s="5"/>
      <c r="FI3999" s="5"/>
      <c r="FJ3999" s="164"/>
      <c r="FL3999" s="2"/>
      <c r="FN3999" s="2"/>
    </row>
    <row r="4000" spans="153:170" x14ac:dyDescent="0.35">
      <c r="EW4000" s="48"/>
      <c r="FB4000" s="5"/>
      <c r="FI4000" s="5"/>
      <c r="FJ4000" s="164"/>
      <c r="FL4000" s="2"/>
      <c r="FN4000" s="2"/>
    </row>
    <row r="4001" spans="153:170" x14ac:dyDescent="0.35">
      <c r="EW4001" s="48"/>
      <c r="FB4001" s="5"/>
      <c r="FI4001" s="5"/>
      <c r="FJ4001" s="164"/>
      <c r="FL4001" s="2"/>
      <c r="FN4001" s="2"/>
    </row>
    <row r="4002" spans="153:170" x14ac:dyDescent="0.35">
      <c r="EW4002" s="48"/>
      <c r="FB4002" s="5"/>
      <c r="FI4002" s="5"/>
      <c r="FJ4002" s="164"/>
      <c r="FL4002" s="2"/>
      <c r="FN4002" s="2"/>
    </row>
    <row r="4003" spans="153:170" x14ac:dyDescent="0.35">
      <c r="EW4003" s="48"/>
      <c r="FB4003" s="5"/>
      <c r="FI4003" s="5"/>
      <c r="FJ4003" s="164"/>
      <c r="FL4003" s="2"/>
      <c r="FN4003" s="2"/>
    </row>
    <row r="4004" spans="153:170" x14ac:dyDescent="0.35">
      <c r="EW4004" s="48"/>
      <c r="FB4004" s="5"/>
      <c r="FI4004" s="5"/>
      <c r="FJ4004" s="164"/>
      <c r="FL4004" s="2"/>
      <c r="FN4004" s="2"/>
    </row>
    <row r="4005" spans="153:170" x14ac:dyDescent="0.35">
      <c r="EW4005" s="48"/>
      <c r="FB4005" s="5"/>
      <c r="FI4005" s="5"/>
      <c r="FJ4005" s="164"/>
      <c r="FL4005" s="2"/>
      <c r="FN4005" s="2"/>
    </row>
    <row r="4006" spans="153:170" x14ac:dyDescent="0.35">
      <c r="EW4006" s="48"/>
      <c r="FB4006" s="5"/>
      <c r="FI4006" s="5"/>
      <c r="FJ4006" s="164"/>
      <c r="FL4006" s="2"/>
      <c r="FN4006" s="2"/>
    </row>
    <row r="4007" spans="153:170" x14ac:dyDescent="0.35">
      <c r="EW4007" s="48"/>
      <c r="FB4007" s="5"/>
      <c r="FI4007" s="5"/>
      <c r="FJ4007" s="164"/>
      <c r="FL4007" s="2"/>
      <c r="FN4007" s="2"/>
    </row>
    <row r="4008" spans="153:170" x14ac:dyDescent="0.35">
      <c r="EW4008" s="48"/>
      <c r="FB4008" s="5"/>
      <c r="FI4008" s="5"/>
      <c r="FJ4008" s="164"/>
      <c r="FL4008" s="2"/>
      <c r="FN4008" s="2"/>
    </row>
    <row r="4009" spans="153:170" x14ac:dyDescent="0.35">
      <c r="EW4009" s="48"/>
      <c r="FB4009" s="5"/>
      <c r="FI4009" s="5"/>
      <c r="FJ4009" s="164"/>
      <c r="FL4009" s="2"/>
      <c r="FN4009" s="2"/>
    </row>
    <row r="4010" spans="153:170" x14ac:dyDescent="0.35">
      <c r="EW4010" s="48"/>
      <c r="FB4010" s="5"/>
      <c r="FI4010" s="5"/>
      <c r="FJ4010" s="164"/>
      <c r="FL4010" s="2"/>
      <c r="FN4010" s="2"/>
    </row>
    <row r="4011" spans="153:170" x14ac:dyDescent="0.35">
      <c r="EW4011" s="48"/>
      <c r="FB4011" s="5"/>
      <c r="FI4011" s="5"/>
      <c r="FJ4011" s="164"/>
      <c r="FL4011" s="2"/>
      <c r="FN4011" s="2"/>
    </row>
    <row r="4012" spans="153:170" x14ac:dyDescent="0.35">
      <c r="EW4012" s="48"/>
      <c r="FB4012" s="5"/>
      <c r="FI4012" s="5"/>
      <c r="FJ4012" s="164"/>
      <c r="FL4012" s="2"/>
      <c r="FN4012" s="2"/>
    </row>
    <row r="4013" spans="153:170" x14ac:dyDescent="0.35">
      <c r="EW4013" s="48"/>
      <c r="FB4013" s="5"/>
      <c r="FI4013" s="5"/>
      <c r="FJ4013" s="164"/>
      <c r="FL4013" s="2"/>
      <c r="FN4013" s="2"/>
    </row>
    <row r="4014" spans="153:170" x14ac:dyDescent="0.35">
      <c r="EW4014" s="48"/>
      <c r="FB4014" s="5"/>
      <c r="FI4014" s="5"/>
      <c r="FJ4014" s="164"/>
      <c r="FL4014" s="2"/>
      <c r="FN4014" s="2"/>
    </row>
    <row r="4015" spans="153:170" x14ac:dyDescent="0.35">
      <c r="EW4015" s="48"/>
      <c r="FB4015" s="5"/>
      <c r="FI4015" s="5"/>
      <c r="FJ4015" s="164"/>
      <c r="FL4015" s="2"/>
      <c r="FN4015" s="2"/>
    </row>
    <row r="4016" spans="153:170" x14ac:dyDescent="0.35">
      <c r="EW4016" s="48"/>
      <c r="FB4016" s="5"/>
      <c r="FI4016" s="5"/>
      <c r="FJ4016" s="164"/>
      <c r="FL4016" s="2"/>
      <c r="FN4016" s="2"/>
    </row>
    <row r="4017" spans="153:170" x14ac:dyDescent="0.35">
      <c r="EW4017" s="48"/>
      <c r="FB4017" s="5"/>
      <c r="FI4017" s="5"/>
      <c r="FJ4017" s="164"/>
      <c r="FL4017" s="2"/>
      <c r="FN4017" s="2"/>
    </row>
    <row r="4018" spans="153:170" x14ac:dyDescent="0.35">
      <c r="EW4018" s="48"/>
      <c r="FB4018" s="5"/>
      <c r="FI4018" s="5"/>
      <c r="FJ4018" s="164"/>
      <c r="FL4018" s="2"/>
      <c r="FN4018" s="2"/>
    </row>
    <row r="4019" spans="153:170" x14ac:dyDescent="0.35">
      <c r="EW4019" s="48"/>
      <c r="FB4019" s="5"/>
      <c r="FI4019" s="5"/>
      <c r="FJ4019" s="164"/>
      <c r="FL4019" s="2"/>
      <c r="FN4019" s="2"/>
    </row>
    <row r="4020" spans="153:170" x14ac:dyDescent="0.35">
      <c r="EW4020" s="48"/>
      <c r="FB4020" s="5"/>
      <c r="FI4020" s="5"/>
      <c r="FJ4020" s="164"/>
      <c r="FL4020" s="2"/>
      <c r="FN4020" s="2"/>
    </row>
    <row r="4021" spans="153:170" x14ac:dyDescent="0.35">
      <c r="EW4021" s="48"/>
      <c r="FB4021" s="5"/>
      <c r="FI4021" s="5"/>
      <c r="FJ4021" s="164"/>
      <c r="FL4021" s="2"/>
      <c r="FN4021" s="2"/>
    </row>
    <row r="4022" spans="153:170" x14ac:dyDescent="0.35">
      <c r="EW4022" s="48"/>
      <c r="FB4022" s="5"/>
      <c r="FI4022" s="5"/>
      <c r="FJ4022" s="164"/>
      <c r="FL4022" s="2"/>
      <c r="FN4022" s="2"/>
    </row>
    <row r="4023" spans="153:170" x14ac:dyDescent="0.35">
      <c r="EW4023" s="48"/>
      <c r="FB4023" s="5"/>
      <c r="FI4023" s="5"/>
      <c r="FJ4023" s="164"/>
      <c r="FL4023" s="2"/>
      <c r="FN4023" s="2"/>
    </row>
    <row r="4024" spans="153:170" x14ac:dyDescent="0.35">
      <c r="EW4024" s="48"/>
      <c r="FB4024" s="5"/>
      <c r="FI4024" s="5"/>
      <c r="FJ4024" s="164"/>
      <c r="FL4024" s="2"/>
      <c r="FN4024" s="2"/>
    </row>
    <row r="4025" spans="153:170" x14ac:dyDescent="0.35">
      <c r="EW4025" s="48"/>
      <c r="FB4025" s="5"/>
      <c r="FI4025" s="5"/>
      <c r="FJ4025" s="164"/>
      <c r="FL4025" s="2"/>
      <c r="FN4025" s="2"/>
    </row>
    <row r="4026" spans="153:170" x14ac:dyDescent="0.35">
      <c r="EW4026" s="48"/>
      <c r="FB4026" s="5"/>
      <c r="FI4026" s="5"/>
      <c r="FJ4026" s="164"/>
      <c r="FL4026" s="2"/>
      <c r="FN4026" s="2"/>
    </row>
    <row r="4027" spans="153:170" x14ac:dyDescent="0.35">
      <c r="EW4027" s="48"/>
      <c r="FB4027" s="5"/>
      <c r="FI4027" s="5"/>
      <c r="FJ4027" s="164"/>
      <c r="FL4027" s="2"/>
      <c r="FN4027" s="2"/>
    </row>
    <row r="4028" spans="153:170" x14ac:dyDescent="0.35">
      <c r="EW4028" s="48"/>
      <c r="FB4028" s="5"/>
      <c r="FI4028" s="5"/>
      <c r="FJ4028" s="164"/>
      <c r="FL4028" s="2"/>
      <c r="FN4028" s="2"/>
    </row>
    <row r="4029" spans="153:170" x14ac:dyDescent="0.35">
      <c r="EW4029" s="48"/>
      <c r="FB4029" s="5"/>
      <c r="FI4029" s="5"/>
      <c r="FJ4029" s="164"/>
      <c r="FL4029" s="2"/>
      <c r="FN4029" s="2"/>
    </row>
    <row r="4030" spans="153:170" x14ac:dyDescent="0.35">
      <c r="EW4030" s="48"/>
      <c r="FB4030" s="5"/>
      <c r="FI4030" s="5"/>
      <c r="FJ4030" s="164"/>
      <c r="FL4030" s="2"/>
      <c r="FN4030" s="2"/>
    </row>
    <row r="4031" spans="153:170" x14ac:dyDescent="0.35">
      <c r="EW4031" s="48"/>
      <c r="FB4031" s="5"/>
      <c r="FI4031" s="5"/>
      <c r="FJ4031" s="164"/>
      <c r="FL4031" s="2"/>
      <c r="FN4031" s="2"/>
    </row>
    <row r="4032" spans="153:170" x14ac:dyDescent="0.35">
      <c r="EW4032" s="48"/>
      <c r="FB4032" s="5"/>
      <c r="FI4032" s="5"/>
      <c r="FJ4032" s="164"/>
      <c r="FL4032" s="2"/>
      <c r="FN4032" s="2"/>
    </row>
    <row r="4033" spans="153:170" x14ac:dyDescent="0.35">
      <c r="EW4033" s="48"/>
      <c r="FB4033" s="5"/>
      <c r="FI4033" s="5"/>
      <c r="FJ4033" s="164"/>
      <c r="FL4033" s="2"/>
      <c r="FN4033" s="2"/>
    </row>
    <row r="4034" spans="153:170" x14ac:dyDescent="0.35">
      <c r="EW4034" s="48"/>
      <c r="FB4034" s="5"/>
      <c r="FI4034" s="5"/>
      <c r="FJ4034" s="164"/>
      <c r="FL4034" s="2"/>
      <c r="FN4034" s="2"/>
    </row>
    <row r="4035" spans="153:170" x14ac:dyDescent="0.35">
      <c r="EW4035" s="48"/>
      <c r="FB4035" s="5"/>
      <c r="FI4035" s="5"/>
      <c r="FJ4035" s="164"/>
      <c r="FL4035" s="2"/>
      <c r="FN4035" s="2"/>
    </row>
    <row r="4036" spans="153:170" x14ac:dyDescent="0.35">
      <c r="EW4036" s="48"/>
      <c r="FB4036" s="5"/>
      <c r="FI4036" s="5"/>
      <c r="FJ4036" s="164"/>
      <c r="FL4036" s="2"/>
      <c r="FN4036" s="2"/>
    </row>
    <row r="4037" spans="153:170" x14ac:dyDescent="0.35">
      <c r="EW4037" s="48"/>
      <c r="FB4037" s="5"/>
      <c r="FI4037" s="5"/>
      <c r="FJ4037" s="164"/>
      <c r="FL4037" s="2"/>
      <c r="FN4037" s="2"/>
    </row>
    <row r="4038" spans="153:170" x14ac:dyDescent="0.35">
      <c r="EW4038" s="48"/>
      <c r="FB4038" s="5"/>
      <c r="FI4038" s="5"/>
      <c r="FJ4038" s="164"/>
      <c r="FL4038" s="2"/>
      <c r="FN4038" s="2"/>
    </row>
    <row r="4039" spans="153:170" x14ac:dyDescent="0.35">
      <c r="EW4039" s="48"/>
      <c r="FB4039" s="5"/>
      <c r="FI4039" s="5"/>
      <c r="FJ4039" s="164"/>
      <c r="FL4039" s="2"/>
      <c r="FN4039" s="2"/>
    </row>
    <row r="4040" spans="153:170" x14ac:dyDescent="0.35">
      <c r="EW4040" s="48"/>
      <c r="FB4040" s="5"/>
      <c r="FI4040" s="5"/>
      <c r="FJ4040" s="164"/>
      <c r="FL4040" s="2"/>
      <c r="FN4040" s="2"/>
    </row>
    <row r="4041" spans="153:170" x14ac:dyDescent="0.35">
      <c r="EW4041" s="48"/>
      <c r="FB4041" s="5"/>
      <c r="FI4041" s="5"/>
      <c r="FJ4041" s="164"/>
      <c r="FL4041" s="2"/>
      <c r="FN4041" s="2"/>
    </row>
    <row r="4042" spans="153:170" x14ac:dyDescent="0.35">
      <c r="EW4042" s="48"/>
      <c r="FB4042" s="5"/>
      <c r="FI4042" s="5"/>
      <c r="FJ4042" s="164"/>
      <c r="FL4042" s="2"/>
      <c r="FN4042" s="2"/>
    </row>
    <row r="4043" spans="153:170" x14ac:dyDescent="0.35">
      <c r="EW4043" s="48"/>
      <c r="FB4043" s="5"/>
      <c r="FI4043" s="5"/>
      <c r="FJ4043" s="164"/>
      <c r="FL4043" s="2"/>
      <c r="FN4043" s="2"/>
    </row>
    <row r="4044" spans="153:170" x14ac:dyDescent="0.35">
      <c r="EW4044" s="48"/>
      <c r="FB4044" s="5"/>
      <c r="FI4044" s="5"/>
      <c r="FJ4044" s="164"/>
      <c r="FL4044" s="2"/>
      <c r="FN4044" s="2"/>
    </row>
    <row r="4045" spans="153:170" x14ac:dyDescent="0.35">
      <c r="EW4045" s="48"/>
      <c r="FB4045" s="5"/>
      <c r="FI4045" s="5"/>
      <c r="FJ4045" s="164"/>
      <c r="FL4045" s="2"/>
      <c r="FN4045" s="2"/>
    </row>
    <row r="4046" spans="153:170" x14ac:dyDescent="0.35">
      <c r="EW4046" s="48"/>
      <c r="FB4046" s="5"/>
      <c r="FI4046" s="5"/>
      <c r="FJ4046" s="164"/>
      <c r="FL4046" s="2"/>
      <c r="FN4046" s="2"/>
    </row>
    <row r="4047" spans="153:170" x14ac:dyDescent="0.35">
      <c r="EW4047" s="48"/>
      <c r="FB4047" s="5"/>
      <c r="FI4047" s="5"/>
      <c r="FJ4047" s="164"/>
      <c r="FL4047" s="2"/>
      <c r="FN4047" s="2"/>
    </row>
    <row r="4048" spans="153:170" x14ac:dyDescent="0.35">
      <c r="EW4048" s="48"/>
      <c r="FB4048" s="5"/>
      <c r="FI4048" s="5"/>
      <c r="FJ4048" s="164"/>
      <c r="FL4048" s="2"/>
      <c r="FN4048" s="2"/>
    </row>
    <row r="4049" spans="153:170" x14ac:dyDescent="0.35">
      <c r="EW4049" s="48"/>
      <c r="FB4049" s="5"/>
      <c r="FI4049" s="5"/>
      <c r="FJ4049" s="164"/>
      <c r="FL4049" s="2"/>
      <c r="FN4049" s="2"/>
    </row>
    <row r="4050" spans="153:170" x14ac:dyDescent="0.35">
      <c r="EW4050" s="48"/>
      <c r="FB4050" s="5"/>
      <c r="FI4050" s="5"/>
      <c r="FJ4050" s="164"/>
      <c r="FL4050" s="2"/>
      <c r="FN4050" s="2"/>
    </row>
    <row r="4051" spans="153:170" x14ac:dyDescent="0.35">
      <c r="EW4051" s="48"/>
      <c r="FB4051" s="5"/>
      <c r="FI4051" s="5"/>
      <c r="FJ4051" s="164"/>
      <c r="FL4051" s="2"/>
      <c r="FN4051" s="2"/>
    </row>
    <row r="4052" spans="153:170" x14ac:dyDescent="0.35">
      <c r="EW4052" s="48"/>
      <c r="FB4052" s="5"/>
      <c r="FI4052" s="5"/>
      <c r="FJ4052" s="164"/>
      <c r="FL4052" s="2"/>
      <c r="FN4052" s="2"/>
    </row>
    <row r="4053" spans="153:170" x14ac:dyDescent="0.35">
      <c r="EW4053" s="48"/>
      <c r="FB4053" s="5"/>
      <c r="FI4053" s="5"/>
      <c r="FJ4053" s="164"/>
      <c r="FL4053" s="2"/>
      <c r="FN4053" s="2"/>
    </row>
    <row r="4054" spans="153:170" x14ac:dyDescent="0.35">
      <c r="EW4054" s="48"/>
      <c r="FB4054" s="5"/>
      <c r="FI4054" s="5"/>
      <c r="FJ4054" s="164"/>
      <c r="FL4054" s="2"/>
      <c r="FN4054" s="2"/>
    </row>
    <row r="4055" spans="153:170" x14ac:dyDescent="0.35">
      <c r="EW4055" s="48"/>
      <c r="FB4055" s="5"/>
      <c r="FI4055" s="5"/>
      <c r="FJ4055" s="164"/>
      <c r="FL4055" s="2"/>
      <c r="FN4055" s="2"/>
    </row>
    <row r="4056" spans="153:170" x14ac:dyDescent="0.35">
      <c r="EW4056" s="48"/>
      <c r="FB4056" s="5"/>
      <c r="FI4056" s="5"/>
      <c r="FJ4056" s="164"/>
      <c r="FL4056" s="2"/>
      <c r="FN4056" s="2"/>
    </row>
    <row r="4057" spans="153:170" x14ac:dyDescent="0.35">
      <c r="EW4057" s="48"/>
      <c r="FB4057" s="5"/>
      <c r="FI4057" s="5"/>
      <c r="FJ4057" s="164"/>
      <c r="FL4057" s="2"/>
      <c r="FN4057" s="2"/>
    </row>
    <row r="4058" spans="153:170" x14ac:dyDescent="0.35">
      <c r="EW4058" s="48"/>
      <c r="FB4058" s="5"/>
      <c r="FI4058" s="5"/>
      <c r="FJ4058" s="164"/>
      <c r="FL4058" s="2"/>
      <c r="FN4058" s="2"/>
    </row>
    <row r="4059" spans="153:170" x14ac:dyDescent="0.35">
      <c r="EW4059" s="48"/>
      <c r="FB4059" s="5"/>
      <c r="FI4059" s="5"/>
      <c r="FJ4059" s="164"/>
      <c r="FL4059" s="2"/>
      <c r="FN4059" s="2"/>
    </row>
    <row r="4060" spans="153:170" x14ac:dyDescent="0.35">
      <c r="EW4060" s="48"/>
      <c r="FB4060" s="5"/>
      <c r="FI4060" s="5"/>
      <c r="FJ4060" s="164"/>
      <c r="FL4060" s="2"/>
      <c r="FN4060" s="2"/>
    </row>
    <row r="4061" spans="153:170" x14ac:dyDescent="0.35">
      <c r="EW4061" s="48"/>
      <c r="FB4061" s="5"/>
      <c r="FI4061" s="5"/>
      <c r="FJ4061" s="164"/>
      <c r="FL4061" s="2"/>
      <c r="FN4061" s="2"/>
    </row>
    <row r="4062" spans="153:170" x14ac:dyDescent="0.35">
      <c r="EW4062" s="48"/>
      <c r="FB4062" s="5"/>
      <c r="FI4062" s="5"/>
      <c r="FJ4062" s="164"/>
      <c r="FL4062" s="2"/>
      <c r="FN4062" s="2"/>
    </row>
    <row r="4063" spans="153:170" x14ac:dyDescent="0.35">
      <c r="EW4063" s="48"/>
      <c r="FB4063" s="5"/>
      <c r="FI4063" s="5"/>
      <c r="FJ4063" s="164"/>
      <c r="FL4063" s="2"/>
      <c r="FN4063" s="2"/>
    </row>
    <row r="4064" spans="153:170" x14ac:dyDescent="0.35">
      <c r="EW4064" s="48"/>
      <c r="FB4064" s="5"/>
      <c r="FI4064" s="5"/>
      <c r="FJ4064" s="164"/>
      <c r="FL4064" s="2"/>
      <c r="FN4064" s="2"/>
    </row>
    <row r="4065" spans="153:170" x14ac:dyDescent="0.35">
      <c r="EW4065" s="48"/>
      <c r="FB4065" s="5"/>
      <c r="FI4065" s="5"/>
      <c r="FJ4065" s="164"/>
      <c r="FL4065" s="2"/>
      <c r="FN4065" s="2"/>
    </row>
    <row r="4066" spans="153:170" x14ac:dyDescent="0.35">
      <c r="EW4066" s="48"/>
      <c r="FB4066" s="5"/>
      <c r="FI4066" s="5"/>
      <c r="FJ4066" s="164"/>
      <c r="FL4066" s="2"/>
      <c r="FN4066" s="2"/>
    </row>
    <row r="4067" spans="153:170" x14ac:dyDescent="0.35">
      <c r="EW4067" s="48"/>
      <c r="FB4067" s="5"/>
      <c r="FI4067" s="5"/>
      <c r="FJ4067" s="164"/>
      <c r="FL4067" s="2"/>
      <c r="FN4067" s="2"/>
    </row>
    <row r="4068" spans="153:170" x14ac:dyDescent="0.35">
      <c r="EW4068" s="48"/>
      <c r="FB4068" s="5"/>
      <c r="FI4068" s="5"/>
      <c r="FJ4068" s="164"/>
      <c r="FL4068" s="2"/>
      <c r="FN4068" s="2"/>
    </row>
    <row r="4069" spans="153:170" x14ac:dyDescent="0.35">
      <c r="EW4069" s="48"/>
      <c r="FB4069" s="5"/>
      <c r="FI4069" s="5"/>
      <c r="FJ4069" s="164"/>
      <c r="FL4069" s="2"/>
      <c r="FN4069" s="2"/>
    </row>
    <row r="4070" spans="153:170" x14ac:dyDescent="0.35">
      <c r="EW4070" s="48"/>
      <c r="FB4070" s="5"/>
      <c r="FI4070" s="5"/>
      <c r="FJ4070" s="164"/>
      <c r="FL4070" s="2"/>
      <c r="FN4070" s="2"/>
    </row>
    <row r="4071" spans="153:170" x14ac:dyDescent="0.35">
      <c r="EW4071" s="48"/>
      <c r="FB4071" s="5"/>
      <c r="FI4071" s="5"/>
      <c r="FJ4071" s="164"/>
      <c r="FL4071" s="2"/>
      <c r="FN4071" s="2"/>
    </row>
    <row r="4072" spans="153:170" x14ac:dyDescent="0.35">
      <c r="EW4072" s="48"/>
      <c r="FB4072" s="5"/>
      <c r="FI4072" s="5"/>
      <c r="FJ4072" s="164"/>
      <c r="FL4072" s="2"/>
      <c r="FN4072" s="2"/>
    </row>
    <row r="4073" spans="153:170" x14ac:dyDescent="0.35">
      <c r="EW4073" s="48"/>
      <c r="FB4073" s="5"/>
      <c r="FI4073" s="5"/>
      <c r="FJ4073" s="164"/>
      <c r="FL4073" s="2"/>
      <c r="FN4073" s="2"/>
    </row>
    <row r="4074" spans="153:170" x14ac:dyDescent="0.35">
      <c r="EW4074" s="48"/>
      <c r="FB4074" s="5"/>
      <c r="FI4074" s="5"/>
      <c r="FJ4074" s="164"/>
      <c r="FL4074" s="2"/>
      <c r="FN4074" s="2"/>
    </row>
    <row r="4075" spans="153:170" x14ac:dyDescent="0.35">
      <c r="EW4075" s="48"/>
      <c r="FB4075" s="5"/>
      <c r="FI4075" s="5"/>
      <c r="FJ4075" s="164"/>
      <c r="FL4075" s="2"/>
      <c r="FN4075" s="2"/>
    </row>
    <row r="4076" spans="153:170" x14ac:dyDescent="0.35">
      <c r="EW4076" s="48"/>
      <c r="FB4076" s="5"/>
      <c r="FI4076" s="5"/>
      <c r="FJ4076" s="164"/>
      <c r="FL4076" s="2"/>
      <c r="FN4076" s="2"/>
    </row>
    <row r="4077" spans="153:170" x14ac:dyDescent="0.35">
      <c r="EW4077" s="48"/>
      <c r="FB4077" s="5"/>
      <c r="FI4077" s="5"/>
      <c r="FJ4077" s="164"/>
      <c r="FL4077" s="2"/>
      <c r="FN4077" s="2"/>
    </row>
    <row r="4078" spans="153:170" x14ac:dyDescent="0.35">
      <c r="EW4078" s="48"/>
      <c r="FB4078" s="5"/>
      <c r="FI4078" s="5"/>
      <c r="FJ4078" s="164"/>
      <c r="FL4078" s="2"/>
      <c r="FN4078" s="2"/>
    </row>
    <row r="4079" spans="153:170" x14ac:dyDescent="0.35">
      <c r="EW4079" s="48"/>
      <c r="FB4079" s="5"/>
      <c r="FI4079" s="5"/>
      <c r="FJ4079" s="164"/>
      <c r="FL4079" s="2"/>
      <c r="FN4079" s="2"/>
    </row>
    <row r="4080" spans="153:170" x14ac:dyDescent="0.35">
      <c r="EW4080" s="48"/>
      <c r="FB4080" s="5"/>
      <c r="FI4080" s="5"/>
      <c r="FJ4080" s="164"/>
      <c r="FL4080" s="2"/>
      <c r="FN4080" s="2"/>
    </row>
    <row r="4081" spans="153:170" x14ac:dyDescent="0.35">
      <c r="EW4081" s="48"/>
      <c r="FB4081" s="5"/>
      <c r="FI4081" s="5"/>
      <c r="FJ4081" s="164"/>
      <c r="FL4081" s="2"/>
      <c r="FN4081" s="2"/>
    </row>
    <row r="4082" spans="153:170" x14ac:dyDescent="0.35">
      <c r="EW4082" s="48"/>
      <c r="FB4082" s="5"/>
      <c r="FI4082" s="5"/>
      <c r="FJ4082" s="164"/>
      <c r="FL4082" s="2"/>
      <c r="FN4082" s="2"/>
    </row>
    <row r="4083" spans="153:170" x14ac:dyDescent="0.35">
      <c r="EW4083" s="48"/>
      <c r="FB4083" s="5"/>
      <c r="FI4083" s="5"/>
      <c r="FJ4083" s="164"/>
      <c r="FL4083" s="2"/>
      <c r="FN4083" s="2"/>
    </row>
    <row r="4084" spans="153:170" x14ac:dyDescent="0.35">
      <c r="EW4084" s="48"/>
      <c r="FB4084" s="5"/>
      <c r="FI4084" s="5"/>
      <c r="FJ4084" s="164"/>
      <c r="FL4084" s="2"/>
      <c r="FN4084" s="2"/>
    </row>
    <row r="4085" spans="153:170" x14ac:dyDescent="0.35">
      <c r="EW4085" s="48"/>
      <c r="FB4085" s="5"/>
      <c r="FI4085" s="5"/>
      <c r="FJ4085" s="164"/>
      <c r="FL4085" s="2"/>
      <c r="FN4085" s="2"/>
    </row>
    <row r="4086" spans="153:170" x14ac:dyDescent="0.35">
      <c r="EW4086" s="48"/>
      <c r="FB4086" s="5"/>
      <c r="FI4086" s="5"/>
      <c r="FJ4086" s="164"/>
      <c r="FL4086" s="2"/>
      <c r="FN4086" s="2"/>
    </row>
    <row r="4087" spans="153:170" x14ac:dyDescent="0.35">
      <c r="EW4087" s="48"/>
      <c r="FB4087" s="5"/>
      <c r="FI4087" s="5"/>
      <c r="FJ4087" s="164"/>
      <c r="FL4087" s="2"/>
      <c r="FN4087" s="2"/>
    </row>
    <row r="4088" spans="153:170" x14ac:dyDescent="0.35">
      <c r="EW4088" s="48"/>
      <c r="FB4088" s="5"/>
      <c r="FI4088" s="5"/>
      <c r="FJ4088" s="164"/>
      <c r="FL4088" s="2"/>
      <c r="FN4088" s="2"/>
    </row>
    <row r="4089" spans="153:170" x14ac:dyDescent="0.35">
      <c r="EW4089" s="48"/>
      <c r="FB4089" s="5"/>
      <c r="FI4089" s="5"/>
      <c r="FJ4089" s="164"/>
      <c r="FL4089" s="2"/>
      <c r="FN4089" s="2"/>
    </row>
    <row r="4090" spans="153:170" x14ac:dyDescent="0.35">
      <c r="EW4090" s="48"/>
      <c r="FB4090" s="5"/>
      <c r="FI4090" s="5"/>
      <c r="FJ4090" s="164"/>
      <c r="FL4090" s="2"/>
      <c r="FN4090" s="2"/>
    </row>
    <row r="4091" spans="153:170" x14ac:dyDescent="0.35">
      <c r="EW4091" s="48"/>
      <c r="FB4091" s="5"/>
      <c r="FI4091" s="5"/>
      <c r="FJ4091" s="164"/>
      <c r="FL4091" s="2"/>
      <c r="FN4091" s="2"/>
    </row>
    <row r="4092" spans="153:170" x14ac:dyDescent="0.35">
      <c r="EW4092" s="48"/>
      <c r="FB4092" s="5"/>
      <c r="FI4092" s="5"/>
      <c r="FJ4092" s="164"/>
      <c r="FL4092" s="2"/>
      <c r="FN4092" s="2"/>
    </row>
    <row r="4093" spans="153:170" x14ac:dyDescent="0.35">
      <c r="EW4093" s="48"/>
      <c r="FB4093" s="5"/>
      <c r="FI4093" s="5"/>
      <c r="FJ4093" s="164"/>
      <c r="FL4093" s="2"/>
      <c r="FN4093" s="2"/>
    </row>
    <row r="4094" spans="153:170" x14ac:dyDescent="0.35">
      <c r="EW4094" s="48"/>
      <c r="FB4094" s="5"/>
      <c r="FI4094" s="5"/>
      <c r="FJ4094" s="164"/>
      <c r="FL4094" s="2"/>
      <c r="FN4094" s="2"/>
    </row>
    <row r="4095" spans="153:170" x14ac:dyDescent="0.35">
      <c r="EW4095" s="48"/>
      <c r="FB4095" s="5"/>
      <c r="FI4095" s="5"/>
      <c r="FJ4095" s="164"/>
      <c r="FL4095" s="2"/>
      <c r="FN4095" s="2"/>
    </row>
    <row r="4096" spans="153:170" x14ac:dyDescent="0.35">
      <c r="EW4096" s="48"/>
      <c r="FB4096" s="5"/>
      <c r="FI4096" s="5"/>
      <c r="FJ4096" s="164"/>
      <c r="FL4096" s="2"/>
      <c r="FN4096" s="2"/>
    </row>
    <row r="4097" spans="153:170" x14ac:dyDescent="0.35">
      <c r="EW4097" s="48"/>
      <c r="FB4097" s="5"/>
      <c r="FI4097" s="5"/>
      <c r="FJ4097" s="164"/>
      <c r="FL4097" s="2"/>
      <c r="FN4097" s="2"/>
    </row>
    <row r="4098" spans="153:170" x14ac:dyDescent="0.35">
      <c r="EW4098" s="48"/>
      <c r="FB4098" s="5"/>
      <c r="FI4098" s="5"/>
      <c r="FJ4098" s="164"/>
      <c r="FL4098" s="2"/>
      <c r="FN4098" s="2"/>
    </row>
    <row r="4099" spans="153:170" x14ac:dyDescent="0.35">
      <c r="EW4099" s="48"/>
      <c r="FB4099" s="5"/>
      <c r="FI4099" s="5"/>
      <c r="FJ4099" s="164"/>
      <c r="FL4099" s="2"/>
      <c r="FN4099" s="2"/>
    </row>
    <row r="4100" spans="153:170" x14ac:dyDescent="0.35">
      <c r="EW4100" s="48"/>
      <c r="FB4100" s="5"/>
      <c r="FI4100" s="5"/>
      <c r="FJ4100" s="164"/>
      <c r="FL4100" s="2"/>
      <c r="FN4100" s="2"/>
    </row>
    <row r="4101" spans="153:170" x14ac:dyDescent="0.35">
      <c r="EW4101" s="48"/>
      <c r="FB4101" s="5"/>
      <c r="FI4101" s="5"/>
      <c r="FJ4101" s="164"/>
      <c r="FL4101" s="2"/>
      <c r="FN4101" s="2"/>
    </row>
    <row r="4102" spans="153:170" x14ac:dyDescent="0.35">
      <c r="EW4102" s="48"/>
      <c r="FB4102" s="5"/>
      <c r="FI4102" s="5"/>
      <c r="FJ4102" s="164"/>
      <c r="FL4102" s="2"/>
      <c r="FN4102" s="2"/>
    </row>
    <row r="4103" spans="153:170" x14ac:dyDescent="0.35">
      <c r="EW4103" s="48"/>
      <c r="FB4103" s="5"/>
      <c r="FI4103" s="5"/>
      <c r="FJ4103" s="164"/>
      <c r="FL4103" s="2"/>
      <c r="FN4103" s="2"/>
    </row>
    <row r="4104" spans="153:170" x14ac:dyDescent="0.35">
      <c r="EW4104" s="48"/>
      <c r="FB4104" s="5"/>
      <c r="FI4104" s="5"/>
      <c r="FJ4104" s="164"/>
      <c r="FL4104" s="2"/>
      <c r="FN4104" s="2"/>
    </row>
    <row r="4105" spans="153:170" x14ac:dyDescent="0.35">
      <c r="EW4105" s="48"/>
      <c r="FB4105" s="5"/>
      <c r="FI4105" s="5"/>
      <c r="FJ4105" s="164"/>
      <c r="FL4105" s="2"/>
      <c r="FN4105" s="2"/>
    </row>
    <row r="4106" spans="153:170" x14ac:dyDescent="0.35">
      <c r="EW4106" s="48"/>
      <c r="FB4106" s="5"/>
      <c r="FI4106" s="5"/>
      <c r="FJ4106" s="164"/>
      <c r="FL4106" s="2"/>
      <c r="FN4106" s="2"/>
    </row>
    <row r="4107" spans="153:170" x14ac:dyDescent="0.35">
      <c r="EW4107" s="48"/>
      <c r="FB4107" s="5"/>
      <c r="FI4107" s="5"/>
      <c r="FJ4107" s="164"/>
      <c r="FL4107" s="2"/>
      <c r="FN4107" s="2"/>
    </row>
    <row r="4108" spans="153:170" x14ac:dyDescent="0.35">
      <c r="EW4108" s="48"/>
      <c r="FB4108" s="5"/>
      <c r="FI4108" s="5"/>
      <c r="FJ4108" s="164"/>
      <c r="FL4108" s="2"/>
      <c r="FN4108" s="2"/>
    </row>
    <row r="4109" spans="153:170" x14ac:dyDescent="0.35">
      <c r="EW4109" s="48"/>
      <c r="FB4109" s="5"/>
      <c r="FI4109" s="5"/>
      <c r="FJ4109" s="164"/>
      <c r="FL4109" s="2"/>
      <c r="FN4109" s="2"/>
    </row>
    <row r="4110" spans="153:170" x14ac:dyDescent="0.35">
      <c r="EW4110" s="48"/>
      <c r="FB4110" s="5"/>
      <c r="FI4110" s="5"/>
      <c r="FJ4110" s="164"/>
      <c r="FL4110" s="2"/>
      <c r="FN4110" s="2"/>
    </row>
    <row r="4111" spans="153:170" x14ac:dyDescent="0.35">
      <c r="EW4111" s="48"/>
      <c r="FB4111" s="5"/>
      <c r="FI4111" s="5"/>
      <c r="FJ4111" s="164"/>
      <c r="FL4111" s="2"/>
      <c r="FN4111" s="2"/>
    </row>
    <row r="4112" spans="153:170" x14ac:dyDescent="0.35">
      <c r="EW4112" s="48"/>
      <c r="FB4112" s="5"/>
      <c r="FI4112" s="5"/>
      <c r="FJ4112" s="164"/>
      <c r="FL4112" s="2"/>
      <c r="FN4112" s="2"/>
    </row>
    <row r="4113" spans="153:170" x14ac:dyDescent="0.35">
      <c r="EW4113" s="48"/>
      <c r="FB4113" s="5"/>
      <c r="FI4113" s="5"/>
      <c r="FJ4113" s="164"/>
      <c r="FL4113" s="2"/>
      <c r="FN4113" s="2"/>
    </row>
    <row r="4114" spans="153:170" x14ac:dyDescent="0.35">
      <c r="EW4114" s="48"/>
      <c r="FB4114" s="5"/>
      <c r="FI4114" s="5"/>
      <c r="FJ4114" s="164"/>
      <c r="FL4114" s="2"/>
      <c r="FN4114" s="2"/>
    </row>
    <row r="4115" spans="153:170" x14ac:dyDescent="0.35">
      <c r="EW4115" s="48"/>
      <c r="FB4115" s="5"/>
      <c r="FI4115" s="5"/>
      <c r="FJ4115" s="164"/>
      <c r="FL4115" s="2"/>
      <c r="FN4115" s="2"/>
    </row>
    <row r="4116" spans="153:170" x14ac:dyDescent="0.35">
      <c r="EW4116" s="48"/>
      <c r="FB4116" s="5"/>
      <c r="FI4116" s="5"/>
      <c r="FJ4116" s="164"/>
      <c r="FL4116" s="2"/>
      <c r="FN4116" s="2"/>
    </row>
    <row r="4117" spans="153:170" x14ac:dyDescent="0.35">
      <c r="EW4117" s="48"/>
      <c r="FB4117" s="5"/>
      <c r="FI4117" s="5"/>
      <c r="FJ4117" s="164"/>
      <c r="FL4117" s="2"/>
      <c r="FN4117" s="2"/>
    </row>
    <row r="4118" spans="153:170" x14ac:dyDescent="0.35">
      <c r="EW4118" s="48"/>
      <c r="FB4118" s="5"/>
      <c r="FI4118" s="5"/>
      <c r="FJ4118" s="164"/>
      <c r="FL4118" s="2"/>
      <c r="FN4118" s="2"/>
    </row>
    <row r="4119" spans="153:170" x14ac:dyDescent="0.35">
      <c r="EW4119" s="48"/>
      <c r="FB4119" s="5"/>
      <c r="FI4119" s="5"/>
      <c r="FJ4119" s="164"/>
      <c r="FL4119" s="2"/>
      <c r="FN4119" s="2"/>
    </row>
    <row r="4120" spans="153:170" x14ac:dyDescent="0.35">
      <c r="EW4120" s="48"/>
      <c r="FB4120" s="5"/>
      <c r="FI4120" s="5"/>
      <c r="FJ4120" s="164"/>
      <c r="FL4120" s="2"/>
      <c r="FN4120" s="2"/>
    </row>
    <row r="4121" spans="153:170" x14ac:dyDescent="0.35">
      <c r="EW4121" s="48"/>
      <c r="FB4121" s="5"/>
      <c r="FI4121" s="5"/>
      <c r="FJ4121" s="164"/>
      <c r="FL4121" s="2"/>
      <c r="FN4121" s="2"/>
    </row>
    <row r="4122" spans="153:170" x14ac:dyDescent="0.35">
      <c r="EW4122" s="48"/>
      <c r="FB4122" s="5"/>
      <c r="FI4122" s="5"/>
      <c r="FJ4122" s="164"/>
      <c r="FL4122" s="2"/>
      <c r="FN4122" s="2"/>
    </row>
    <row r="4123" spans="153:170" x14ac:dyDescent="0.35">
      <c r="EW4123" s="48"/>
      <c r="FB4123" s="5"/>
      <c r="FI4123" s="5"/>
      <c r="FJ4123" s="164"/>
      <c r="FL4123" s="2"/>
      <c r="FN4123" s="2"/>
    </row>
    <row r="4124" spans="153:170" x14ac:dyDescent="0.35">
      <c r="EW4124" s="48"/>
      <c r="FB4124" s="5"/>
      <c r="FI4124" s="5"/>
      <c r="FJ4124" s="164"/>
      <c r="FL4124" s="2"/>
      <c r="FN4124" s="2"/>
    </row>
    <row r="4125" spans="153:170" x14ac:dyDescent="0.35">
      <c r="EW4125" s="48"/>
      <c r="FB4125" s="5"/>
      <c r="FI4125" s="5"/>
      <c r="FJ4125" s="164"/>
      <c r="FL4125" s="2"/>
      <c r="FN4125" s="2"/>
    </row>
    <row r="4126" spans="153:170" x14ac:dyDescent="0.35">
      <c r="EW4126" s="48"/>
      <c r="FB4126" s="5"/>
      <c r="FI4126" s="5"/>
      <c r="FJ4126" s="164"/>
      <c r="FL4126" s="2"/>
      <c r="FN4126" s="2"/>
    </row>
    <row r="4127" spans="153:170" x14ac:dyDescent="0.35">
      <c r="EW4127" s="48"/>
      <c r="FB4127" s="5"/>
      <c r="FI4127" s="5"/>
      <c r="FJ4127" s="164"/>
      <c r="FL4127" s="2"/>
      <c r="FN4127" s="2"/>
    </row>
    <row r="4128" spans="153:170" x14ac:dyDescent="0.35">
      <c r="EW4128" s="48"/>
      <c r="FB4128" s="5"/>
      <c r="FI4128" s="5"/>
      <c r="FJ4128" s="164"/>
      <c r="FL4128" s="2"/>
      <c r="FN4128" s="2"/>
    </row>
    <row r="4129" spans="153:170" x14ac:dyDescent="0.35">
      <c r="EW4129" s="48"/>
      <c r="FB4129" s="5"/>
      <c r="FI4129" s="5"/>
      <c r="FJ4129" s="164"/>
      <c r="FL4129" s="2"/>
      <c r="FN4129" s="2"/>
    </row>
    <row r="4130" spans="153:170" x14ac:dyDescent="0.35">
      <c r="EW4130" s="48"/>
      <c r="FB4130" s="5"/>
      <c r="FI4130" s="5"/>
      <c r="FJ4130" s="164"/>
      <c r="FL4130" s="2"/>
      <c r="FN4130" s="2"/>
    </row>
    <row r="4131" spans="153:170" x14ac:dyDescent="0.35">
      <c r="EW4131" s="48"/>
      <c r="FB4131" s="5"/>
      <c r="FI4131" s="5"/>
      <c r="FJ4131" s="164"/>
      <c r="FL4131" s="2"/>
      <c r="FN4131" s="2"/>
    </row>
    <row r="4132" spans="153:170" x14ac:dyDescent="0.35">
      <c r="EW4132" s="48"/>
      <c r="FB4132" s="5"/>
      <c r="FI4132" s="5"/>
      <c r="FJ4132" s="164"/>
      <c r="FL4132" s="2"/>
      <c r="FN4132" s="2"/>
    </row>
    <row r="4133" spans="153:170" x14ac:dyDescent="0.35">
      <c r="EW4133" s="48"/>
      <c r="FB4133" s="5"/>
      <c r="FI4133" s="5"/>
      <c r="FJ4133" s="164"/>
      <c r="FL4133" s="2"/>
      <c r="FN4133" s="2"/>
    </row>
    <row r="4134" spans="153:170" x14ac:dyDescent="0.35">
      <c r="EW4134" s="48"/>
      <c r="FB4134" s="5"/>
      <c r="FI4134" s="5"/>
      <c r="FJ4134" s="164"/>
      <c r="FL4134" s="2"/>
      <c r="FN4134" s="2"/>
    </row>
    <row r="4135" spans="153:170" x14ac:dyDescent="0.35">
      <c r="EW4135" s="48"/>
      <c r="FB4135" s="5"/>
      <c r="FI4135" s="5"/>
      <c r="FJ4135" s="164"/>
      <c r="FL4135" s="2"/>
      <c r="FN4135" s="2"/>
    </row>
    <row r="4136" spans="153:170" x14ac:dyDescent="0.35">
      <c r="EW4136" s="48"/>
      <c r="FB4136" s="5"/>
      <c r="FI4136" s="5"/>
      <c r="FJ4136" s="164"/>
      <c r="FL4136" s="2"/>
      <c r="FN4136" s="2"/>
    </row>
    <row r="4137" spans="153:170" x14ac:dyDescent="0.35">
      <c r="EW4137" s="48"/>
      <c r="FB4137" s="5"/>
      <c r="FI4137" s="5"/>
      <c r="FJ4137" s="164"/>
      <c r="FL4137" s="2"/>
      <c r="FN4137" s="2"/>
    </row>
    <row r="4138" spans="153:170" x14ac:dyDescent="0.35">
      <c r="EW4138" s="48"/>
      <c r="FB4138" s="5"/>
      <c r="FI4138" s="5"/>
      <c r="FJ4138" s="164"/>
      <c r="FL4138" s="2"/>
      <c r="FN4138" s="2"/>
    </row>
    <row r="4139" spans="153:170" x14ac:dyDescent="0.35">
      <c r="EW4139" s="48"/>
      <c r="FB4139" s="5"/>
      <c r="FI4139" s="5"/>
      <c r="FJ4139" s="164"/>
      <c r="FL4139" s="2"/>
      <c r="FN4139" s="2"/>
    </row>
    <row r="4140" spans="153:170" x14ac:dyDescent="0.35">
      <c r="EW4140" s="48"/>
      <c r="FB4140" s="5"/>
      <c r="FI4140" s="5"/>
      <c r="FJ4140" s="164"/>
      <c r="FL4140" s="2"/>
      <c r="FN4140" s="2"/>
    </row>
    <row r="4141" spans="153:170" x14ac:dyDescent="0.35">
      <c r="EW4141" s="48"/>
      <c r="FB4141" s="5"/>
      <c r="FI4141" s="5"/>
      <c r="FJ4141" s="164"/>
      <c r="FL4141" s="2"/>
      <c r="FN4141" s="2"/>
    </row>
    <row r="4142" spans="153:170" x14ac:dyDescent="0.35">
      <c r="EW4142" s="48"/>
      <c r="FB4142" s="5"/>
      <c r="FI4142" s="5"/>
      <c r="FJ4142" s="164"/>
      <c r="FL4142" s="2"/>
      <c r="FN4142" s="2"/>
    </row>
    <row r="4143" spans="153:170" x14ac:dyDescent="0.35">
      <c r="EW4143" s="48"/>
      <c r="FB4143" s="5"/>
      <c r="FI4143" s="5"/>
      <c r="FJ4143" s="164"/>
      <c r="FL4143" s="2"/>
      <c r="FN4143" s="2"/>
    </row>
    <row r="4144" spans="153:170" x14ac:dyDescent="0.35">
      <c r="EW4144" s="48"/>
      <c r="FB4144" s="5"/>
      <c r="FI4144" s="5"/>
      <c r="FJ4144" s="164"/>
      <c r="FL4144" s="2"/>
      <c r="FN4144" s="2"/>
    </row>
    <row r="4145" spans="153:170" x14ac:dyDescent="0.35">
      <c r="EW4145" s="48"/>
      <c r="FB4145" s="5"/>
      <c r="FI4145" s="5"/>
      <c r="FJ4145" s="164"/>
      <c r="FL4145" s="2"/>
      <c r="FN4145" s="2"/>
    </row>
    <row r="4146" spans="153:170" x14ac:dyDescent="0.35">
      <c r="EW4146" s="48"/>
      <c r="FB4146" s="5"/>
      <c r="FI4146" s="5"/>
      <c r="FJ4146" s="164"/>
      <c r="FL4146" s="2"/>
      <c r="FN4146" s="2"/>
    </row>
    <row r="4147" spans="153:170" x14ac:dyDescent="0.35">
      <c r="EW4147" s="48"/>
      <c r="FB4147" s="5"/>
      <c r="FI4147" s="5"/>
      <c r="FJ4147" s="164"/>
      <c r="FL4147" s="2"/>
      <c r="FN4147" s="2"/>
    </row>
    <row r="4148" spans="153:170" x14ac:dyDescent="0.35">
      <c r="EW4148" s="48"/>
      <c r="FB4148" s="5"/>
      <c r="FI4148" s="5"/>
      <c r="FJ4148" s="164"/>
      <c r="FL4148" s="2"/>
      <c r="FN4148" s="2"/>
    </row>
    <row r="4149" spans="153:170" x14ac:dyDescent="0.35">
      <c r="EW4149" s="48"/>
      <c r="FB4149" s="5"/>
      <c r="FI4149" s="5"/>
      <c r="FJ4149" s="164"/>
      <c r="FL4149" s="2"/>
      <c r="FN4149" s="2"/>
    </row>
    <row r="4150" spans="153:170" x14ac:dyDescent="0.35">
      <c r="EW4150" s="48"/>
      <c r="FB4150" s="5"/>
      <c r="FI4150" s="5"/>
      <c r="FJ4150" s="164"/>
      <c r="FL4150" s="2"/>
      <c r="FN4150" s="2"/>
    </row>
    <row r="4151" spans="153:170" x14ac:dyDescent="0.35">
      <c r="EW4151" s="48"/>
      <c r="FB4151" s="5"/>
      <c r="FI4151" s="5"/>
      <c r="FJ4151" s="164"/>
      <c r="FL4151" s="2"/>
      <c r="FN4151" s="2"/>
    </row>
    <row r="4152" spans="153:170" x14ac:dyDescent="0.35">
      <c r="EW4152" s="48"/>
      <c r="FB4152" s="5"/>
      <c r="FI4152" s="5"/>
      <c r="FJ4152" s="164"/>
      <c r="FL4152" s="2"/>
      <c r="FN4152" s="2"/>
    </row>
    <row r="4153" spans="153:170" x14ac:dyDescent="0.35">
      <c r="EW4153" s="48"/>
      <c r="FB4153" s="5"/>
      <c r="FI4153" s="5"/>
      <c r="FJ4153" s="164"/>
      <c r="FL4153" s="2"/>
      <c r="FN4153" s="2"/>
    </row>
    <row r="4154" spans="153:170" x14ac:dyDescent="0.35">
      <c r="EW4154" s="48"/>
      <c r="FB4154" s="5"/>
      <c r="FI4154" s="5"/>
      <c r="FJ4154" s="164"/>
      <c r="FL4154" s="2"/>
      <c r="FN4154" s="2"/>
    </row>
    <row r="4155" spans="153:170" x14ac:dyDescent="0.35">
      <c r="EW4155" s="48"/>
      <c r="FB4155" s="5"/>
      <c r="FI4155" s="5"/>
      <c r="FJ4155" s="164"/>
      <c r="FL4155" s="2"/>
      <c r="FN4155" s="2"/>
    </row>
    <row r="4156" spans="153:170" x14ac:dyDescent="0.35">
      <c r="EW4156" s="48"/>
      <c r="FB4156" s="5"/>
      <c r="FI4156" s="5"/>
      <c r="FJ4156" s="164"/>
      <c r="FL4156" s="2"/>
      <c r="FN4156" s="2"/>
    </row>
    <row r="4157" spans="153:170" x14ac:dyDescent="0.35">
      <c r="EW4157" s="48"/>
      <c r="FB4157" s="5"/>
      <c r="FI4157" s="5"/>
      <c r="FJ4157" s="164"/>
      <c r="FL4157" s="2"/>
      <c r="FN4157" s="2"/>
    </row>
    <row r="4158" spans="153:170" x14ac:dyDescent="0.35">
      <c r="EW4158" s="48"/>
      <c r="FB4158" s="5"/>
      <c r="FI4158" s="5"/>
      <c r="FJ4158" s="164"/>
      <c r="FL4158" s="2"/>
      <c r="FN4158" s="2"/>
    </row>
    <row r="4159" spans="153:170" x14ac:dyDescent="0.35">
      <c r="EW4159" s="48"/>
      <c r="FB4159" s="5"/>
      <c r="FI4159" s="5"/>
      <c r="FJ4159" s="164"/>
      <c r="FL4159" s="2"/>
      <c r="FN4159" s="2"/>
    </row>
    <row r="4160" spans="153:170" x14ac:dyDescent="0.35">
      <c r="EW4160" s="48"/>
      <c r="FB4160" s="5"/>
      <c r="FI4160" s="5"/>
      <c r="FJ4160" s="164"/>
      <c r="FL4160" s="2"/>
      <c r="FN4160" s="2"/>
    </row>
    <row r="4161" spans="153:170" x14ac:dyDescent="0.35">
      <c r="EW4161" s="48"/>
      <c r="FB4161" s="5"/>
      <c r="FI4161" s="5"/>
      <c r="FJ4161" s="164"/>
      <c r="FL4161" s="2"/>
      <c r="FN4161" s="2"/>
    </row>
    <row r="4162" spans="153:170" x14ac:dyDescent="0.35">
      <c r="EW4162" s="48"/>
      <c r="FB4162" s="5"/>
      <c r="FI4162" s="5"/>
      <c r="FJ4162" s="164"/>
      <c r="FL4162" s="2"/>
      <c r="FN4162" s="2"/>
    </row>
    <row r="4163" spans="153:170" x14ac:dyDescent="0.35">
      <c r="EW4163" s="48"/>
      <c r="FB4163" s="5"/>
      <c r="FI4163" s="5"/>
      <c r="FJ4163" s="164"/>
      <c r="FL4163" s="2"/>
      <c r="FN4163" s="2"/>
    </row>
    <row r="4164" spans="153:170" x14ac:dyDescent="0.35">
      <c r="EW4164" s="48"/>
      <c r="FB4164" s="5"/>
      <c r="FI4164" s="5"/>
      <c r="FJ4164" s="164"/>
      <c r="FL4164" s="2"/>
      <c r="FN4164" s="2"/>
    </row>
    <row r="4165" spans="153:170" x14ac:dyDescent="0.35">
      <c r="EW4165" s="48"/>
      <c r="FB4165" s="5"/>
      <c r="FI4165" s="5"/>
      <c r="FJ4165" s="164"/>
      <c r="FL4165" s="2"/>
      <c r="FN4165" s="2"/>
    </row>
    <row r="4166" spans="153:170" x14ac:dyDescent="0.35">
      <c r="EW4166" s="48"/>
      <c r="FB4166" s="5"/>
      <c r="FI4166" s="5"/>
      <c r="FJ4166" s="164"/>
      <c r="FL4166" s="2"/>
      <c r="FN4166" s="2"/>
    </row>
    <row r="4167" spans="153:170" x14ac:dyDescent="0.35">
      <c r="EW4167" s="48"/>
      <c r="FB4167" s="5"/>
      <c r="FI4167" s="5"/>
      <c r="FJ4167" s="164"/>
      <c r="FL4167" s="2"/>
      <c r="FN4167" s="2"/>
    </row>
    <row r="4168" spans="153:170" x14ac:dyDescent="0.35">
      <c r="EW4168" s="48"/>
      <c r="FB4168" s="5"/>
      <c r="FI4168" s="5"/>
      <c r="FJ4168" s="164"/>
      <c r="FL4168" s="2"/>
      <c r="FN4168" s="2"/>
    </row>
    <row r="4169" spans="153:170" x14ac:dyDescent="0.35">
      <c r="EW4169" s="48"/>
      <c r="FB4169" s="5"/>
      <c r="FI4169" s="5"/>
      <c r="FJ4169" s="164"/>
      <c r="FL4169" s="2"/>
      <c r="FN4169" s="2"/>
    </row>
    <row r="4170" spans="153:170" x14ac:dyDescent="0.35">
      <c r="EW4170" s="48"/>
      <c r="FB4170" s="5"/>
      <c r="FI4170" s="5"/>
      <c r="FJ4170" s="164"/>
      <c r="FL4170" s="2"/>
      <c r="FN4170" s="2"/>
    </row>
    <row r="4171" spans="153:170" x14ac:dyDescent="0.35">
      <c r="EW4171" s="48"/>
      <c r="FB4171" s="5"/>
      <c r="FI4171" s="5"/>
      <c r="FJ4171" s="164"/>
      <c r="FL4171" s="2"/>
      <c r="FN4171" s="2"/>
    </row>
    <row r="4172" spans="153:170" x14ac:dyDescent="0.35">
      <c r="EW4172" s="48"/>
      <c r="FB4172" s="5"/>
      <c r="FI4172" s="5"/>
      <c r="FJ4172" s="164"/>
      <c r="FL4172" s="2"/>
      <c r="FN4172" s="2"/>
    </row>
    <row r="4173" spans="153:170" x14ac:dyDescent="0.35">
      <c r="EW4173" s="48"/>
      <c r="FB4173" s="5"/>
      <c r="FI4173" s="5"/>
      <c r="FJ4173" s="164"/>
      <c r="FL4173" s="2"/>
      <c r="FN4173" s="2"/>
    </row>
    <row r="4174" spans="153:170" x14ac:dyDescent="0.35">
      <c r="EW4174" s="48"/>
      <c r="FB4174" s="5"/>
      <c r="FI4174" s="5"/>
      <c r="FJ4174" s="164"/>
      <c r="FL4174" s="2"/>
      <c r="FN4174" s="2"/>
    </row>
    <row r="4175" spans="153:170" x14ac:dyDescent="0.35">
      <c r="EW4175" s="48"/>
      <c r="FB4175" s="5"/>
      <c r="FI4175" s="5"/>
      <c r="FJ4175" s="164"/>
      <c r="FL4175" s="2"/>
      <c r="FN4175" s="2"/>
    </row>
    <row r="4176" spans="153:170" x14ac:dyDescent="0.35">
      <c r="EW4176" s="48"/>
      <c r="FB4176" s="5"/>
      <c r="FI4176" s="5"/>
      <c r="FJ4176" s="164"/>
      <c r="FL4176" s="2"/>
      <c r="FN4176" s="2"/>
    </row>
    <row r="4177" spans="153:170" x14ac:dyDescent="0.35">
      <c r="EW4177" s="48"/>
      <c r="FB4177" s="5"/>
      <c r="FI4177" s="5"/>
      <c r="FJ4177" s="164"/>
      <c r="FL4177" s="2"/>
      <c r="FN4177" s="2"/>
    </row>
    <row r="4178" spans="153:170" x14ac:dyDescent="0.35">
      <c r="EW4178" s="48"/>
      <c r="FB4178" s="5"/>
      <c r="FI4178" s="5"/>
      <c r="FJ4178" s="164"/>
      <c r="FL4178" s="2"/>
      <c r="FN4178" s="2"/>
    </row>
    <row r="4179" spans="153:170" x14ac:dyDescent="0.35">
      <c r="EW4179" s="48"/>
      <c r="FB4179" s="5"/>
      <c r="FI4179" s="5"/>
      <c r="FJ4179" s="164"/>
      <c r="FL4179" s="2"/>
      <c r="FN4179" s="2"/>
    </row>
    <row r="4180" spans="153:170" x14ac:dyDescent="0.35">
      <c r="EW4180" s="48"/>
      <c r="FB4180" s="5"/>
      <c r="FI4180" s="5"/>
      <c r="FJ4180" s="164"/>
      <c r="FL4180" s="2"/>
      <c r="FN4180" s="2"/>
    </row>
    <row r="4181" spans="153:170" x14ac:dyDescent="0.35">
      <c r="EW4181" s="48"/>
      <c r="FB4181" s="5"/>
      <c r="FI4181" s="5"/>
      <c r="FJ4181" s="164"/>
      <c r="FL4181" s="2"/>
      <c r="FN4181" s="2"/>
    </row>
    <row r="4182" spans="153:170" x14ac:dyDescent="0.35">
      <c r="EW4182" s="48"/>
      <c r="FB4182" s="5"/>
      <c r="FI4182" s="5"/>
      <c r="FJ4182" s="164"/>
      <c r="FL4182" s="2"/>
      <c r="FN4182" s="2"/>
    </row>
    <row r="4183" spans="153:170" x14ac:dyDescent="0.35">
      <c r="EW4183" s="48"/>
      <c r="FB4183" s="5"/>
      <c r="FI4183" s="5"/>
      <c r="FJ4183" s="164"/>
      <c r="FL4183" s="2"/>
      <c r="FN4183" s="2"/>
    </row>
    <row r="4184" spans="153:170" x14ac:dyDescent="0.35">
      <c r="EW4184" s="48"/>
      <c r="FB4184" s="5"/>
      <c r="FI4184" s="5"/>
      <c r="FJ4184" s="164"/>
      <c r="FL4184" s="2"/>
      <c r="FN4184" s="2"/>
    </row>
    <row r="4185" spans="153:170" x14ac:dyDescent="0.35">
      <c r="EW4185" s="48"/>
      <c r="FB4185" s="5"/>
      <c r="FI4185" s="5"/>
      <c r="FJ4185" s="164"/>
      <c r="FL4185" s="2"/>
      <c r="FN4185" s="2"/>
    </row>
    <row r="4186" spans="153:170" x14ac:dyDescent="0.35">
      <c r="EW4186" s="48"/>
      <c r="FB4186" s="5"/>
      <c r="FI4186" s="5"/>
      <c r="FJ4186" s="164"/>
      <c r="FL4186" s="2"/>
      <c r="FN4186" s="2"/>
    </row>
    <row r="4187" spans="153:170" x14ac:dyDescent="0.35">
      <c r="EW4187" s="48"/>
      <c r="FB4187" s="5"/>
      <c r="FI4187" s="5"/>
      <c r="FJ4187" s="164"/>
      <c r="FL4187" s="2"/>
      <c r="FN4187" s="2"/>
    </row>
    <row r="4188" spans="153:170" x14ac:dyDescent="0.35">
      <c r="EW4188" s="48"/>
      <c r="FB4188" s="5"/>
      <c r="FI4188" s="5"/>
      <c r="FJ4188" s="164"/>
      <c r="FL4188" s="2"/>
      <c r="FN4188" s="2"/>
    </row>
    <row r="4189" spans="153:170" x14ac:dyDescent="0.35">
      <c r="EW4189" s="48"/>
      <c r="FB4189" s="5"/>
      <c r="FI4189" s="5"/>
      <c r="FJ4189" s="164"/>
      <c r="FL4189" s="2"/>
      <c r="FN4189" s="2"/>
    </row>
    <row r="4190" spans="153:170" x14ac:dyDescent="0.35">
      <c r="EW4190" s="48"/>
      <c r="FB4190" s="5"/>
      <c r="FI4190" s="5"/>
      <c r="FJ4190" s="164"/>
      <c r="FL4190" s="2"/>
      <c r="FN4190" s="2"/>
    </row>
    <row r="4191" spans="153:170" x14ac:dyDescent="0.35">
      <c r="EW4191" s="48"/>
      <c r="FB4191" s="5"/>
      <c r="FI4191" s="5"/>
      <c r="FJ4191" s="164"/>
      <c r="FL4191" s="2"/>
      <c r="FN4191" s="2"/>
    </row>
    <row r="4192" spans="153:170" x14ac:dyDescent="0.35">
      <c r="EW4192" s="48"/>
      <c r="FB4192" s="5"/>
      <c r="FI4192" s="5"/>
      <c r="FJ4192" s="164"/>
      <c r="FL4192" s="2"/>
      <c r="FN4192" s="2"/>
    </row>
    <row r="4193" spans="153:170" x14ac:dyDescent="0.35">
      <c r="EW4193" s="48"/>
      <c r="FB4193" s="5"/>
      <c r="FI4193" s="5"/>
      <c r="FJ4193" s="164"/>
      <c r="FL4193" s="2"/>
      <c r="FN4193" s="2"/>
    </row>
    <row r="4194" spans="153:170" x14ac:dyDescent="0.35">
      <c r="EW4194" s="48"/>
      <c r="FB4194" s="5"/>
      <c r="FI4194" s="5"/>
      <c r="FJ4194" s="164"/>
      <c r="FL4194" s="2"/>
      <c r="FN4194" s="2"/>
    </row>
    <row r="4195" spans="153:170" x14ac:dyDescent="0.35">
      <c r="EW4195" s="48"/>
      <c r="FB4195" s="5"/>
      <c r="FI4195" s="5"/>
      <c r="FJ4195" s="164"/>
      <c r="FL4195" s="2"/>
      <c r="FN4195" s="2"/>
    </row>
    <row r="4196" spans="153:170" x14ac:dyDescent="0.35">
      <c r="EW4196" s="48"/>
      <c r="FB4196" s="5"/>
      <c r="FI4196" s="5"/>
      <c r="FJ4196" s="164"/>
      <c r="FL4196" s="2"/>
      <c r="FN4196" s="2"/>
    </row>
    <row r="4197" spans="153:170" x14ac:dyDescent="0.35">
      <c r="EW4197" s="48"/>
      <c r="FB4197" s="5"/>
      <c r="FI4197" s="5"/>
      <c r="FJ4197" s="164"/>
      <c r="FL4197" s="2"/>
      <c r="FN4197" s="2"/>
    </row>
    <row r="4198" spans="153:170" x14ac:dyDescent="0.35">
      <c r="EW4198" s="48"/>
      <c r="FB4198" s="5"/>
      <c r="FI4198" s="5"/>
      <c r="FJ4198" s="164"/>
      <c r="FL4198" s="2"/>
      <c r="FN4198" s="2"/>
    </row>
    <row r="4199" spans="153:170" x14ac:dyDescent="0.35">
      <c r="EW4199" s="48"/>
      <c r="FB4199" s="5"/>
      <c r="FI4199" s="5"/>
      <c r="FJ4199" s="164"/>
      <c r="FL4199" s="2"/>
      <c r="FN4199" s="2"/>
    </row>
    <row r="4200" spans="153:170" x14ac:dyDescent="0.35">
      <c r="EW4200" s="48"/>
      <c r="FB4200" s="5"/>
      <c r="FI4200" s="5"/>
      <c r="FJ4200" s="164"/>
      <c r="FL4200" s="2"/>
      <c r="FN4200" s="2"/>
    </row>
    <row r="4201" spans="153:170" x14ac:dyDescent="0.35">
      <c r="EW4201" s="48"/>
      <c r="FB4201" s="5"/>
      <c r="FI4201" s="5"/>
      <c r="FJ4201" s="164"/>
      <c r="FL4201" s="2"/>
      <c r="FN4201" s="2"/>
    </row>
    <row r="4202" spans="153:170" x14ac:dyDescent="0.35">
      <c r="EW4202" s="48"/>
      <c r="FB4202" s="5"/>
      <c r="FI4202" s="5"/>
      <c r="FJ4202" s="164"/>
      <c r="FL4202" s="2"/>
      <c r="FN4202" s="2"/>
    </row>
    <row r="4203" spans="153:170" x14ac:dyDescent="0.35">
      <c r="EW4203" s="48"/>
      <c r="FB4203" s="5"/>
      <c r="FI4203" s="5"/>
      <c r="FJ4203" s="164"/>
      <c r="FL4203" s="2"/>
      <c r="FN4203" s="2"/>
    </row>
    <row r="4204" spans="153:170" x14ac:dyDescent="0.35">
      <c r="EW4204" s="48"/>
      <c r="FB4204" s="5"/>
      <c r="FI4204" s="5"/>
      <c r="FJ4204" s="164"/>
      <c r="FL4204" s="2"/>
      <c r="FN4204" s="2"/>
    </row>
    <row r="4205" spans="153:170" x14ac:dyDescent="0.35">
      <c r="EW4205" s="48"/>
      <c r="FB4205" s="5"/>
      <c r="FI4205" s="5"/>
      <c r="FJ4205" s="164"/>
      <c r="FL4205" s="2"/>
      <c r="FN4205" s="2"/>
    </row>
    <row r="4206" spans="153:170" x14ac:dyDescent="0.35">
      <c r="EW4206" s="48"/>
      <c r="FB4206" s="5"/>
      <c r="FI4206" s="5"/>
      <c r="FJ4206" s="164"/>
      <c r="FL4206" s="2"/>
      <c r="FN4206" s="2"/>
    </row>
    <row r="4207" spans="153:170" x14ac:dyDescent="0.35">
      <c r="EW4207" s="48"/>
      <c r="FB4207" s="5"/>
      <c r="FI4207" s="5"/>
      <c r="FJ4207" s="164"/>
      <c r="FL4207" s="2"/>
      <c r="FN4207" s="2"/>
    </row>
    <row r="4208" spans="153:170" x14ac:dyDescent="0.35">
      <c r="EW4208" s="48"/>
      <c r="FB4208" s="5"/>
      <c r="FI4208" s="5"/>
      <c r="FJ4208" s="164"/>
      <c r="FL4208" s="2"/>
      <c r="FN4208" s="2"/>
    </row>
    <row r="4209" spans="153:170" x14ac:dyDescent="0.35">
      <c r="EW4209" s="48"/>
      <c r="FB4209" s="5"/>
      <c r="FI4209" s="5"/>
      <c r="FJ4209" s="164"/>
      <c r="FL4209" s="2"/>
      <c r="FN4209" s="2"/>
    </row>
    <row r="4210" spans="153:170" x14ac:dyDescent="0.35">
      <c r="EW4210" s="48"/>
      <c r="FB4210" s="5"/>
      <c r="FI4210" s="5"/>
      <c r="FJ4210" s="164"/>
      <c r="FL4210" s="2"/>
      <c r="FN4210" s="2"/>
    </row>
    <row r="4211" spans="153:170" x14ac:dyDescent="0.35">
      <c r="EW4211" s="48"/>
      <c r="FB4211" s="5"/>
      <c r="FI4211" s="5"/>
      <c r="FJ4211" s="164"/>
      <c r="FL4211" s="2"/>
      <c r="FN4211" s="2"/>
    </row>
    <row r="4212" spans="153:170" x14ac:dyDescent="0.35">
      <c r="EW4212" s="48"/>
      <c r="FB4212" s="5"/>
      <c r="FI4212" s="5"/>
      <c r="FJ4212" s="164"/>
      <c r="FL4212" s="2"/>
      <c r="FN4212" s="2"/>
    </row>
    <row r="4213" spans="153:170" x14ac:dyDescent="0.35">
      <c r="EW4213" s="48"/>
      <c r="FB4213" s="5"/>
      <c r="FI4213" s="5"/>
      <c r="FJ4213" s="164"/>
      <c r="FL4213" s="2"/>
      <c r="FN4213" s="2"/>
    </row>
    <row r="4214" spans="153:170" x14ac:dyDescent="0.35">
      <c r="EW4214" s="48"/>
      <c r="FB4214" s="5"/>
      <c r="FI4214" s="5"/>
      <c r="FJ4214" s="164"/>
      <c r="FL4214" s="2"/>
      <c r="FN4214" s="2"/>
    </row>
    <row r="4215" spans="153:170" x14ac:dyDescent="0.35">
      <c r="EW4215" s="48"/>
      <c r="FB4215" s="5"/>
      <c r="FI4215" s="5"/>
      <c r="FJ4215" s="164"/>
      <c r="FL4215" s="2"/>
      <c r="FN4215" s="2"/>
    </row>
    <row r="4216" spans="153:170" x14ac:dyDescent="0.35">
      <c r="EW4216" s="48"/>
      <c r="FB4216" s="5"/>
      <c r="FI4216" s="5"/>
      <c r="FJ4216" s="164"/>
      <c r="FL4216" s="2"/>
      <c r="FN4216" s="2"/>
    </row>
    <row r="4217" spans="153:170" x14ac:dyDescent="0.35">
      <c r="EW4217" s="48"/>
      <c r="FB4217" s="5"/>
      <c r="FI4217" s="5"/>
      <c r="FJ4217" s="164"/>
      <c r="FL4217" s="2"/>
      <c r="FN4217" s="2"/>
    </row>
    <row r="4218" spans="153:170" x14ac:dyDescent="0.35">
      <c r="EW4218" s="48"/>
      <c r="FB4218" s="5"/>
      <c r="FI4218" s="5"/>
      <c r="FJ4218" s="164"/>
      <c r="FL4218" s="2"/>
      <c r="FN4218" s="2"/>
    </row>
    <row r="4219" spans="153:170" x14ac:dyDescent="0.35">
      <c r="EW4219" s="48"/>
      <c r="FB4219" s="5"/>
      <c r="FI4219" s="5"/>
      <c r="FJ4219" s="164"/>
      <c r="FL4219" s="2"/>
      <c r="FN4219" s="2"/>
    </row>
    <row r="4220" spans="153:170" x14ac:dyDescent="0.35">
      <c r="EW4220" s="48"/>
      <c r="FB4220" s="5"/>
      <c r="FI4220" s="5"/>
      <c r="FJ4220" s="164"/>
      <c r="FL4220" s="2"/>
      <c r="FN4220" s="2"/>
    </row>
    <row r="4221" spans="153:170" x14ac:dyDescent="0.35">
      <c r="EW4221" s="48"/>
      <c r="FB4221" s="5"/>
      <c r="FI4221" s="5"/>
      <c r="FJ4221" s="164"/>
      <c r="FL4221" s="2"/>
      <c r="FN4221" s="2"/>
    </row>
    <row r="4222" spans="153:170" x14ac:dyDescent="0.35">
      <c r="EW4222" s="48"/>
      <c r="FB4222" s="5"/>
      <c r="FI4222" s="5"/>
      <c r="FJ4222" s="164"/>
      <c r="FL4222" s="2"/>
      <c r="FN4222" s="2"/>
    </row>
    <row r="4223" spans="153:170" x14ac:dyDescent="0.35">
      <c r="EW4223" s="48"/>
      <c r="FB4223" s="5"/>
      <c r="FI4223" s="5"/>
      <c r="FJ4223" s="164"/>
      <c r="FL4223" s="2"/>
      <c r="FN4223" s="2"/>
    </row>
    <row r="4224" spans="153:170" x14ac:dyDescent="0.35">
      <c r="EW4224" s="48"/>
      <c r="FB4224" s="5"/>
      <c r="FI4224" s="5"/>
      <c r="FJ4224" s="164"/>
      <c r="FL4224" s="2"/>
      <c r="FN4224" s="2"/>
    </row>
    <row r="4225" spans="153:170" x14ac:dyDescent="0.35">
      <c r="EW4225" s="48"/>
      <c r="FB4225" s="5"/>
      <c r="FI4225" s="5"/>
      <c r="FJ4225" s="164"/>
      <c r="FL4225" s="2"/>
      <c r="FN4225" s="2"/>
    </row>
    <row r="4226" spans="153:170" x14ac:dyDescent="0.35">
      <c r="EW4226" s="48"/>
      <c r="FB4226" s="5"/>
      <c r="FI4226" s="5"/>
      <c r="FJ4226" s="164"/>
      <c r="FL4226" s="2"/>
      <c r="FN4226" s="2"/>
    </row>
    <row r="4227" spans="153:170" x14ac:dyDescent="0.35">
      <c r="EW4227" s="48"/>
      <c r="FB4227" s="5"/>
      <c r="FI4227" s="5"/>
      <c r="FJ4227" s="164"/>
      <c r="FL4227" s="2"/>
      <c r="FN4227" s="2"/>
    </row>
    <row r="4228" spans="153:170" x14ac:dyDescent="0.35">
      <c r="EW4228" s="48"/>
      <c r="FB4228" s="5"/>
      <c r="FI4228" s="5"/>
      <c r="FJ4228" s="164"/>
      <c r="FL4228" s="2"/>
      <c r="FN4228" s="2"/>
    </row>
    <row r="4229" spans="153:170" x14ac:dyDescent="0.35">
      <c r="EW4229" s="48"/>
      <c r="FB4229" s="5"/>
      <c r="FI4229" s="5"/>
      <c r="FJ4229" s="164"/>
      <c r="FL4229" s="2"/>
      <c r="FN4229" s="2"/>
    </row>
    <row r="4230" spans="153:170" x14ac:dyDescent="0.35">
      <c r="EW4230" s="48"/>
      <c r="FB4230" s="5"/>
      <c r="FI4230" s="5"/>
      <c r="FJ4230" s="164"/>
      <c r="FL4230" s="2"/>
      <c r="FN4230" s="2"/>
    </row>
    <row r="4231" spans="153:170" x14ac:dyDescent="0.35">
      <c r="EW4231" s="48"/>
      <c r="FB4231" s="5"/>
      <c r="FI4231" s="5"/>
      <c r="FJ4231" s="164"/>
      <c r="FL4231" s="2"/>
      <c r="FN4231" s="2"/>
    </row>
    <row r="4232" spans="153:170" x14ac:dyDescent="0.35">
      <c r="EW4232" s="48"/>
      <c r="FB4232" s="5"/>
      <c r="FI4232" s="5"/>
      <c r="FJ4232" s="164"/>
      <c r="FL4232" s="2"/>
      <c r="FN4232" s="2"/>
    </row>
    <row r="4233" spans="153:170" x14ac:dyDescent="0.35">
      <c r="EW4233" s="48"/>
      <c r="FB4233" s="5"/>
      <c r="FI4233" s="5"/>
      <c r="FJ4233" s="164"/>
      <c r="FL4233" s="2"/>
      <c r="FN4233" s="2"/>
    </row>
    <row r="4234" spans="153:170" x14ac:dyDescent="0.35">
      <c r="EW4234" s="48"/>
      <c r="FB4234" s="5"/>
      <c r="FI4234" s="5"/>
      <c r="FJ4234" s="164"/>
      <c r="FL4234" s="2"/>
      <c r="FN4234" s="2"/>
    </row>
    <row r="4235" spans="153:170" x14ac:dyDescent="0.35">
      <c r="EW4235" s="48"/>
      <c r="FB4235" s="5"/>
      <c r="FI4235" s="5"/>
      <c r="FJ4235" s="164"/>
      <c r="FL4235" s="2"/>
      <c r="FN4235" s="2"/>
    </row>
    <row r="4236" spans="153:170" x14ac:dyDescent="0.35">
      <c r="EW4236" s="48"/>
      <c r="FB4236" s="5"/>
      <c r="FI4236" s="5"/>
      <c r="FJ4236" s="164"/>
      <c r="FL4236" s="2"/>
      <c r="FN4236" s="2"/>
    </row>
    <row r="4237" spans="153:170" x14ac:dyDescent="0.35">
      <c r="EW4237" s="48"/>
      <c r="FB4237" s="5"/>
      <c r="FI4237" s="5"/>
      <c r="FJ4237" s="164"/>
      <c r="FL4237" s="2"/>
      <c r="FN4237" s="2"/>
    </row>
    <row r="4238" spans="153:170" x14ac:dyDescent="0.35">
      <c r="EW4238" s="48"/>
      <c r="FB4238" s="5"/>
      <c r="FI4238" s="5"/>
      <c r="FJ4238" s="164"/>
      <c r="FL4238" s="2"/>
      <c r="FN4238" s="2"/>
    </row>
    <row r="4239" spans="153:170" x14ac:dyDescent="0.35">
      <c r="EW4239" s="48"/>
      <c r="FB4239" s="5"/>
      <c r="FI4239" s="5"/>
      <c r="FJ4239" s="164"/>
      <c r="FL4239" s="2"/>
      <c r="FN4239" s="2"/>
    </row>
    <row r="4240" spans="153:170" x14ac:dyDescent="0.35">
      <c r="EW4240" s="48"/>
      <c r="FB4240" s="5"/>
      <c r="FI4240" s="5"/>
      <c r="FJ4240" s="164"/>
      <c r="FL4240" s="2"/>
      <c r="FN4240" s="2"/>
    </row>
    <row r="4241" spans="153:170" x14ac:dyDescent="0.35">
      <c r="EW4241" s="48"/>
      <c r="FB4241" s="5"/>
      <c r="FI4241" s="5"/>
      <c r="FJ4241" s="164"/>
      <c r="FL4241" s="2"/>
      <c r="FN4241" s="2"/>
    </row>
    <row r="4242" spans="153:170" x14ac:dyDescent="0.35">
      <c r="EW4242" s="48"/>
      <c r="FB4242" s="5"/>
      <c r="FI4242" s="5"/>
      <c r="FJ4242" s="164"/>
      <c r="FL4242" s="2"/>
      <c r="FN4242" s="2"/>
    </row>
    <row r="4243" spans="153:170" x14ac:dyDescent="0.35">
      <c r="EW4243" s="48"/>
      <c r="FB4243" s="5"/>
      <c r="FI4243" s="5"/>
      <c r="FJ4243" s="164"/>
      <c r="FL4243" s="2"/>
      <c r="FN4243" s="2"/>
    </row>
    <row r="4244" spans="153:170" x14ac:dyDescent="0.35">
      <c r="EW4244" s="48"/>
      <c r="FB4244" s="5"/>
      <c r="FI4244" s="5"/>
      <c r="FJ4244" s="164"/>
      <c r="FL4244" s="2"/>
      <c r="FN4244" s="2"/>
    </row>
    <row r="4245" spans="153:170" x14ac:dyDescent="0.35">
      <c r="EW4245" s="48"/>
      <c r="FB4245" s="5"/>
      <c r="FI4245" s="5"/>
      <c r="FJ4245" s="164"/>
      <c r="FL4245" s="2"/>
      <c r="FN4245" s="2"/>
    </row>
    <row r="4246" spans="153:170" x14ac:dyDescent="0.35">
      <c r="EW4246" s="48"/>
      <c r="FB4246" s="5"/>
      <c r="FI4246" s="5"/>
      <c r="FJ4246" s="164"/>
      <c r="FL4246" s="2"/>
      <c r="FN4246" s="2"/>
    </row>
    <row r="4247" spans="153:170" x14ac:dyDescent="0.35">
      <c r="EW4247" s="48"/>
      <c r="FB4247" s="5"/>
      <c r="FI4247" s="5"/>
      <c r="FJ4247" s="164"/>
      <c r="FL4247" s="2"/>
      <c r="FN4247" s="2"/>
    </row>
    <row r="4248" spans="153:170" x14ac:dyDescent="0.35">
      <c r="EW4248" s="48"/>
      <c r="FB4248" s="5"/>
      <c r="FI4248" s="5"/>
      <c r="FJ4248" s="164"/>
      <c r="FL4248" s="2"/>
      <c r="FN4248" s="2"/>
    </row>
    <row r="4249" spans="153:170" x14ac:dyDescent="0.35">
      <c r="EW4249" s="48"/>
      <c r="FB4249" s="5"/>
      <c r="FI4249" s="5"/>
      <c r="FJ4249" s="164"/>
      <c r="FL4249" s="2"/>
      <c r="FN4249" s="2"/>
    </row>
    <row r="4250" spans="153:170" x14ac:dyDescent="0.35">
      <c r="EW4250" s="48"/>
      <c r="FB4250" s="5"/>
      <c r="FI4250" s="5"/>
      <c r="FJ4250" s="164"/>
      <c r="FL4250" s="2"/>
      <c r="FN4250" s="2"/>
    </row>
    <row r="4251" spans="153:170" x14ac:dyDescent="0.35">
      <c r="EW4251" s="48"/>
      <c r="FB4251" s="5"/>
      <c r="FI4251" s="5"/>
      <c r="FJ4251" s="164"/>
      <c r="FL4251" s="2"/>
      <c r="FN4251" s="2"/>
    </row>
    <row r="4252" spans="153:170" x14ac:dyDescent="0.35">
      <c r="EW4252" s="48"/>
      <c r="FB4252" s="5"/>
      <c r="FI4252" s="5"/>
      <c r="FJ4252" s="164"/>
      <c r="FL4252" s="2"/>
      <c r="FN4252" s="2"/>
    </row>
    <row r="4253" spans="153:170" x14ac:dyDescent="0.35">
      <c r="EW4253" s="48"/>
      <c r="FB4253" s="5"/>
      <c r="FI4253" s="5"/>
      <c r="FJ4253" s="164"/>
      <c r="FL4253" s="2"/>
      <c r="FN4253" s="2"/>
    </row>
    <row r="4254" spans="153:170" x14ac:dyDescent="0.35">
      <c r="EW4254" s="48"/>
      <c r="FB4254" s="5"/>
      <c r="FI4254" s="5"/>
      <c r="FJ4254" s="164"/>
      <c r="FL4254" s="2"/>
      <c r="FN4254" s="2"/>
    </row>
    <row r="4255" spans="153:170" x14ac:dyDescent="0.35">
      <c r="EW4255" s="48"/>
      <c r="FB4255" s="5"/>
      <c r="FI4255" s="5"/>
      <c r="FJ4255" s="164"/>
      <c r="FL4255" s="2"/>
      <c r="FN4255" s="2"/>
    </row>
    <row r="4256" spans="153:170" x14ac:dyDescent="0.35">
      <c r="EW4256" s="48"/>
      <c r="FB4256" s="5"/>
      <c r="FI4256" s="5"/>
      <c r="FJ4256" s="164"/>
      <c r="FL4256" s="2"/>
      <c r="FN4256" s="2"/>
    </row>
    <row r="4257" spans="153:170" x14ac:dyDescent="0.35">
      <c r="EW4257" s="48"/>
      <c r="FB4257" s="5"/>
      <c r="FI4257" s="5"/>
      <c r="FJ4257" s="164"/>
      <c r="FL4257" s="2"/>
      <c r="FN4257" s="2"/>
    </row>
    <row r="4258" spans="153:170" x14ac:dyDescent="0.35">
      <c r="EW4258" s="48"/>
      <c r="FB4258" s="5"/>
      <c r="FI4258" s="5"/>
      <c r="FJ4258" s="164"/>
      <c r="FL4258" s="2"/>
      <c r="FN4258" s="2"/>
    </row>
    <row r="4259" spans="153:170" x14ac:dyDescent="0.35">
      <c r="EW4259" s="48"/>
      <c r="FB4259" s="5"/>
      <c r="FI4259" s="5"/>
      <c r="FJ4259" s="164"/>
      <c r="FL4259" s="2"/>
      <c r="FN4259" s="2"/>
    </row>
    <row r="4260" spans="153:170" x14ac:dyDescent="0.35">
      <c r="EW4260" s="48"/>
      <c r="FB4260" s="5"/>
      <c r="FI4260" s="5"/>
      <c r="FJ4260" s="164"/>
      <c r="FL4260" s="2"/>
      <c r="FN4260" s="2"/>
    </row>
    <row r="4261" spans="153:170" x14ac:dyDescent="0.35">
      <c r="EW4261" s="48"/>
      <c r="FB4261" s="5"/>
      <c r="FI4261" s="5"/>
      <c r="FJ4261" s="164"/>
      <c r="FL4261" s="2"/>
      <c r="FN4261" s="2"/>
    </row>
    <row r="4262" spans="153:170" x14ac:dyDescent="0.35">
      <c r="EW4262" s="48"/>
      <c r="FB4262" s="5"/>
      <c r="FI4262" s="5"/>
      <c r="FJ4262" s="164"/>
      <c r="FL4262" s="2"/>
      <c r="FN4262" s="2"/>
    </row>
    <row r="4263" spans="153:170" x14ac:dyDescent="0.35">
      <c r="EW4263" s="48"/>
      <c r="FB4263" s="5"/>
      <c r="FI4263" s="5"/>
      <c r="FJ4263" s="164"/>
      <c r="FL4263" s="2"/>
      <c r="FN4263" s="2"/>
    </row>
    <row r="4264" spans="153:170" x14ac:dyDescent="0.35">
      <c r="EW4264" s="48"/>
      <c r="FB4264" s="5"/>
      <c r="FI4264" s="5"/>
      <c r="FJ4264" s="164"/>
      <c r="FL4264" s="2"/>
      <c r="FN4264" s="2"/>
    </row>
    <row r="4265" spans="153:170" x14ac:dyDescent="0.35">
      <c r="EW4265" s="48"/>
      <c r="FB4265" s="5"/>
      <c r="FI4265" s="5"/>
      <c r="FJ4265" s="164"/>
      <c r="FL4265" s="2"/>
      <c r="FN4265" s="2"/>
    </row>
    <row r="4266" spans="153:170" x14ac:dyDescent="0.35">
      <c r="EW4266" s="48"/>
      <c r="FB4266" s="5"/>
      <c r="FI4266" s="5"/>
      <c r="FJ4266" s="164"/>
      <c r="FL4266" s="2"/>
      <c r="FN4266" s="2"/>
    </row>
    <row r="4267" spans="153:170" x14ac:dyDescent="0.35">
      <c r="EW4267" s="48"/>
      <c r="FB4267" s="5"/>
      <c r="FI4267" s="5"/>
      <c r="FJ4267" s="164"/>
      <c r="FL4267" s="2"/>
      <c r="FN4267" s="2"/>
    </row>
    <row r="4268" spans="153:170" x14ac:dyDescent="0.35">
      <c r="EW4268" s="48"/>
      <c r="FB4268" s="5"/>
      <c r="FI4268" s="5"/>
      <c r="FJ4268" s="164"/>
      <c r="FL4268" s="2"/>
      <c r="FN4268" s="2"/>
    </row>
    <row r="4269" spans="153:170" x14ac:dyDescent="0.35">
      <c r="EW4269" s="48"/>
      <c r="FB4269" s="5"/>
      <c r="FI4269" s="5"/>
      <c r="FJ4269" s="164"/>
      <c r="FL4269" s="2"/>
      <c r="FN4269" s="2"/>
    </row>
    <row r="4270" spans="153:170" x14ac:dyDescent="0.35">
      <c r="EW4270" s="48"/>
      <c r="FB4270" s="5"/>
      <c r="FI4270" s="5"/>
      <c r="FJ4270" s="164"/>
      <c r="FL4270" s="2"/>
      <c r="FN4270" s="2"/>
    </row>
    <row r="4271" spans="153:170" x14ac:dyDescent="0.35">
      <c r="EW4271" s="48"/>
      <c r="FB4271" s="5"/>
      <c r="FI4271" s="5"/>
      <c r="FJ4271" s="164"/>
      <c r="FL4271" s="2"/>
      <c r="FN4271" s="2"/>
    </row>
    <row r="4272" spans="153:170" x14ac:dyDescent="0.35">
      <c r="EW4272" s="48"/>
      <c r="FB4272" s="5"/>
      <c r="FI4272" s="5"/>
      <c r="FJ4272" s="164"/>
      <c r="FL4272" s="2"/>
      <c r="FN4272" s="2"/>
    </row>
    <row r="4273" spans="153:170" x14ac:dyDescent="0.35">
      <c r="EW4273" s="48"/>
      <c r="FB4273" s="5"/>
      <c r="FI4273" s="5"/>
      <c r="FJ4273" s="164"/>
      <c r="FL4273" s="2"/>
      <c r="FN4273" s="2"/>
    </row>
    <row r="4274" spans="153:170" x14ac:dyDescent="0.35">
      <c r="EW4274" s="48"/>
      <c r="FB4274" s="5"/>
      <c r="FI4274" s="5"/>
      <c r="FJ4274" s="164"/>
      <c r="FL4274" s="2"/>
      <c r="FN4274" s="2"/>
    </row>
    <row r="4275" spans="153:170" x14ac:dyDescent="0.35">
      <c r="EW4275" s="48"/>
      <c r="FB4275" s="5"/>
      <c r="FI4275" s="5"/>
      <c r="FJ4275" s="164"/>
      <c r="FL4275" s="2"/>
      <c r="FN4275" s="2"/>
    </row>
    <row r="4276" spans="153:170" x14ac:dyDescent="0.35">
      <c r="EW4276" s="48"/>
      <c r="FB4276" s="5"/>
      <c r="FI4276" s="5"/>
      <c r="FJ4276" s="164"/>
      <c r="FL4276" s="2"/>
      <c r="FN4276" s="2"/>
    </row>
    <row r="4277" spans="153:170" x14ac:dyDescent="0.35">
      <c r="EW4277" s="48"/>
      <c r="FB4277" s="5"/>
      <c r="FI4277" s="5"/>
      <c r="FJ4277" s="164"/>
      <c r="FL4277" s="2"/>
      <c r="FN4277" s="2"/>
    </row>
    <row r="4278" spans="153:170" x14ac:dyDescent="0.35">
      <c r="EW4278" s="48"/>
      <c r="FB4278" s="5"/>
      <c r="FI4278" s="5"/>
      <c r="FJ4278" s="164"/>
      <c r="FL4278" s="2"/>
      <c r="FN4278" s="2"/>
    </row>
    <row r="4279" spans="153:170" x14ac:dyDescent="0.35">
      <c r="EW4279" s="48"/>
      <c r="FB4279" s="5"/>
      <c r="FI4279" s="5"/>
      <c r="FJ4279" s="164"/>
      <c r="FL4279" s="2"/>
      <c r="FN4279" s="2"/>
    </row>
    <row r="4280" spans="153:170" x14ac:dyDescent="0.35">
      <c r="EW4280" s="48"/>
      <c r="FB4280" s="5"/>
      <c r="FI4280" s="5"/>
      <c r="FJ4280" s="164"/>
      <c r="FL4280" s="2"/>
      <c r="FN4280" s="2"/>
    </row>
    <row r="4281" spans="153:170" x14ac:dyDescent="0.35">
      <c r="EW4281" s="48"/>
      <c r="FB4281" s="5"/>
      <c r="FI4281" s="5"/>
      <c r="FJ4281" s="164"/>
      <c r="FL4281" s="2"/>
      <c r="FN4281" s="2"/>
    </row>
    <row r="4282" spans="153:170" x14ac:dyDescent="0.35">
      <c r="EW4282" s="48"/>
      <c r="FB4282" s="5"/>
      <c r="FI4282" s="5"/>
      <c r="FJ4282" s="164"/>
      <c r="FL4282" s="2"/>
      <c r="FN4282" s="2"/>
    </row>
    <row r="4283" spans="153:170" x14ac:dyDescent="0.35">
      <c r="EW4283" s="48"/>
      <c r="FB4283" s="5"/>
      <c r="FI4283" s="5"/>
      <c r="FJ4283" s="164"/>
      <c r="FL4283" s="2"/>
      <c r="FN4283" s="2"/>
    </row>
    <row r="4284" spans="153:170" x14ac:dyDescent="0.35">
      <c r="EW4284" s="48"/>
      <c r="FB4284" s="5"/>
      <c r="FI4284" s="5"/>
      <c r="FJ4284" s="164"/>
      <c r="FL4284" s="2"/>
      <c r="FN4284" s="2"/>
    </row>
    <row r="4285" spans="153:170" x14ac:dyDescent="0.35">
      <c r="EW4285" s="48"/>
      <c r="FB4285" s="5"/>
      <c r="FI4285" s="5"/>
      <c r="FJ4285" s="164"/>
      <c r="FL4285" s="2"/>
      <c r="FN4285" s="2"/>
    </row>
    <row r="4286" spans="153:170" x14ac:dyDescent="0.35">
      <c r="EW4286" s="48"/>
      <c r="FB4286" s="5"/>
      <c r="FI4286" s="5"/>
      <c r="FJ4286" s="164"/>
      <c r="FL4286" s="2"/>
      <c r="FN4286" s="2"/>
    </row>
    <row r="4287" spans="153:170" x14ac:dyDescent="0.35">
      <c r="EW4287" s="48"/>
      <c r="FB4287" s="5"/>
      <c r="FI4287" s="5"/>
      <c r="FJ4287" s="164"/>
      <c r="FL4287" s="2"/>
      <c r="FN4287" s="2"/>
    </row>
    <row r="4288" spans="153:170" x14ac:dyDescent="0.35">
      <c r="EW4288" s="48"/>
      <c r="FB4288" s="5"/>
      <c r="FI4288" s="5"/>
      <c r="FJ4288" s="164"/>
      <c r="FL4288" s="2"/>
      <c r="FN4288" s="2"/>
    </row>
    <row r="4289" spans="153:170" x14ac:dyDescent="0.35">
      <c r="EW4289" s="48"/>
      <c r="FB4289" s="5"/>
      <c r="FI4289" s="5"/>
      <c r="FJ4289" s="164"/>
      <c r="FL4289" s="2"/>
      <c r="FN4289" s="2"/>
    </row>
    <row r="4290" spans="153:170" x14ac:dyDescent="0.35">
      <c r="EW4290" s="48"/>
      <c r="FB4290" s="5"/>
      <c r="FI4290" s="5"/>
      <c r="FJ4290" s="164"/>
      <c r="FL4290" s="2"/>
      <c r="FN4290" s="2"/>
    </row>
    <row r="4291" spans="153:170" x14ac:dyDescent="0.35">
      <c r="EW4291" s="48"/>
      <c r="FB4291" s="5"/>
      <c r="FI4291" s="5"/>
      <c r="FJ4291" s="164"/>
      <c r="FL4291" s="2"/>
      <c r="FN4291" s="2"/>
    </row>
    <row r="4292" spans="153:170" x14ac:dyDescent="0.35">
      <c r="EW4292" s="48"/>
      <c r="FB4292" s="5"/>
      <c r="FI4292" s="5"/>
      <c r="FJ4292" s="164"/>
      <c r="FL4292" s="2"/>
      <c r="FN4292" s="2"/>
    </row>
    <row r="4293" spans="153:170" x14ac:dyDescent="0.35">
      <c r="EW4293" s="48"/>
      <c r="FB4293" s="5"/>
      <c r="FI4293" s="5"/>
      <c r="FJ4293" s="164"/>
      <c r="FL4293" s="2"/>
      <c r="FN4293" s="2"/>
    </row>
    <row r="4294" spans="153:170" x14ac:dyDescent="0.35">
      <c r="EW4294" s="48"/>
      <c r="FB4294" s="5"/>
      <c r="FI4294" s="5"/>
      <c r="FJ4294" s="164"/>
      <c r="FL4294" s="2"/>
      <c r="FN4294" s="2"/>
    </row>
    <row r="4295" spans="153:170" x14ac:dyDescent="0.35">
      <c r="EW4295" s="48"/>
      <c r="FB4295" s="5"/>
      <c r="FI4295" s="5"/>
      <c r="FJ4295" s="164"/>
      <c r="FL4295" s="2"/>
      <c r="FN4295" s="2"/>
    </row>
    <row r="4296" spans="153:170" x14ac:dyDescent="0.35">
      <c r="EW4296" s="48"/>
      <c r="FB4296" s="5"/>
      <c r="FI4296" s="5"/>
      <c r="FJ4296" s="164"/>
      <c r="FL4296" s="2"/>
      <c r="FN4296" s="2"/>
    </row>
    <row r="4297" spans="153:170" x14ac:dyDescent="0.35">
      <c r="EW4297" s="48"/>
      <c r="FB4297" s="5"/>
      <c r="FI4297" s="5"/>
      <c r="FJ4297" s="164"/>
      <c r="FL4297" s="2"/>
      <c r="FN4297" s="2"/>
    </row>
    <row r="4298" spans="153:170" x14ac:dyDescent="0.35">
      <c r="EW4298" s="48"/>
      <c r="FB4298" s="5"/>
      <c r="FI4298" s="5"/>
      <c r="FJ4298" s="164"/>
      <c r="FL4298" s="2"/>
      <c r="FN4298" s="2"/>
    </row>
    <row r="4299" spans="153:170" x14ac:dyDescent="0.35">
      <c r="EW4299" s="48"/>
      <c r="FB4299" s="5"/>
      <c r="FI4299" s="5"/>
      <c r="FJ4299" s="164"/>
      <c r="FL4299" s="2"/>
      <c r="FN4299" s="2"/>
    </row>
    <row r="4300" spans="153:170" x14ac:dyDescent="0.35">
      <c r="EW4300" s="48"/>
      <c r="FB4300" s="5"/>
      <c r="FI4300" s="5"/>
      <c r="FJ4300" s="164"/>
      <c r="FL4300" s="2"/>
      <c r="FN4300" s="2"/>
    </row>
    <row r="4301" spans="153:170" x14ac:dyDescent="0.35">
      <c r="EW4301" s="48"/>
      <c r="FB4301" s="5"/>
      <c r="FI4301" s="5"/>
      <c r="FJ4301" s="164"/>
      <c r="FL4301" s="2"/>
      <c r="FN4301" s="2"/>
    </row>
    <row r="4302" spans="153:170" x14ac:dyDescent="0.35">
      <c r="EW4302" s="48"/>
      <c r="FB4302" s="5"/>
      <c r="FI4302" s="5"/>
      <c r="FJ4302" s="164"/>
      <c r="FL4302" s="2"/>
      <c r="FN4302" s="2"/>
    </row>
    <row r="4303" spans="153:170" x14ac:dyDescent="0.35">
      <c r="EW4303" s="48"/>
      <c r="FB4303" s="5"/>
      <c r="FI4303" s="5"/>
      <c r="FJ4303" s="164"/>
      <c r="FL4303" s="2"/>
      <c r="FN4303" s="2"/>
    </row>
    <row r="4304" spans="153:170" x14ac:dyDescent="0.35">
      <c r="EW4304" s="48"/>
      <c r="FB4304" s="5"/>
      <c r="FI4304" s="5"/>
      <c r="FJ4304" s="164"/>
      <c r="FL4304" s="2"/>
      <c r="FN4304" s="2"/>
    </row>
    <row r="4305" spans="153:170" x14ac:dyDescent="0.35">
      <c r="EW4305" s="48"/>
      <c r="FB4305" s="5"/>
      <c r="FI4305" s="5"/>
      <c r="FJ4305" s="164"/>
      <c r="FL4305" s="2"/>
      <c r="FN4305" s="2"/>
    </row>
    <row r="4306" spans="153:170" x14ac:dyDescent="0.35">
      <c r="EW4306" s="48"/>
      <c r="FB4306" s="5"/>
      <c r="FI4306" s="5"/>
      <c r="FJ4306" s="164"/>
      <c r="FL4306" s="2"/>
      <c r="FN4306" s="2"/>
    </row>
    <row r="4307" spans="153:170" x14ac:dyDescent="0.35">
      <c r="EW4307" s="48"/>
      <c r="FB4307" s="5"/>
      <c r="FI4307" s="5"/>
      <c r="FJ4307" s="164"/>
      <c r="FL4307" s="2"/>
      <c r="FN4307" s="2"/>
    </row>
    <row r="4308" spans="153:170" x14ac:dyDescent="0.35">
      <c r="EW4308" s="48"/>
      <c r="FB4308" s="5"/>
      <c r="FI4308" s="5"/>
      <c r="FJ4308" s="164"/>
      <c r="FL4308" s="2"/>
      <c r="FN4308" s="2"/>
    </row>
    <row r="4309" spans="153:170" x14ac:dyDescent="0.35">
      <c r="EW4309" s="48"/>
      <c r="FB4309" s="5"/>
      <c r="FI4309" s="5"/>
      <c r="FJ4309" s="164"/>
      <c r="FL4309" s="2"/>
      <c r="FN4309" s="2"/>
    </row>
    <row r="4310" spans="153:170" x14ac:dyDescent="0.35">
      <c r="EW4310" s="48"/>
      <c r="FB4310" s="5"/>
      <c r="FI4310" s="5"/>
      <c r="FJ4310" s="164"/>
      <c r="FL4310" s="2"/>
      <c r="FN4310" s="2"/>
    </row>
    <row r="4311" spans="153:170" x14ac:dyDescent="0.35">
      <c r="EW4311" s="48"/>
      <c r="FB4311" s="5"/>
      <c r="FI4311" s="5"/>
      <c r="FJ4311" s="164"/>
      <c r="FL4311" s="2"/>
      <c r="FN4311" s="2"/>
    </row>
    <row r="4312" spans="153:170" x14ac:dyDescent="0.35">
      <c r="EW4312" s="48"/>
      <c r="FB4312" s="5"/>
      <c r="FI4312" s="5"/>
      <c r="FJ4312" s="164"/>
      <c r="FL4312" s="2"/>
      <c r="FN4312" s="2"/>
    </row>
    <row r="4313" spans="153:170" x14ac:dyDescent="0.35">
      <c r="EW4313" s="48"/>
      <c r="FB4313" s="5"/>
      <c r="FI4313" s="5"/>
      <c r="FJ4313" s="164"/>
      <c r="FL4313" s="2"/>
      <c r="FN4313" s="2"/>
    </row>
    <row r="4314" spans="153:170" x14ac:dyDescent="0.35">
      <c r="EW4314" s="48"/>
      <c r="FB4314" s="5"/>
      <c r="FI4314" s="5"/>
      <c r="FJ4314" s="164"/>
      <c r="FL4314" s="2"/>
      <c r="FN4314" s="2"/>
    </row>
    <row r="4315" spans="153:170" x14ac:dyDescent="0.35">
      <c r="EW4315" s="48"/>
      <c r="FB4315" s="5"/>
      <c r="FI4315" s="5"/>
      <c r="FJ4315" s="164"/>
      <c r="FL4315" s="2"/>
      <c r="FN4315" s="2"/>
    </row>
    <row r="4316" spans="153:170" x14ac:dyDescent="0.35">
      <c r="EW4316" s="48"/>
      <c r="FB4316" s="5"/>
      <c r="FI4316" s="5"/>
      <c r="FJ4316" s="164"/>
      <c r="FL4316" s="2"/>
      <c r="FN4316" s="2"/>
    </row>
    <row r="4317" spans="153:170" x14ac:dyDescent="0.35">
      <c r="EW4317" s="48"/>
      <c r="FB4317" s="5"/>
      <c r="FI4317" s="5"/>
      <c r="FJ4317" s="164"/>
      <c r="FL4317" s="2"/>
      <c r="FN4317" s="2"/>
    </row>
    <row r="4318" spans="153:170" x14ac:dyDescent="0.35">
      <c r="EW4318" s="48"/>
      <c r="FB4318" s="5"/>
      <c r="FI4318" s="5"/>
      <c r="FJ4318" s="164"/>
      <c r="FL4318" s="2"/>
      <c r="FN4318" s="2"/>
    </row>
    <row r="4319" spans="153:170" x14ac:dyDescent="0.35">
      <c r="EW4319" s="48"/>
      <c r="FB4319" s="5"/>
      <c r="FI4319" s="5"/>
      <c r="FJ4319" s="164"/>
      <c r="FL4319" s="2"/>
      <c r="FN4319" s="2"/>
    </row>
    <row r="4320" spans="153:170" x14ac:dyDescent="0.35">
      <c r="EW4320" s="48"/>
      <c r="FB4320" s="5"/>
      <c r="FI4320" s="5"/>
      <c r="FJ4320" s="164"/>
      <c r="FL4320" s="2"/>
      <c r="FN4320" s="2"/>
    </row>
    <row r="4321" spans="153:170" x14ac:dyDescent="0.35">
      <c r="EW4321" s="48"/>
      <c r="FB4321" s="5"/>
      <c r="FI4321" s="5"/>
      <c r="FJ4321" s="164"/>
      <c r="FL4321" s="2"/>
      <c r="FN4321" s="2"/>
    </row>
    <row r="4322" spans="153:170" x14ac:dyDescent="0.35">
      <c r="EW4322" s="48"/>
      <c r="FB4322" s="5"/>
      <c r="FI4322" s="5"/>
      <c r="FJ4322" s="164"/>
      <c r="FL4322" s="2"/>
      <c r="FN4322" s="2"/>
    </row>
    <row r="4323" spans="153:170" x14ac:dyDescent="0.35">
      <c r="EW4323" s="48"/>
      <c r="FB4323" s="5"/>
      <c r="FI4323" s="5"/>
      <c r="FJ4323" s="164"/>
      <c r="FL4323" s="2"/>
      <c r="FN4323" s="2"/>
    </row>
    <row r="4324" spans="153:170" x14ac:dyDescent="0.35">
      <c r="EW4324" s="48"/>
      <c r="FB4324" s="5"/>
      <c r="FI4324" s="5"/>
      <c r="FJ4324" s="164"/>
      <c r="FL4324" s="2"/>
      <c r="FN4324" s="2"/>
    </row>
    <row r="4325" spans="153:170" x14ac:dyDescent="0.35">
      <c r="EW4325" s="48"/>
      <c r="FB4325" s="5"/>
      <c r="FI4325" s="5"/>
      <c r="FJ4325" s="164"/>
      <c r="FL4325" s="2"/>
      <c r="FN4325" s="2"/>
    </row>
    <row r="4326" spans="153:170" x14ac:dyDescent="0.35">
      <c r="EW4326" s="48"/>
      <c r="FB4326" s="5"/>
      <c r="FI4326" s="5"/>
      <c r="FJ4326" s="164"/>
      <c r="FL4326" s="2"/>
      <c r="FN4326" s="2"/>
    </row>
    <row r="4327" spans="153:170" x14ac:dyDescent="0.35">
      <c r="EW4327" s="48"/>
      <c r="FB4327" s="5"/>
      <c r="FI4327" s="5"/>
      <c r="FJ4327" s="164"/>
      <c r="FL4327" s="2"/>
      <c r="FN4327" s="2"/>
    </row>
    <row r="4328" spans="153:170" x14ac:dyDescent="0.35">
      <c r="EW4328" s="48"/>
      <c r="FB4328" s="5"/>
      <c r="FI4328" s="5"/>
      <c r="FJ4328" s="164"/>
      <c r="FL4328" s="2"/>
      <c r="FN4328" s="2"/>
    </row>
    <row r="4329" spans="153:170" x14ac:dyDescent="0.35">
      <c r="EW4329" s="48"/>
      <c r="FB4329" s="5"/>
      <c r="FI4329" s="5"/>
      <c r="FJ4329" s="164"/>
      <c r="FL4329" s="2"/>
      <c r="FN4329" s="2"/>
    </row>
    <row r="4330" spans="153:170" x14ac:dyDescent="0.35">
      <c r="EW4330" s="48"/>
      <c r="FB4330" s="5"/>
      <c r="FI4330" s="5"/>
      <c r="FJ4330" s="164"/>
      <c r="FL4330" s="2"/>
      <c r="FN4330" s="2"/>
    </row>
    <row r="4331" spans="153:170" x14ac:dyDescent="0.35">
      <c r="EW4331" s="48"/>
      <c r="FB4331" s="5"/>
      <c r="FI4331" s="5"/>
      <c r="FJ4331" s="164"/>
      <c r="FL4331" s="2"/>
      <c r="FN4331" s="2"/>
    </row>
    <row r="4332" spans="153:170" x14ac:dyDescent="0.35">
      <c r="EW4332" s="48"/>
      <c r="FB4332" s="5"/>
      <c r="FI4332" s="5"/>
      <c r="FJ4332" s="164"/>
      <c r="FL4332" s="2"/>
      <c r="FN4332" s="2"/>
    </row>
    <row r="4333" spans="153:170" x14ac:dyDescent="0.35">
      <c r="EW4333" s="48"/>
      <c r="FB4333" s="5"/>
      <c r="FI4333" s="5"/>
      <c r="FJ4333" s="164"/>
      <c r="FL4333" s="2"/>
      <c r="FN4333" s="2"/>
    </row>
    <row r="4334" spans="153:170" x14ac:dyDescent="0.35">
      <c r="EW4334" s="48"/>
      <c r="FB4334" s="5"/>
      <c r="FI4334" s="5"/>
      <c r="FJ4334" s="164"/>
      <c r="FL4334" s="2"/>
      <c r="FN4334" s="2"/>
    </row>
    <row r="4335" spans="153:170" x14ac:dyDescent="0.35">
      <c r="EW4335" s="48"/>
      <c r="FB4335" s="5"/>
      <c r="FI4335" s="5"/>
      <c r="FJ4335" s="164"/>
      <c r="FL4335" s="2"/>
      <c r="FN4335" s="2"/>
    </row>
    <row r="4336" spans="153:170" x14ac:dyDescent="0.35">
      <c r="EW4336" s="48"/>
      <c r="FB4336" s="5"/>
      <c r="FI4336" s="5"/>
      <c r="FJ4336" s="164"/>
      <c r="FL4336" s="2"/>
      <c r="FN4336" s="2"/>
    </row>
    <row r="4337" spans="153:170" x14ac:dyDescent="0.35">
      <c r="EW4337" s="48"/>
      <c r="FB4337" s="5"/>
      <c r="FI4337" s="5"/>
      <c r="FJ4337" s="164"/>
      <c r="FL4337" s="2"/>
      <c r="FN4337" s="2"/>
    </row>
    <row r="4338" spans="153:170" x14ac:dyDescent="0.35">
      <c r="EW4338" s="48"/>
      <c r="FB4338" s="5"/>
      <c r="FI4338" s="5"/>
      <c r="FJ4338" s="164"/>
      <c r="FL4338" s="2"/>
      <c r="FN4338" s="2"/>
    </row>
    <row r="4339" spans="153:170" x14ac:dyDescent="0.35">
      <c r="EW4339" s="48"/>
      <c r="FB4339" s="5"/>
      <c r="FI4339" s="5"/>
      <c r="FJ4339" s="164"/>
      <c r="FL4339" s="2"/>
      <c r="FN4339" s="2"/>
    </row>
    <row r="4340" spans="153:170" x14ac:dyDescent="0.35">
      <c r="EW4340" s="48"/>
      <c r="FB4340" s="5"/>
      <c r="FI4340" s="5"/>
      <c r="FJ4340" s="164"/>
      <c r="FL4340" s="2"/>
      <c r="FN4340" s="2"/>
    </row>
    <row r="4341" spans="153:170" x14ac:dyDescent="0.35">
      <c r="EW4341" s="48"/>
      <c r="FB4341" s="5"/>
      <c r="FI4341" s="5"/>
      <c r="FJ4341" s="164"/>
      <c r="FL4341" s="2"/>
      <c r="FN4341" s="2"/>
    </row>
    <row r="4342" spans="153:170" x14ac:dyDescent="0.35">
      <c r="EW4342" s="48"/>
      <c r="FB4342" s="5"/>
      <c r="FI4342" s="5"/>
      <c r="FJ4342" s="164"/>
      <c r="FL4342" s="2"/>
      <c r="FN4342" s="2"/>
    </row>
    <row r="4343" spans="153:170" x14ac:dyDescent="0.35">
      <c r="EW4343" s="48"/>
      <c r="FB4343" s="5"/>
      <c r="FI4343" s="5"/>
      <c r="FJ4343" s="164"/>
      <c r="FL4343" s="2"/>
      <c r="FN4343" s="2"/>
    </row>
    <row r="4344" spans="153:170" x14ac:dyDescent="0.35">
      <c r="EW4344" s="48"/>
      <c r="FB4344" s="5"/>
      <c r="FI4344" s="5"/>
      <c r="FJ4344" s="164"/>
      <c r="FL4344" s="2"/>
      <c r="FN4344" s="2"/>
    </row>
    <row r="4345" spans="153:170" x14ac:dyDescent="0.35">
      <c r="EW4345" s="48"/>
      <c r="FB4345" s="5"/>
      <c r="FI4345" s="5"/>
      <c r="FJ4345" s="164"/>
      <c r="FL4345" s="2"/>
      <c r="FN4345" s="2"/>
    </row>
    <row r="4346" spans="153:170" x14ac:dyDescent="0.35">
      <c r="EW4346" s="48"/>
      <c r="FB4346" s="5"/>
      <c r="FI4346" s="5"/>
      <c r="FJ4346" s="164"/>
      <c r="FL4346" s="2"/>
      <c r="FN4346" s="2"/>
    </row>
    <row r="4347" spans="153:170" x14ac:dyDescent="0.35">
      <c r="EW4347" s="48"/>
      <c r="FB4347" s="5"/>
      <c r="FI4347" s="5"/>
      <c r="FJ4347" s="164"/>
      <c r="FL4347" s="2"/>
      <c r="FN4347" s="2"/>
    </row>
    <row r="4348" spans="153:170" x14ac:dyDescent="0.35">
      <c r="EW4348" s="48"/>
      <c r="FB4348" s="5"/>
      <c r="FI4348" s="5"/>
      <c r="FJ4348" s="164"/>
      <c r="FL4348" s="2"/>
      <c r="FN4348" s="2"/>
    </row>
    <row r="4349" spans="153:170" x14ac:dyDescent="0.35">
      <c r="EW4349" s="48"/>
      <c r="FB4349" s="5"/>
      <c r="FI4349" s="5"/>
      <c r="FJ4349" s="164"/>
      <c r="FL4349" s="2"/>
      <c r="FN4349" s="2"/>
    </row>
    <row r="4350" spans="153:170" x14ac:dyDescent="0.35">
      <c r="EW4350" s="48"/>
      <c r="FB4350" s="5"/>
      <c r="FI4350" s="5"/>
      <c r="FJ4350" s="164"/>
      <c r="FL4350" s="2"/>
      <c r="FN4350" s="2"/>
    </row>
    <row r="4351" spans="153:170" x14ac:dyDescent="0.35">
      <c r="EW4351" s="48"/>
      <c r="FB4351" s="5"/>
      <c r="FI4351" s="5"/>
      <c r="FJ4351" s="164"/>
      <c r="FL4351" s="2"/>
      <c r="FN4351" s="2"/>
    </row>
    <row r="4352" spans="153:170" x14ac:dyDescent="0.35">
      <c r="EW4352" s="48"/>
      <c r="FB4352" s="5"/>
      <c r="FI4352" s="5"/>
      <c r="FJ4352" s="164"/>
      <c r="FL4352" s="2"/>
      <c r="FN4352" s="2"/>
    </row>
    <row r="4353" spans="153:170" x14ac:dyDescent="0.35">
      <c r="EW4353" s="48"/>
      <c r="FB4353" s="5"/>
      <c r="FI4353" s="5"/>
      <c r="FJ4353" s="164"/>
      <c r="FL4353" s="2"/>
      <c r="FN4353" s="2"/>
    </row>
    <row r="4354" spans="153:170" x14ac:dyDescent="0.35">
      <c r="EW4354" s="48"/>
      <c r="FB4354" s="5"/>
      <c r="FI4354" s="5"/>
      <c r="FJ4354" s="164"/>
      <c r="FL4354" s="2"/>
      <c r="FN4354" s="2"/>
    </row>
    <row r="4355" spans="153:170" x14ac:dyDescent="0.35">
      <c r="EW4355" s="48"/>
      <c r="FB4355" s="5"/>
      <c r="FI4355" s="5"/>
      <c r="FJ4355" s="164"/>
      <c r="FL4355" s="2"/>
      <c r="FN4355" s="2"/>
    </row>
    <row r="4356" spans="153:170" x14ac:dyDescent="0.35">
      <c r="EW4356" s="48"/>
      <c r="FB4356" s="5"/>
      <c r="FI4356" s="5"/>
      <c r="FJ4356" s="164"/>
      <c r="FL4356" s="2"/>
      <c r="FN4356" s="2"/>
    </row>
    <row r="4357" spans="153:170" x14ac:dyDescent="0.35">
      <c r="EW4357" s="48"/>
      <c r="FB4357" s="5"/>
      <c r="FI4357" s="5"/>
      <c r="FJ4357" s="164"/>
      <c r="FL4357" s="2"/>
      <c r="FN4357" s="2"/>
    </row>
    <row r="4358" spans="153:170" x14ac:dyDescent="0.35">
      <c r="EW4358" s="48"/>
      <c r="FB4358" s="5"/>
      <c r="FI4358" s="5"/>
      <c r="FJ4358" s="164"/>
      <c r="FL4358" s="2"/>
      <c r="FN4358" s="2"/>
    </row>
    <row r="4359" spans="153:170" x14ac:dyDescent="0.35">
      <c r="EW4359" s="48"/>
      <c r="FB4359" s="5"/>
      <c r="FI4359" s="5"/>
      <c r="FJ4359" s="164"/>
      <c r="FL4359" s="2"/>
      <c r="FN4359" s="2"/>
    </row>
    <row r="4360" spans="153:170" x14ac:dyDescent="0.35">
      <c r="EW4360" s="48"/>
      <c r="FB4360" s="5"/>
      <c r="FI4360" s="5"/>
      <c r="FJ4360" s="164"/>
      <c r="FL4360" s="2"/>
      <c r="FN4360" s="2"/>
    </row>
    <row r="4361" spans="153:170" x14ac:dyDescent="0.35">
      <c r="EW4361" s="48"/>
      <c r="FB4361" s="5"/>
      <c r="FI4361" s="5"/>
      <c r="FJ4361" s="164"/>
      <c r="FL4361" s="2"/>
      <c r="FN4361" s="2"/>
    </row>
    <row r="4362" spans="153:170" x14ac:dyDescent="0.35">
      <c r="EW4362" s="48"/>
      <c r="FB4362" s="5"/>
      <c r="FI4362" s="5"/>
      <c r="FJ4362" s="164"/>
      <c r="FL4362" s="2"/>
      <c r="FN4362" s="2"/>
    </row>
    <row r="4363" spans="153:170" x14ac:dyDescent="0.35">
      <c r="EW4363" s="48"/>
      <c r="FB4363" s="5"/>
      <c r="FI4363" s="5"/>
      <c r="FJ4363" s="164"/>
      <c r="FL4363" s="2"/>
      <c r="FN4363" s="2"/>
    </row>
    <row r="4364" spans="153:170" x14ac:dyDescent="0.35">
      <c r="EW4364" s="48"/>
      <c r="FB4364" s="5"/>
      <c r="FI4364" s="5"/>
      <c r="FJ4364" s="164"/>
      <c r="FL4364" s="2"/>
      <c r="FN4364" s="2"/>
    </row>
    <row r="4365" spans="153:170" x14ac:dyDescent="0.35">
      <c r="EW4365" s="48"/>
      <c r="FB4365" s="5"/>
      <c r="FI4365" s="5"/>
      <c r="FJ4365" s="164"/>
      <c r="FL4365" s="2"/>
      <c r="FN4365" s="2"/>
    </row>
    <row r="4366" spans="153:170" x14ac:dyDescent="0.35">
      <c r="EW4366" s="48"/>
      <c r="FB4366" s="5"/>
      <c r="FI4366" s="5"/>
      <c r="FJ4366" s="164"/>
      <c r="FL4366" s="2"/>
      <c r="FN4366" s="2"/>
    </row>
    <row r="4367" spans="153:170" x14ac:dyDescent="0.35">
      <c r="EW4367" s="48"/>
      <c r="FB4367" s="5"/>
      <c r="FI4367" s="5"/>
      <c r="FJ4367" s="164"/>
      <c r="FL4367" s="2"/>
      <c r="FN4367" s="2"/>
    </row>
    <row r="4368" spans="153:170" x14ac:dyDescent="0.35">
      <c r="EW4368" s="48"/>
      <c r="FB4368" s="5"/>
      <c r="FI4368" s="5"/>
      <c r="FJ4368" s="164"/>
      <c r="FL4368" s="2"/>
      <c r="FN4368" s="2"/>
    </row>
    <row r="4369" spans="153:170" x14ac:dyDescent="0.35">
      <c r="EW4369" s="48"/>
      <c r="FB4369" s="5"/>
      <c r="FI4369" s="5"/>
      <c r="FJ4369" s="164"/>
      <c r="FL4369" s="2"/>
      <c r="FN4369" s="2"/>
    </row>
    <row r="4370" spans="153:170" x14ac:dyDescent="0.35">
      <c r="EW4370" s="48"/>
      <c r="FB4370" s="5"/>
      <c r="FI4370" s="5"/>
      <c r="FJ4370" s="164"/>
      <c r="FL4370" s="2"/>
      <c r="FN4370" s="2"/>
    </row>
    <row r="4371" spans="153:170" x14ac:dyDescent="0.35">
      <c r="EW4371" s="48"/>
      <c r="FB4371" s="5"/>
      <c r="FI4371" s="5"/>
      <c r="FJ4371" s="164"/>
      <c r="FL4371" s="2"/>
      <c r="FN4371" s="2"/>
    </row>
    <row r="4372" spans="153:170" x14ac:dyDescent="0.35">
      <c r="EW4372" s="48"/>
      <c r="FB4372" s="5"/>
      <c r="FI4372" s="5"/>
      <c r="FJ4372" s="164"/>
      <c r="FL4372" s="2"/>
      <c r="FN4372" s="2"/>
    </row>
    <row r="4373" spans="153:170" x14ac:dyDescent="0.35">
      <c r="EW4373" s="48"/>
      <c r="FB4373" s="5"/>
      <c r="FI4373" s="5"/>
      <c r="FJ4373" s="164"/>
      <c r="FL4373" s="2"/>
      <c r="FN4373" s="2"/>
    </row>
    <row r="4374" spans="153:170" x14ac:dyDescent="0.35">
      <c r="EW4374" s="48"/>
      <c r="FB4374" s="5"/>
      <c r="FI4374" s="5"/>
      <c r="FJ4374" s="164"/>
      <c r="FL4374" s="2"/>
      <c r="FN4374" s="2"/>
    </row>
    <row r="4375" spans="153:170" x14ac:dyDescent="0.35">
      <c r="EW4375" s="48"/>
      <c r="FB4375" s="5"/>
      <c r="FI4375" s="5"/>
      <c r="FJ4375" s="164"/>
      <c r="FL4375" s="2"/>
      <c r="FN4375" s="2"/>
    </row>
    <row r="4376" spans="153:170" x14ac:dyDescent="0.35">
      <c r="EW4376" s="48"/>
      <c r="FB4376" s="5"/>
      <c r="FI4376" s="5"/>
      <c r="FJ4376" s="164"/>
      <c r="FL4376" s="2"/>
      <c r="FN4376" s="2"/>
    </row>
    <row r="4377" spans="153:170" x14ac:dyDescent="0.35">
      <c r="EW4377" s="48"/>
      <c r="FB4377" s="5"/>
      <c r="FI4377" s="5"/>
      <c r="FJ4377" s="164"/>
      <c r="FL4377" s="2"/>
      <c r="FN4377" s="2"/>
    </row>
    <row r="4378" spans="153:170" x14ac:dyDescent="0.35">
      <c r="EW4378" s="48"/>
      <c r="FB4378" s="5"/>
      <c r="FI4378" s="5"/>
      <c r="FJ4378" s="164"/>
      <c r="FL4378" s="2"/>
      <c r="FN4378" s="2"/>
    </row>
    <row r="4379" spans="153:170" x14ac:dyDescent="0.35">
      <c r="EW4379" s="48"/>
      <c r="FB4379" s="5"/>
      <c r="FI4379" s="5"/>
      <c r="FJ4379" s="164"/>
      <c r="FL4379" s="2"/>
      <c r="FN4379" s="2"/>
    </row>
    <row r="4380" spans="153:170" x14ac:dyDescent="0.35">
      <c r="EW4380" s="48"/>
      <c r="FB4380" s="5"/>
      <c r="FI4380" s="5"/>
      <c r="FJ4380" s="164"/>
      <c r="FL4380" s="2"/>
      <c r="FN4380" s="2"/>
    </row>
    <row r="4381" spans="153:170" x14ac:dyDescent="0.35">
      <c r="EW4381" s="48"/>
      <c r="FB4381" s="5"/>
      <c r="FI4381" s="5"/>
      <c r="FJ4381" s="164"/>
      <c r="FL4381" s="2"/>
      <c r="FN4381" s="2"/>
    </row>
    <row r="4382" spans="153:170" x14ac:dyDescent="0.35">
      <c r="EW4382" s="48"/>
      <c r="FB4382" s="5"/>
      <c r="FI4382" s="5"/>
      <c r="FJ4382" s="164"/>
      <c r="FL4382" s="2"/>
      <c r="FN4382" s="2"/>
    </row>
    <row r="4383" spans="153:170" x14ac:dyDescent="0.35">
      <c r="EW4383" s="48"/>
      <c r="FB4383" s="5"/>
      <c r="FI4383" s="5"/>
      <c r="FJ4383" s="164"/>
      <c r="FL4383" s="2"/>
      <c r="FN4383" s="2"/>
    </row>
    <row r="4384" spans="153:170" x14ac:dyDescent="0.35">
      <c r="EW4384" s="48"/>
      <c r="FB4384" s="5"/>
      <c r="FI4384" s="5"/>
      <c r="FJ4384" s="164"/>
      <c r="FL4384" s="2"/>
      <c r="FN4384" s="2"/>
    </row>
    <row r="4385" spans="153:170" x14ac:dyDescent="0.35">
      <c r="EW4385" s="48"/>
      <c r="FB4385" s="5"/>
      <c r="FI4385" s="5"/>
      <c r="FJ4385" s="164"/>
      <c r="FL4385" s="2"/>
      <c r="FN4385" s="2"/>
    </row>
    <row r="4386" spans="153:170" x14ac:dyDescent="0.35">
      <c r="EW4386" s="48"/>
      <c r="FB4386" s="5"/>
      <c r="FI4386" s="5"/>
      <c r="FJ4386" s="164"/>
      <c r="FL4386" s="2"/>
      <c r="FN4386" s="2"/>
    </row>
    <row r="4387" spans="153:170" x14ac:dyDescent="0.35">
      <c r="EW4387" s="48"/>
      <c r="FB4387" s="5"/>
      <c r="FI4387" s="5"/>
      <c r="FJ4387" s="164"/>
      <c r="FL4387" s="2"/>
      <c r="FN4387" s="2"/>
    </row>
    <row r="4388" spans="153:170" x14ac:dyDescent="0.35">
      <c r="EW4388" s="48"/>
      <c r="FB4388" s="5"/>
      <c r="FI4388" s="5"/>
      <c r="FJ4388" s="164"/>
      <c r="FL4388" s="2"/>
      <c r="FN4388" s="2"/>
    </row>
    <row r="4389" spans="153:170" x14ac:dyDescent="0.35">
      <c r="EW4389" s="48"/>
      <c r="FB4389" s="5"/>
      <c r="FI4389" s="5"/>
      <c r="FJ4389" s="164"/>
      <c r="FL4389" s="2"/>
      <c r="FN4389" s="2"/>
    </row>
    <row r="4390" spans="153:170" x14ac:dyDescent="0.35">
      <c r="EW4390" s="48"/>
      <c r="FB4390" s="5"/>
      <c r="FI4390" s="5"/>
      <c r="FJ4390" s="164"/>
      <c r="FL4390" s="2"/>
      <c r="FN4390" s="2"/>
    </row>
    <row r="4391" spans="153:170" x14ac:dyDescent="0.35">
      <c r="EW4391" s="48"/>
      <c r="FB4391" s="5"/>
      <c r="FI4391" s="5"/>
      <c r="FJ4391" s="164"/>
      <c r="FL4391" s="2"/>
      <c r="FN4391" s="2"/>
    </row>
    <row r="4392" spans="153:170" x14ac:dyDescent="0.35">
      <c r="EW4392" s="48"/>
      <c r="FB4392" s="5"/>
      <c r="FI4392" s="5"/>
      <c r="FJ4392" s="164"/>
      <c r="FL4392" s="2"/>
      <c r="FN4392" s="2"/>
    </row>
    <row r="4393" spans="153:170" x14ac:dyDescent="0.35">
      <c r="EW4393" s="48"/>
      <c r="FB4393" s="5"/>
      <c r="FI4393" s="5"/>
      <c r="FJ4393" s="164"/>
      <c r="FL4393" s="2"/>
      <c r="FN4393" s="2"/>
    </row>
    <row r="4394" spans="153:170" x14ac:dyDescent="0.35">
      <c r="EW4394" s="48"/>
      <c r="FB4394" s="5"/>
      <c r="FI4394" s="5"/>
      <c r="FJ4394" s="164"/>
      <c r="FL4394" s="2"/>
      <c r="FN4394" s="2"/>
    </row>
    <row r="4395" spans="153:170" x14ac:dyDescent="0.35">
      <c r="EW4395" s="48"/>
      <c r="FB4395" s="5"/>
      <c r="FI4395" s="5"/>
      <c r="FJ4395" s="164"/>
      <c r="FL4395" s="2"/>
      <c r="FN4395" s="2"/>
    </row>
    <row r="4396" spans="153:170" x14ac:dyDescent="0.35">
      <c r="EW4396" s="48"/>
      <c r="FB4396" s="5"/>
      <c r="FI4396" s="5"/>
      <c r="FJ4396" s="164"/>
      <c r="FL4396" s="2"/>
      <c r="FN4396" s="2"/>
    </row>
    <row r="4397" spans="153:170" x14ac:dyDescent="0.35">
      <c r="EW4397" s="48"/>
      <c r="FB4397" s="5"/>
      <c r="FI4397" s="5"/>
      <c r="FJ4397" s="164"/>
      <c r="FL4397" s="2"/>
      <c r="FN4397" s="2"/>
    </row>
    <row r="4398" spans="153:170" x14ac:dyDescent="0.35">
      <c r="EW4398" s="48"/>
      <c r="FB4398" s="5"/>
      <c r="FI4398" s="5"/>
      <c r="FJ4398" s="164"/>
      <c r="FL4398" s="2"/>
      <c r="FN4398" s="2"/>
    </row>
    <row r="4399" spans="153:170" x14ac:dyDescent="0.35">
      <c r="EW4399" s="48"/>
      <c r="FB4399" s="5"/>
      <c r="FI4399" s="5"/>
      <c r="FJ4399" s="164"/>
      <c r="FL4399" s="2"/>
      <c r="FN4399" s="2"/>
    </row>
    <row r="4400" spans="153:170" x14ac:dyDescent="0.35">
      <c r="EW4400" s="48"/>
      <c r="FB4400" s="5"/>
      <c r="FI4400" s="5"/>
      <c r="FJ4400" s="164"/>
      <c r="FL4400" s="2"/>
      <c r="FN4400" s="2"/>
    </row>
    <row r="4401" spans="153:170" x14ac:dyDescent="0.35">
      <c r="EW4401" s="48"/>
      <c r="FB4401" s="5"/>
      <c r="FI4401" s="5"/>
      <c r="FJ4401" s="164"/>
      <c r="FL4401" s="2"/>
      <c r="FN4401" s="2"/>
    </row>
    <row r="4402" spans="153:170" x14ac:dyDescent="0.35">
      <c r="EW4402" s="48"/>
      <c r="FB4402" s="5"/>
      <c r="FI4402" s="5"/>
      <c r="FJ4402" s="164"/>
      <c r="FL4402" s="2"/>
      <c r="FN4402" s="2"/>
    </row>
    <row r="4403" spans="153:170" x14ac:dyDescent="0.35">
      <c r="EW4403" s="48"/>
      <c r="FB4403" s="5"/>
      <c r="FI4403" s="5"/>
      <c r="FJ4403" s="164"/>
      <c r="FL4403" s="2"/>
      <c r="FN4403" s="2"/>
    </row>
    <row r="4404" spans="153:170" x14ac:dyDescent="0.35">
      <c r="EW4404" s="48"/>
      <c r="FB4404" s="5"/>
      <c r="FI4404" s="5"/>
      <c r="FJ4404" s="164"/>
      <c r="FL4404" s="2"/>
      <c r="FN4404" s="2"/>
    </row>
    <row r="4405" spans="153:170" x14ac:dyDescent="0.35">
      <c r="EW4405" s="48"/>
      <c r="FB4405" s="5"/>
      <c r="FI4405" s="5"/>
      <c r="FJ4405" s="164"/>
      <c r="FL4405" s="2"/>
      <c r="FN4405" s="2"/>
    </row>
    <row r="4406" spans="153:170" x14ac:dyDescent="0.35">
      <c r="EW4406" s="48"/>
      <c r="FB4406" s="5"/>
      <c r="FI4406" s="5"/>
      <c r="FJ4406" s="164"/>
      <c r="FL4406" s="2"/>
      <c r="FN4406" s="2"/>
    </row>
    <row r="4407" spans="153:170" x14ac:dyDescent="0.35">
      <c r="EW4407" s="48"/>
      <c r="FB4407" s="5"/>
      <c r="FI4407" s="5"/>
      <c r="FJ4407" s="164"/>
      <c r="FL4407" s="2"/>
      <c r="FN4407" s="2"/>
    </row>
    <row r="4408" spans="153:170" x14ac:dyDescent="0.35">
      <c r="EW4408" s="48"/>
      <c r="FB4408" s="5"/>
      <c r="FI4408" s="5"/>
      <c r="FJ4408" s="164"/>
      <c r="FL4408" s="2"/>
      <c r="FN4408" s="2"/>
    </row>
    <row r="4409" spans="153:170" x14ac:dyDescent="0.35">
      <c r="EW4409" s="48"/>
      <c r="FB4409" s="5"/>
      <c r="FI4409" s="5"/>
      <c r="FJ4409" s="164"/>
      <c r="FL4409" s="2"/>
      <c r="FN4409" s="2"/>
    </row>
    <row r="4410" spans="153:170" x14ac:dyDescent="0.35">
      <c r="EW4410" s="48"/>
      <c r="FB4410" s="5"/>
      <c r="FI4410" s="5"/>
      <c r="FJ4410" s="164"/>
      <c r="FL4410" s="2"/>
      <c r="FN4410" s="2"/>
    </row>
    <row r="4411" spans="153:170" x14ac:dyDescent="0.35">
      <c r="EW4411" s="48"/>
      <c r="FB4411" s="5"/>
      <c r="FI4411" s="5"/>
      <c r="FJ4411" s="164"/>
      <c r="FL4411" s="2"/>
      <c r="FN4411" s="2"/>
    </row>
    <row r="4412" spans="153:170" x14ac:dyDescent="0.35">
      <c r="EW4412" s="48"/>
      <c r="FB4412" s="5"/>
      <c r="FI4412" s="5"/>
      <c r="FJ4412" s="164"/>
      <c r="FL4412" s="2"/>
      <c r="FN4412" s="2"/>
    </row>
    <row r="4413" spans="153:170" x14ac:dyDescent="0.35">
      <c r="EW4413" s="48"/>
      <c r="FB4413" s="5"/>
      <c r="FI4413" s="5"/>
      <c r="FJ4413" s="164"/>
      <c r="FL4413" s="2"/>
      <c r="FN4413" s="2"/>
    </row>
    <row r="4414" spans="153:170" x14ac:dyDescent="0.35">
      <c r="EW4414" s="48"/>
      <c r="FB4414" s="5"/>
      <c r="FI4414" s="5"/>
      <c r="FJ4414" s="164"/>
      <c r="FL4414" s="2"/>
      <c r="FN4414" s="2"/>
    </row>
    <row r="4415" spans="153:170" x14ac:dyDescent="0.35">
      <c r="EW4415" s="48"/>
      <c r="FB4415" s="5"/>
      <c r="FI4415" s="5"/>
      <c r="FJ4415" s="164"/>
      <c r="FL4415" s="2"/>
      <c r="FN4415" s="2"/>
    </row>
    <row r="4416" spans="153:170" x14ac:dyDescent="0.35">
      <c r="EW4416" s="48"/>
      <c r="FB4416" s="5"/>
      <c r="FI4416" s="5"/>
      <c r="FJ4416" s="164"/>
      <c r="FL4416" s="2"/>
      <c r="FN4416" s="2"/>
    </row>
    <row r="4417" spans="153:170" x14ac:dyDescent="0.35">
      <c r="EW4417" s="48"/>
      <c r="FB4417" s="5"/>
      <c r="FI4417" s="5"/>
      <c r="FJ4417" s="164"/>
      <c r="FL4417" s="2"/>
      <c r="FN4417" s="2"/>
    </row>
    <row r="4418" spans="153:170" x14ac:dyDescent="0.35">
      <c r="EW4418" s="48"/>
      <c r="FB4418" s="5"/>
      <c r="FI4418" s="5"/>
      <c r="FJ4418" s="164"/>
      <c r="FL4418" s="2"/>
      <c r="FN4418" s="2"/>
    </row>
    <row r="4419" spans="153:170" x14ac:dyDescent="0.35">
      <c r="EW4419" s="48"/>
      <c r="FB4419" s="5"/>
      <c r="FI4419" s="5"/>
      <c r="FJ4419" s="164"/>
      <c r="FL4419" s="2"/>
      <c r="FN4419" s="2"/>
    </row>
    <row r="4420" spans="153:170" x14ac:dyDescent="0.35">
      <c r="EW4420" s="48"/>
      <c r="FB4420" s="5"/>
      <c r="FI4420" s="5"/>
      <c r="FJ4420" s="164"/>
      <c r="FL4420" s="2"/>
      <c r="FN4420" s="2"/>
    </row>
    <row r="4421" spans="153:170" x14ac:dyDescent="0.35">
      <c r="EW4421" s="48"/>
      <c r="FB4421" s="5"/>
      <c r="FI4421" s="5"/>
      <c r="FJ4421" s="164"/>
      <c r="FL4421" s="2"/>
      <c r="FN4421" s="2"/>
    </row>
    <row r="4422" spans="153:170" x14ac:dyDescent="0.35">
      <c r="EW4422" s="48"/>
      <c r="FB4422" s="5"/>
      <c r="FI4422" s="5"/>
      <c r="FJ4422" s="164"/>
      <c r="FL4422" s="2"/>
      <c r="FN4422" s="2"/>
    </row>
    <row r="4423" spans="153:170" x14ac:dyDescent="0.35">
      <c r="EW4423" s="48"/>
      <c r="FB4423" s="5"/>
      <c r="FI4423" s="5"/>
      <c r="FJ4423" s="164"/>
      <c r="FL4423" s="2"/>
      <c r="FN4423" s="2"/>
    </row>
    <row r="4424" spans="153:170" x14ac:dyDescent="0.35">
      <c r="EW4424" s="48"/>
      <c r="FB4424" s="5"/>
      <c r="FI4424" s="5"/>
      <c r="FJ4424" s="164"/>
      <c r="FL4424" s="2"/>
      <c r="FN4424" s="2"/>
    </row>
    <row r="4425" spans="153:170" x14ac:dyDescent="0.35">
      <c r="EW4425" s="48"/>
      <c r="FB4425" s="5"/>
      <c r="FI4425" s="5"/>
      <c r="FJ4425" s="164"/>
      <c r="FL4425" s="2"/>
      <c r="FN4425" s="2"/>
    </row>
    <row r="4426" spans="153:170" x14ac:dyDescent="0.35">
      <c r="EW4426" s="48"/>
      <c r="FB4426" s="5"/>
      <c r="FI4426" s="5"/>
      <c r="FJ4426" s="164"/>
      <c r="FL4426" s="2"/>
      <c r="FN4426" s="2"/>
    </row>
    <row r="4427" spans="153:170" x14ac:dyDescent="0.35">
      <c r="EW4427" s="48"/>
      <c r="FB4427" s="5"/>
      <c r="FI4427" s="5"/>
      <c r="FJ4427" s="164"/>
      <c r="FL4427" s="2"/>
      <c r="FN4427" s="2"/>
    </row>
    <row r="4428" spans="153:170" x14ac:dyDescent="0.35">
      <c r="EW4428" s="48"/>
      <c r="FB4428" s="5"/>
      <c r="FI4428" s="5"/>
      <c r="FJ4428" s="164"/>
      <c r="FL4428" s="2"/>
      <c r="FN4428" s="2"/>
    </row>
    <row r="4429" spans="153:170" x14ac:dyDescent="0.35">
      <c r="EW4429" s="48"/>
      <c r="FB4429" s="5"/>
      <c r="FI4429" s="5"/>
      <c r="FJ4429" s="164"/>
      <c r="FL4429" s="2"/>
      <c r="FN4429" s="2"/>
    </row>
    <row r="4430" spans="153:170" x14ac:dyDescent="0.35">
      <c r="EW4430" s="48"/>
      <c r="FB4430" s="5"/>
      <c r="FI4430" s="5"/>
      <c r="FJ4430" s="164"/>
      <c r="FL4430" s="2"/>
      <c r="FN4430" s="2"/>
    </row>
    <row r="4431" spans="153:170" x14ac:dyDescent="0.35">
      <c r="EW4431" s="48"/>
      <c r="FB4431" s="5"/>
      <c r="FI4431" s="5"/>
      <c r="FJ4431" s="164"/>
      <c r="FL4431" s="2"/>
      <c r="FN4431" s="2"/>
    </row>
    <row r="4432" spans="153:170" x14ac:dyDescent="0.35">
      <c r="EW4432" s="48"/>
      <c r="FB4432" s="5"/>
      <c r="FI4432" s="5"/>
      <c r="FJ4432" s="164"/>
      <c r="FL4432" s="2"/>
      <c r="FN4432" s="2"/>
    </row>
    <row r="4433" spans="153:170" x14ac:dyDescent="0.35">
      <c r="EW4433" s="48"/>
      <c r="FB4433" s="5"/>
      <c r="FI4433" s="5"/>
      <c r="FJ4433" s="164"/>
      <c r="FL4433" s="2"/>
      <c r="FN4433" s="2"/>
    </row>
    <row r="4434" spans="153:170" x14ac:dyDescent="0.35">
      <c r="EW4434" s="48"/>
      <c r="FB4434" s="5"/>
      <c r="FI4434" s="5"/>
      <c r="FJ4434" s="164"/>
      <c r="FL4434" s="2"/>
      <c r="FN4434" s="2"/>
    </row>
    <row r="4435" spans="153:170" x14ac:dyDescent="0.35">
      <c r="EW4435" s="48"/>
      <c r="FB4435" s="5"/>
      <c r="FI4435" s="5"/>
      <c r="FJ4435" s="164"/>
      <c r="FL4435" s="2"/>
      <c r="FN4435" s="2"/>
    </row>
    <row r="4436" spans="153:170" x14ac:dyDescent="0.35">
      <c r="EW4436" s="48"/>
      <c r="FB4436" s="5"/>
      <c r="FI4436" s="5"/>
      <c r="FJ4436" s="164"/>
      <c r="FL4436" s="2"/>
      <c r="FN4436" s="2"/>
    </row>
    <row r="4437" spans="153:170" x14ac:dyDescent="0.35">
      <c r="EW4437" s="48"/>
      <c r="FB4437" s="5"/>
      <c r="FI4437" s="5"/>
      <c r="FJ4437" s="164"/>
      <c r="FL4437" s="2"/>
      <c r="FN4437" s="2"/>
    </row>
    <row r="4438" spans="153:170" x14ac:dyDescent="0.35">
      <c r="EW4438" s="48"/>
      <c r="FB4438" s="5"/>
      <c r="FI4438" s="5"/>
      <c r="FJ4438" s="164"/>
      <c r="FL4438" s="2"/>
      <c r="FN4438" s="2"/>
    </row>
    <row r="4439" spans="153:170" x14ac:dyDescent="0.35">
      <c r="EW4439" s="48"/>
      <c r="FB4439" s="5"/>
      <c r="FI4439" s="5"/>
      <c r="FJ4439" s="164"/>
      <c r="FL4439" s="2"/>
      <c r="FN4439" s="2"/>
    </row>
    <row r="4440" spans="153:170" x14ac:dyDescent="0.35">
      <c r="EW4440" s="48"/>
      <c r="FB4440" s="5"/>
      <c r="FI4440" s="5"/>
      <c r="FJ4440" s="164"/>
      <c r="FL4440" s="2"/>
      <c r="FN4440" s="2"/>
    </row>
    <row r="4441" spans="153:170" x14ac:dyDescent="0.35">
      <c r="EW4441" s="48"/>
      <c r="FB4441" s="5"/>
      <c r="FI4441" s="5"/>
      <c r="FJ4441" s="164"/>
      <c r="FL4441" s="2"/>
      <c r="FN4441" s="2"/>
    </row>
    <row r="4442" spans="153:170" x14ac:dyDescent="0.35">
      <c r="EW4442" s="48"/>
      <c r="FB4442" s="5"/>
      <c r="FI4442" s="5"/>
      <c r="FJ4442" s="164"/>
      <c r="FL4442" s="2"/>
      <c r="FN4442" s="2"/>
    </row>
    <row r="4443" spans="153:170" x14ac:dyDescent="0.35">
      <c r="EW4443" s="48"/>
      <c r="FB4443" s="5"/>
      <c r="FI4443" s="5"/>
      <c r="FJ4443" s="164"/>
      <c r="FL4443" s="2"/>
      <c r="FN4443" s="2"/>
    </row>
    <row r="4444" spans="153:170" x14ac:dyDescent="0.35">
      <c r="EW4444" s="48"/>
      <c r="FB4444" s="5"/>
      <c r="FI4444" s="5"/>
      <c r="FJ4444" s="164"/>
      <c r="FL4444" s="2"/>
      <c r="FN4444" s="2"/>
    </row>
    <row r="4445" spans="153:170" x14ac:dyDescent="0.35">
      <c r="EW4445" s="48"/>
      <c r="FB4445" s="5"/>
      <c r="FI4445" s="5"/>
      <c r="FJ4445" s="164"/>
      <c r="FL4445" s="2"/>
      <c r="FN4445" s="2"/>
    </row>
    <row r="4446" spans="153:170" x14ac:dyDescent="0.35">
      <c r="EW4446" s="48"/>
      <c r="FB4446" s="5"/>
      <c r="FI4446" s="5"/>
      <c r="FJ4446" s="164"/>
      <c r="FL4446" s="2"/>
      <c r="FN4446" s="2"/>
    </row>
    <row r="4447" spans="153:170" x14ac:dyDescent="0.35">
      <c r="EW4447" s="48"/>
      <c r="FB4447" s="5"/>
      <c r="FI4447" s="5"/>
      <c r="FJ4447" s="164"/>
      <c r="FL4447" s="2"/>
      <c r="FN4447" s="2"/>
    </row>
    <row r="4448" spans="153:170" x14ac:dyDescent="0.35">
      <c r="EW4448" s="48"/>
      <c r="FB4448" s="5"/>
      <c r="FI4448" s="5"/>
      <c r="FJ4448" s="164"/>
      <c r="FL4448" s="2"/>
      <c r="FN4448" s="2"/>
    </row>
    <row r="4449" spans="153:170" x14ac:dyDescent="0.35">
      <c r="EW4449" s="48"/>
      <c r="FB4449" s="5"/>
      <c r="FI4449" s="5"/>
      <c r="FJ4449" s="164"/>
      <c r="FL4449" s="2"/>
      <c r="FN4449" s="2"/>
    </row>
    <row r="4450" spans="153:170" x14ac:dyDescent="0.35">
      <c r="EW4450" s="48"/>
      <c r="FB4450" s="5"/>
      <c r="FI4450" s="5"/>
      <c r="FJ4450" s="164"/>
      <c r="FL4450" s="2"/>
      <c r="FN4450" s="2"/>
    </row>
    <row r="4451" spans="153:170" x14ac:dyDescent="0.35">
      <c r="EW4451" s="48"/>
      <c r="FB4451" s="5"/>
      <c r="FI4451" s="5"/>
      <c r="FJ4451" s="164"/>
      <c r="FL4451" s="2"/>
      <c r="FN4451" s="2"/>
    </row>
    <row r="4452" spans="153:170" x14ac:dyDescent="0.35">
      <c r="EW4452" s="48"/>
      <c r="FB4452" s="5"/>
      <c r="FI4452" s="5"/>
      <c r="FJ4452" s="164"/>
      <c r="FL4452" s="2"/>
      <c r="FN4452" s="2"/>
    </row>
    <row r="4453" spans="153:170" x14ac:dyDescent="0.35">
      <c r="EW4453" s="48"/>
      <c r="FB4453" s="5"/>
      <c r="FI4453" s="5"/>
      <c r="FJ4453" s="164"/>
      <c r="FL4453" s="2"/>
      <c r="FN4453" s="2"/>
    </row>
    <row r="4454" spans="153:170" x14ac:dyDescent="0.35">
      <c r="EW4454" s="48"/>
      <c r="FB4454" s="5"/>
      <c r="FI4454" s="5"/>
      <c r="FJ4454" s="164"/>
      <c r="FL4454" s="2"/>
      <c r="FN4454" s="2"/>
    </row>
    <row r="4455" spans="153:170" x14ac:dyDescent="0.35">
      <c r="EW4455" s="48"/>
      <c r="FB4455" s="5"/>
      <c r="FI4455" s="5"/>
      <c r="FJ4455" s="164"/>
      <c r="FL4455" s="2"/>
      <c r="FN4455" s="2"/>
    </row>
    <row r="4456" spans="153:170" x14ac:dyDescent="0.35">
      <c r="EW4456" s="48"/>
      <c r="FB4456" s="5"/>
      <c r="FI4456" s="5"/>
      <c r="FJ4456" s="164"/>
      <c r="FL4456" s="2"/>
      <c r="FN4456" s="2"/>
    </row>
    <row r="4457" spans="153:170" x14ac:dyDescent="0.35">
      <c r="EW4457" s="48"/>
      <c r="FB4457" s="5"/>
      <c r="FI4457" s="5"/>
      <c r="FJ4457" s="164"/>
      <c r="FL4457" s="2"/>
      <c r="FN4457" s="2"/>
    </row>
    <row r="4458" spans="153:170" x14ac:dyDescent="0.35">
      <c r="EW4458" s="48"/>
      <c r="FB4458" s="5"/>
      <c r="FI4458" s="5"/>
      <c r="FJ4458" s="164"/>
      <c r="FL4458" s="2"/>
      <c r="FN4458" s="2"/>
    </row>
    <row r="4459" spans="153:170" x14ac:dyDescent="0.35">
      <c r="EW4459" s="48"/>
      <c r="FB4459" s="5"/>
      <c r="FI4459" s="5"/>
      <c r="FJ4459" s="164"/>
      <c r="FL4459" s="2"/>
      <c r="FN4459" s="2"/>
    </row>
    <row r="4460" spans="153:170" x14ac:dyDescent="0.35">
      <c r="EW4460" s="48"/>
      <c r="FB4460" s="5"/>
      <c r="FI4460" s="5"/>
      <c r="FJ4460" s="164"/>
      <c r="FL4460" s="2"/>
      <c r="FN4460" s="2"/>
    </row>
    <row r="4461" spans="153:170" x14ac:dyDescent="0.35">
      <c r="EW4461" s="48"/>
      <c r="FB4461" s="5"/>
      <c r="FI4461" s="5"/>
      <c r="FJ4461" s="164"/>
      <c r="FL4461" s="2"/>
      <c r="FN4461" s="2"/>
    </row>
    <row r="4462" spans="153:170" x14ac:dyDescent="0.35">
      <c r="EW4462" s="48"/>
      <c r="FB4462" s="5"/>
      <c r="FI4462" s="5"/>
      <c r="FJ4462" s="164"/>
      <c r="FL4462" s="2"/>
      <c r="FN4462" s="2"/>
    </row>
    <row r="4463" spans="153:170" x14ac:dyDescent="0.35">
      <c r="EW4463" s="48"/>
      <c r="FB4463" s="5"/>
      <c r="FI4463" s="5"/>
      <c r="FJ4463" s="164"/>
      <c r="FL4463" s="2"/>
      <c r="FN4463" s="2"/>
    </row>
    <row r="4464" spans="153:170" x14ac:dyDescent="0.35">
      <c r="EW4464" s="48"/>
      <c r="FB4464" s="5"/>
      <c r="FI4464" s="5"/>
      <c r="FJ4464" s="164"/>
      <c r="FL4464" s="2"/>
      <c r="FN4464" s="2"/>
    </row>
    <row r="4465" spans="153:170" x14ac:dyDescent="0.35">
      <c r="EW4465" s="48"/>
      <c r="FB4465" s="5"/>
      <c r="FI4465" s="5"/>
      <c r="FJ4465" s="164"/>
      <c r="FL4465" s="2"/>
      <c r="FN4465" s="2"/>
    </row>
    <row r="4466" spans="153:170" x14ac:dyDescent="0.35">
      <c r="EW4466" s="48"/>
      <c r="FB4466" s="5"/>
      <c r="FI4466" s="5"/>
      <c r="FJ4466" s="164"/>
      <c r="FL4466" s="2"/>
      <c r="FN4466" s="2"/>
    </row>
    <row r="4467" spans="153:170" x14ac:dyDescent="0.35">
      <c r="EW4467" s="48"/>
      <c r="FB4467" s="5"/>
      <c r="FI4467" s="5"/>
      <c r="FJ4467" s="164"/>
      <c r="FL4467" s="2"/>
      <c r="FN4467" s="2"/>
    </row>
    <row r="4468" spans="153:170" x14ac:dyDescent="0.35">
      <c r="EW4468" s="48"/>
      <c r="FB4468" s="5"/>
      <c r="FI4468" s="5"/>
      <c r="FJ4468" s="164"/>
      <c r="FL4468" s="2"/>
      <c r="FN4468" s="2"/>
    </row>
    <row r="4469" spans="153:170" x14ac:dyDescent="0.35">
      <c r="EW4469" s="48"/>
      <c r="FB4469" s="5"/>
      <c r="FI4469" s="5"/>
      <c r="FJ4469" s="164"/>
      <c r="FL4469" s="2"/>
      <c r="FN4469" s="2"/>
    </row>
    <row r="4470" spans="153:170" x14ac:dyDescent="0.35">
      <c r="EW4470" s="48"/>
      <c r="FB4470" s="5"/>
      <c r="FI4470" s="5"/>
      <c r="FJ4470" s="164"/>
      <c r="FL4470" s="2"/>
      <c r="FN4470" s="2"/>
    </row>
    <row r="4471" spans="153:170" x14ac:dyDescent="0.35">
      <c r="EW4471" s="48"/>
      <c r="FB4471" s="5"/>
      <c r="FI4471" s="5"/>
      <c r="FJ4471" s="164"/>
      <c r="FL4471" s="2"/>
      <c r="FN4471" s="2"/>
    </row>
    <row r="4472" spans="153:170" x14ac:dyDescent="0.35">
      <c r="EW4472" s="48"/>
      <c r="FB4472" s="5"/>
      <c r="FI4472" s="5"/>
      <c r="FJ4472" s="164"/>
      <c r="FL4472" s="2"/>
      <c r="FN4472" s="2"/>
    </row>
    <row r="4473" spans="153:170" x14ac:dyDescent="0.35">
      <c r="EW4473" s="48"/>
      <c r="FB4473" s="5"/>
      <c r="FI4473" s="5"/>
      <c r="FJ4473" s="164"/>
      <c r="FL4473" s="2"/>
      <c r="FN4473" s="2"/>
    </row>
    <row r="4474" spans="153:170" x14ac:dyDescent="0.35">
      <c r="EW4474" s="48"/>
      <c r="FB4474" s="5"/>
      <c r="FI4474" s="5"/>
      <c r="FJ4474" s="164"/>
      <c r="FL4474" s="2"/>
      <c r="FN4474" s="2"/>
    </row>
    <row r="4475" spans="153:170" x14ac:dyDescent="0.35">
      <c r="EW4475" s="48"/>
      <c r="FB4475" s="5"/>
      <c r="FI4475" s="5"/>
      <c r="FJ4475" s="164"/>
      <c r="FL4475" s="2"/>
      <c r="FN4475" s="2"/>
    </row>
    <row r="4476" spans="153:170" x14ac:dyDescent="0.35">
      <c r="EW4476" s="48"/>
      <c r="FB4476" s="5"/>
      <c r="FI4476" s="5"/>
      <c r="FJ4476" s="164"/>
      <c r="FL4476" s="2"/>
      <c r="FN4476" s="2"/>
    </row>
    <row r="4477" spans="153:170" x14ac:dyDescent="0.35">
      <c r="EW4477" s="48"/>
      <c r="FB4477" s="5"/>
      <c r="FI4477" s="5"/>
      <c r="FJ4477" s="164"/>
      <c r="FL4477" s="2"/>
      <c r="FN4477" s="2"/>
    </row>
    <row r="4478" spans="153:170" x14ac:dyDescent="0.35">
      <c r="EW4478" s="48"/>
      <c r="FB4478" s="5"/>
      <c r="FI4478" s="5"/>
      <c r="FJ4478" s="164"/>
      <c r="FL4478" s="2"/>
      <c r="FN4478" s="2"/>
    </row>
    <row r="4479" spans="153:170" x14ac:dyDescent="0.35">
      <c r="EW4479" s="48"/>
      <c r="FB4479" s="5"/>
      <c r="FI4479" s="5"/>
      <c r="FJ4479" s="164"/>
      <c r="FL4479" s="2"/>
      <c r="FN4479" s="2"/>
    </row>
    <row r="4480" spans="153:170" x14ac:dyDescent="0.35">
      <c r="EW4480" s="48"/>
      <c r="FB4480" s="5"/>
      <c r="FI4480" s="5"/>
      <c r="FJ4480" s="164"/>
      <c r="FL4480" s="2"/>
      <c r="FN4480" s="2"/>
    </row>
    <row r="4481" spans="153:170" x14ac:dyDescent="0.35">
      <c r="EW4481" s="48"/>
      <c r="FB4481" s="5"/>
      <c r="FI4481" s="5"/>
      <c r="FJ4481" s="164"/>
      <c r="FL4481" s="2"/>
      <c r="FN4481" s="2"/>
    </row>
    <row r="4482" spans="153:170" x14ac:dyDescent="0.35">
      <c r="EW4482" s="48"/>
      <c r="FB4482" s="5"/>
      <c r="FI4482" s="5"/>
      <c r="FJ4482" s="164"/>
      <c r="FL4482" s="2"/>
      <c r="FN4482" s="2"/>
    </row>
    <row r="4483" spans="153:170" x14ac:dyDescent="0.35">
      <c r="EW4483" s="48"/>
      <c r="FB4483" s="5"/>
      <c r="FI4483" s="5"/>
      <c r="FJ4483" s="164"/>
      <c r="FL4483" s="2"/>
      <c r="FN4483" s="2"/>
    </row>
    <row r="4484" spans="153:170" x14ac:dyDescent="0.35">
      <c r="EW4484" s="48"/>
      <c r="FB4484" s="5"/>
      <c r="FI4484" s="5"/>
      <c r="FJ4484" s="164"/>
      <c r="FL4484" s="2"/>
      <c r="FN4484" s="2"/>
    </row>
    <row r="4485" spans="153:170" x14ac:dyDescent="0.35">
      <c r="EW4485" s="48"/>
      <c r="FB4485" s="5"/>
      <c r="FI4485" s="5"/>
      <c r="FJ4485" s="164"/>
      <c r="FL4485" s="2"/>
      <c r="FN4485" s="2"/>
    </row>
    <row r="4486" spans="153:170" x14ac:dyDescent="0.35">
      <c r="EW4486" s="48"/>
      <c r="FB4486" s="5"/>
      <c r="FI4486" s="5"/>
      <c r="FJ4486" s="164"/>
      <c r="FL4486" s="2"/>
      <c r="FN4486" s="2"/>
    </row>
    <row r="4487" spans="153:170" x14ac:dyDescent="0.35">
      <c r="EW4487" s="48"/>
      <c r="FB4487" s="5"/>
      <c r="FI4487" s="5"/>
      <c r="FJ4487" s="164"/>
      <c r="FL4487" s="2"/>
      <c r="FN4487" s="2"/>
    </row>
    <row r="4488" spans="153:170" x14ac:dyDescent="0.35">
      <c r="EW4488" s="48"/>
      <c r="FB4488" s="5"/>
      <c r="FI4488" s="5"/>
      <c r="FJ4488" s="164"/>
      <c r="FL4488" s="2"/>
      <c r="FN4488" s="2"/>
    </row>
    <row r="4489" spans="153:170" x14ac:dyDescent="0.35">
      <c r="EW4489" s="48"/>
      <c r="FB4489" s="5"/>
      <c r="FI4489" s="5"/>
      <c r="FJ4489" s="164"/>
      <c r="FL4489" s="2"/>
      <c r="FN4489" s="2"/>
    </row>
    <row r="4490" spans="153:170" x14ac:dyDescent="0.35">
      <c r="EW4490" s="48"/>
      <c r="FB4490" s="5"/>
      <c r="FI4490" s="5"/>
      <c r="FJ4490" s="164"/>
      <c r="FL4490" s="2"/>
      <c r="FN4490" s="2"/>
    </row>
    <row r="4491" spans="153:170" x14ac:dyDescent="0.35">
      <c r="EW4491" s="48"/>
      <c r="FB4491" s="5"/>
      <c r="FI4491" s="5"/>
      <c r="FJ4491" s="164"/>
      <c r="FL4491" s="2"/>
      <c r="FN4491" s="2"/>
    </row>
    <row r="4492" spans="153:170" x14ac:dyDescent="0.35">
      <c r="EW4492" s="48"/>
      <c r="FB4492" s="5"/>
      <c r="FI4492" s="5"/>
      <c r="FJ4492" s="164"/>
      <c r="FL4492" s="2"/>
      <c r="FN4492" s="2"/>
    </row>
    <row r="4493" spans="153:170" x14ac:dyDescent="0.35">
      <c r="EW4493" s="48"/>
      <c r="FB4493" s="5"/>
      <c r="FI4493" s="5"/>
      <c r="FJ4493" s="164"/>
      <c r="FL4493" s="2"/>
      <c r="FN4493" s="2"/>
    </row>
    <row r="4494" spans="153:170" x14ac:dyDescent="0.35">
      <c r="EW4494" s="48"/>
      <c r="FB4494" s="5"/>
      <c r="FI4494" s="5"/>
      <c r="FJ4494" s="164"/>
      <c r="FL4494" s="2"/>
      <c r="FN4494" s="2"/>
    </row>
    <row r="4495" spans="153:170" x14ac:dyDescent="0.35">
      <c r="EW4495" s="48"/>
      <c r="FB4495" s="5"/>
      <c r="FI4495" s="5"/>
      <c r="FJ4495" s="164"/>
      <c r="FL4495" s="2"/>
      <c r="FN4495" s="2"/>
    </row>
    <row r="4496" spans="153:170" x14ac:dyDescent="0.35">
      <c r="EW4496" s="48"/>
      <c r="FB4496" s="5"/>
      <c r="FI4496" s="5"/>
      <c r="FJ4496" s="164"/>
      <c r="FL4496" s="2"/>
      <c r="FN4496" s="2"/>
    </row>
    <row r="4497" spans="153:170" x14ac:dyDescent="0.35">
      <c r="EW4497" s="48"/>
      <c r="FB4497" s="5"/>
      <c r="FI4497" s="5"/>
      <c r="FJ4497" s="164"/>
      <c r="FL4497" s="2"/>
      <c r="FN4497" s="2"/>
    </row>
    <row r="4498" spans="153:170" x14ac:dyDescent="0.35">
      <c r="EW4498" s="48"/>
      <c r="FB4498" s="5"/>
      <c r="FI4498" s="5"/>
      <c r="FJ4498" s="164"/>
      <c r="FL4498" s="2"/>
      <c r="FN4498" s="2"/>
    </row>
    <row r="4499" spans="153:170" x14ac:dyDescent="0.35">
      <c r="EW4499" s="48"/>
      <c r="FB4499" s="5"/>
      <c r="FI4499" s="5"/>
      <c r="FJ4499" s="164"/>
      <c r="FL4499" s="2"/>
      <c r="FN4499" s="2"/>
    </row>
    <row r="4500" spans="153:170" x14ac:dyDescent="0.35">
      <c r="EW4500" s="48"/>
      <c r="FB4500" s="5"/>
      <c r="FI4500" s="5"/>
      <c r="FJ4500" s="164"/>
      <c r="FL4500" s="2"/>
      <c r="FN4500" s="2"/>
    </row>
    <row r="4501" spans="153:170" x14ac:dyDescent="0.35">
      <c r="EW4501" s="48"/>
      <c r="FB4501" s="5"/>
      <c r="FI4501" s="5"/>
      <c r="FJ4501" s="164"/>
      <c r="FL4501" s="2"/>
      <c r="FN4501" s="2"/>
    </row>
    <row r="4502" spans="153:170" x14ac:dyDescent="0.35">
      <c r="EW4502" s="48"/>
      <c r="FB4502" s="5"/>
      <c r="FI4502" s="5"/>
      <c r="FJ4502" s="164"/>
      <c r="FL4502" s="2"/>
      <c r="FN4502" s="2"/>
    </row>
    <row r="4503" spans="153:170" x14ac:dyDescent="0.35">
      <c r="EW4503" s="48"/>
      <c r="FB4503" s="5"/>
      <c r="FI4503" s="5"/>
      <c r="FJ4503" s="164"/>
      <c r="FL4503" s="2"/>
      <c r="FN4503" s="2"/>
    </row>
    <row r="4504" spans="153:170" x14ac:dyDescent="0.35">
      <c r="EW4504" s="48"/>
      <c r="FB4504" s="5"/>
      <c r="FI4504" s="5"/>
      <c r="FJ4504" s="164"/>
      <c r="FL4504" s="2"/>
      <c r="FN4504" s="2"/>
    </row>
    <row r="4505" spans="153:170" x14ac:dyDescent="0.35">
      <c r="EW4505" s="48"/>
      <c r="FB4505" s="5"/>
      <c r="FI4505" s="5"/>
      <c r="FJ4505" s="164"/>
      <c r="FL4505" s="2"/>
      <c r="FN4505" s="2"/>
    </row>
    <row r="4506" spans="153:170" x14ac:dyDescent="0.35">
      <c r="EW4506" s="48"/>
      <c r="FB4506" s="5"/>
      <c r="FI4506" s="5"/>
      <c r="FJ4506" s="164"/>
      <c r="FL4506" s="2"/>
      <c r="FN4506" s="2"/>
    </row>
    <row r="4507" spans="153:170" x14ac:dyDescent="0.35">
      <c r="EW4507" s="48"/>
      <c r="FB4507" s="5"/>
      <c r="FI4507" s="5"/>
      <c r="FJ4507" s="164"/>
      <c r="FL4507" s="2"/>
      <c r="FN4507" s="2"/>
    </row>
    <row r="4508" spans="153:170" x14ac:dyDescent="0.35">
      <c r="EW4508" s="48"/>
      <c r="FB4508" s="5"/>
      <c r="FI4508" s="5"/>
      <c r="FJ4508" s="164"/>
      <c r="FL4508" s="2"/>
      <c r="FN4508" s="2"/>
    </row>
    <row r="4509" spans="153:170" x14ac:dyDescent="0.35">
      <c r="EW4509" s="48"/>
      <c r="FB4509" s="5"/>
      <c r="FI4509" s="5"/>
      <c r="FJ4509" s="164"/>
      <c r="FL4509" s="2"/>
      <c r="FN4509" s="2"/>
    </row>
    <row r="4510" spans="153:170" x14ac:dyDescent="0.35">
      <c r="EW4510" s="48"/>
      <c r="FB4510" s="5"/>
      <c r="FI4510" s="5"/>
      <c r="FJ4510" s="164"/>
      <c r="FL4510" s="2"/>
      <c r="FN4510" s="2"/>
    </row>
    <row r="4511" spans="153:170" x14ac:dyDescent="0.35">
      <c r="EW4511" s="48"/>
      <c r="FB4511" s="5"/>
      <c r="FI4511" s="5"/>
      <c r="FJ4511" s="164"/>
      <c r="FL4511" s="2"/>
      <c r="FN4511" s="2"/>
    </row>
    <row r="4512" spans="153:170" x14ac:dyDescent="0.35">
      <c r="EW4512" s="48"/>
      <c r="FB4512" s="5"/>
      <c r="FI4512" s="5"/>
      <c r="FJ4512" s="164"/>
      <c r="FL4512" s="2"/>
      <c r="FN4512" s="2"/>
    </row>
    <row r="4513" spans="153:170" x14ac:dyDescent="0.35">
      <c r="EW4513" s="48"/>
      <c r="FB4513" s="5"/>
      <c r="FI4513" s="5"/>
      <c r="FJ4513" s="164"/>
      <c r="FL4513" s="2"/>
      <c r="FN4513" s="2"/>
    </row>
    <row r="4514" spans="153:170" x14ac:dyDescent="0.35">
      <c r="EW4514" s="48"/>
      <c r="FB4514" s="5"/>
      <c r="FI4514" s="5"/>
      <c r="FJ4514" s="164"/>
      <c r="FL4514" s="2"/>
      <c r="FN4514" s="2"/>
    </row>
    <row r="4515" spans="153:170" x14ac:dyDescent="0.35">
      <c r="EW4515" s="48"/>
      <c r="FB4515" s="5"/>
      <c r="FI4515" s="5"/>
      <c r="FJ4515" s="164"/>
      <c r="FL4515" s="2"/>
      <c r="FN4515" s="2"/>
    </row>
    <row r="4516" spans="153:170" x14ac:dyDescent="0.35">
      <c r="EW4516" s="48"/>
      <c r="FB4516" s="5"/>
      <c r="FI4516" s="5"/>
      <c r="FJ4516" s="164"/>
      <c r="FL4516" s="2"/>
      <c r="FN4516" s="2"/>
    </row>
    <row r="4517" spans="153:170" x14ac:dyDescent="0.35">
      <c r="EW4517" s="48"/>
      <c r="FB4517" s="5"/>
      <c r="FI4517" s="5"/>
      <c r="FJ4517" s="164"/>
      <c r="FL4517" s="2"/>
      <c r="FN4517" s="2"/>
    </row>
    <row r="4518" spans="153:170" x14ac:dyDescent="0.35">
      <c r="EW4518" s="48"/>
      <c r="FB4518" s="5"/>
      <c r="FI4518" s="5"/>
      <c r="FJ4518" s="164"/>
      <c r="FL4518" s="2"/>
      <c r="FN4518" s="2"/>
    </row>
    <row r="4519" spans="153:170" x14ac:dyDescent="0.35">
      <c r="EW4519" s="48"/>
      <c r="FB4519" s="5"/>
      <c r="FI4519" s="5"/>
      <c r="FJ4519" s="164"/>
      <c r="FL4519" s="2"/>
      <c r="FN4519" s="2"/>
    </row>
    <row r="4520" spans="153:170" x14ac:dyDescent="0.35">
      <c r="EW4520" s="48"/>
      <c r="FB4520" s="5"/>
      <c r="FI4520" s="5"/>
      <c r="FJ4520" s="164"/>
      <c r="FL4520" s="2"/>
      <c r="FN4520" s="2"/>
    </row>
    <row r="4521" spans="153:170" x14ac:dyDescent="0.35">
      <c r="EW4521" s="48"/>
      <c r="FB4521" s="5"/>
      <c r="FI4521" s="5"/>
      <c r="FJ4521" s="164"/>
      <c r="FL4521" s="2"/>
      <c r="FN4521" s="2"/>
    </row>
    <row r="4522" spans="153:170" x14ac:dyDescent="0.35">
      <c r="EW4522" s="48"/>
      <c r="FB4522" s="5"/>
      <c r="FI4522" s="5"/>
      <c r="FJ4522" s="164"/>
      <c r="FL4522" s="2"/>
      <c r="FN4522" s="2"/>
    </row>
    <row r="4523" spans="153:170" x14ac:dyDescent="0.35">
      <c r="EW4523" s="48"/>
      <c r="FB4523" s="5"/>
      <c r="FI4523" s="5"/>
      <c r="FJ4523" s="164"/>
      <c r="FL4523" s="2"/>
      <c r="FN4523" s="2"/>
    </row>
    <row r="4524" spans="153:170" x14ac:dyDescent="0.35">
      <c r="EW4524" s="48"/>
      <c r="FB4524" s="5"/>
      <c r="FI4524" s="5"/>
      <c r="FJ4524" s="164"/>
      <c r="FL4524" s="2"/>
      <c r="FN4524" s="2"/>
    </row>
    <row r="4525" spans="153:170" x14ac:dyDescent="0.35">
      <c r="EW4525" s="48"/>
      <c r="FB4525" s="5"/>
      <c r="FI4525" s="5"/>
      <c r="FJ4525" s="164"/>
      <c r="FL4525" s="2"/>
      <c r="FN4525" s="2"/>
    </row>
    <row r="4526" spans="153:170" x14ac:dyDescent="0.35">
      <c r="EW4526" s="48"/>
      <c r="FB4526" s="5"/>
      <c r="FI4526" s="5"/>
      <c r="FJ4526" s="164"/>
      <c r="FL4526" s="2"/>
      <c r="FN4526" s="2"/>
    </row>
    <row r="4527" spans="153:170" x14ac:dyDescent="0.35">
      <c r="EW4527" s="48"/>
      <c r="FB4527" s="5"/>
      <c r="FI4527" s="5"/>
      <c r="FJ4527" s="164"/>
      <c r="FL4527" s="2"/>
      <c r="FN4527" s="2"/>
    </row>
    <row r="4528" spans="153:170" x14ac:dyDescent="0.35">
      <c r="EW4528" s="48"/>
      <c r="FB4528" s="5"/>
      <c r="FI4528" s="5"/>
      <c r="FJ4528" s="164"/>
      <c r="FL4528" s="2"/>
      <c r="FN4528" s="2"/>
    </row>
    <row r="4529" spans="153:170" x14ac:dyDescent="0.35">
      <c r="EW4529" s="48"/>
      <c r="FB4529" s="5"/>
      <c r="FI4529" s="5"/>
      <c r="FJ4529" s="164"/>
      <c r="FL4529" s="2"/>
      <c r="FN4529" s="2"/>
    </row>
    <row r="4530" spans="153:170" x14ac:dyDescent="0.35">
      <c r="EW4530" s="48"/>
      <c r="FB4530" s="5"/>
      <c r="FI4530" s="5"/>
      <c r="FJ4530" s="164"/>
      <c r="FL4530" s="2"/>
      <c r="FN4530" s="2"/>
    </row>
    <row r="4531" spans="153:170" x14ac:dyDescent="0.35">
      <c r="EW4531" s="48"/>
      <c r="FB4531" s="5"/>
      <c r="FI4531" s="5"/>
      <c r="FJ4531" s="164"/>
      <c r="FL4531" s="2"/>
      <c r="FN4531" s="2"/>
    </row>
    <row r="4532" spans="153:170" x14ac:dyDescent="0.35">
      <c r="EW4532" s="48"/>
      <c r="FB4532" s="5"/>
      <c r="FI4532" s="5"/>
      <c r="FJ4532" s="164"/>
      <c r="FL4532" s="2"/>
      <c r="FN4532" s="2"/>
    </row>
    <row r="4533" spans="153:170" x14ac:dyDescent="0.35">
      <c r="EW4533" s="48"/>
      <c r="FB4533" s="5"/>
      <c r="FI4533" s="5"/>
      <c r="FJ4533" s="164"/>
      <c r="FL4533" s="2"/>
      <c r="FN4533" s="2"/>
    </row>
    <row r="4534" spans="153:170" x14ac:dyDescent="0.35">
      <c r="EW4534" s="48"/>
      <c r="FB4534" s="5"/>
      <c r="FI4534" s="5"/>
      <c r="FJ4534" s="164"/>
      <c r="FL4534" s="2"/>
      <c r="FN4534" s="2"/>
    </row>
    <row r="4535" spans="153:170" x14ac:dyDescent="0.35">
      <c r="EW4535" s="48"/>
      <c r="FB4535" s="5"/>
      <c r="FI4535" s="5"/>
      <c r="FJ4535" s="164"/>
      <c r="FL4535" s="2"/>
      <c r="FN4535" s="2"/>
    </row>
    <row r="4536" spans="153:170" x14ac:dyDescent="0.35">
      <c r="EW4536" s="48"/>
      <c r="FB4536" s="5"/>
      <c r="FI4536" s="5"/>
      <c r="FJ4536" s="164"/>
      <c r="FL4536" s="2"/>
      <c r="FN4536" s="2"/>
    </row>
    <row r="4537" spans="153:170" x14ac:dyDescent="0.35">
      <c r="EW4537" s="48"/>
      <c r="FB4537" s="5"/>
      <c r="FI4537" s="5"/>
      <c r="FJ4537" s="164"/>
      <c r="FL4537" s="2"/>
      <c r="FN4537" s="2"/>
    </row>
    <row r="4538" spans="153:170" x14ac:dyDescent="0.35">
      <c r="EW4538" s="48"/>
      <c r="FB4538" s="5"/>
      <c r="FI4538" s="5"/>
      <c r="FJ4538" s="164"/>
      <c r="FL4538" s="2"/>
      <c r="FN4538" s="2"/>
    </row>
    <row r="4539" spans="153:170" x14ac:dyDescent="0.35">
      <c r="EW4539" s="48"/>
      <c r="FB4539" s="5"/>
      <c r="FI4539" s="5"/>
      <c r="FJ4539" s="164"/>
      <c r="FL4539" s="2"/>
      <c r="FN4539" s="2"/>
    </row>
    <row r="4540" spans="153:170" x14ac:dyDescent="0.35">
      <c r="EW4540" s="48"/>
      <c r="FB4540" s="5"/>
      <c r="FI4540" s="5"/>
      <c r="FJ4540" s="164"/>
      <c r="FL4540" s="2"/>
      <c r="FN4540" s="2"/>
    </row>
    <row r="4541" spans="153:170" x14ac:dyDescent="0.35">
      <c r="EW4541" s="48"/>
      <c r="FB4541" s="5"/>
      <c r="FI4541" s="5"/>
      <c r="FJ4541" s="164"/>
      <c r="FL4541" s="2"/>
      <c r="FN4541" s="2"/>
    </row>
    <row r="4542" spans="153:170" x14ac:dyDescent="0.35">
      <c r="EW4542" s="48"/>
      <c r="FB4542" s="5"/>
      <c r="FI4542" s="5"/>
      <c r="FJ4542" s="164"/>
      <c r="FL4542" s="2"/>
      <c r="FN4542" s="2"/>
    </row>
    <row r="4543" spans="153:170" x14ac:dyDescent="0.35">
      <c r="EW4543" s="48"/>
      <c r="FB4543" s="5"/>
      <c r="FI4543" s="5"/>
      <c r="FJ4543" s="164"/>
      <c r="FL4543" s="2"/>
      <c r="FN4543" s="2"/>
    </row>
    <row r="4544" spans="153:170" x14ac:dyDescent="0.35">
      <c r="EW4544" s="48"/>
      <c r="FB4544" s="5"/>
      <c r="FI4544" s="5"/>
      <c r="FJ4544" s="164"/>
      <c r="FL4544" s="2"/>
      <c r="FN4544" s="2"/>
    </row>
    <row r="4545" spans="153:170" x14ac:dyDescent="0.35">
      <c r="EW4545" s="48"/>
      <c r="FB4545" s="5"/>
      <c r="FI4545" s="5"/>
      <c r="FJ4545" s="164"/>
      <c r="FL4545" s="2"/>
      <c r="FN4545" s="2"/>
    </row>
    <row r="4546" spans="153:170" x14ac:dyDescent="0.35">
      <c r="EW4546" s="48"/>
      <c r="FB4546" s="5"/>
      <c r="FI4546" s="5"/>
      <c r="FJ4546" s="164"/>
      <c r="FL4546" s="2"/>
      <c r="FN4546" s="2"/>
    </row>
    <row r="4547" spans="153:170" x14ac:dyDescent="0.35">
      <c r="EW4547" s="48"/>
      <c r="FB4547" s="5"/>
      <c r="FI4547" s="5"/>
      <c r="FJ4547" s="164"/>
      <c r="FL4547" s="2"/>
      <c r="FN4547" s="2"/>
    </row>
    <row r="4548" spans="153:170" x14ac:dyDescent="0.35">
      <c r="EW4548" s="48"/>
      <c r="FB4548" s="5"/>
      <c r="FI4548" s="5"/>
      <c r="FJ4548" s="164"/>
      <c r="FL4548" s="2"/>
      <c r="FN4548" s="2"/>
    </row>
    <row r="4549" spans="153:170" x14ac:dyDescent="0.35">
      <c r="EW4549" s="48"/>
      <c r="FB4549" s="5"/>
      <c r="FI4549" s="5"/>
      <c r="FJ4549" s="164"/>
      <c r="FL4549" s="2"/>
      <c r="FN4549" s="2"/>
    </row>
    <row r="4550" spans="153:170" x14ac:dyDescent="0.35">
      <c r="EW4550" s="48"/>
      <c r="FB4550" s="5"/>
      <c r="FI4550" s="5"/>
      <c r="FJ4550" s="164"/>
      <c r="FL4550" s="2"/>
      <c r="FN4550" s="2"/>
    </row>
    <row r="4551" spans="153:170" x14ac:dyDescent="0.35">
      <c r="EW4551" s="48"/>
      <c r="FB4551" s="5"/>
      <c r="FI4551" s="5"/>
      <c r="FJ4551" s="164"/>
      <c r="FL4551" s="2"/>
      <c r="FN4551" s="2"/>
    </row>
    <row r="4552" spans="153:170" x14ac:dyDescent="0.35">
      <c r="EW4552" s="48"/>
      <c r="FB4552" s="5"/>
      <c r="FI4552" s="5"/>
      <c r="FJ4552" s="164"/>
      <c r="FL4552" s="2"/>
      <c r="FN4552" s="2"/>
    </row>
    <row r="4553" spans="153:170" x14ac:dyDescent="0.35">
      <c r="EW4553" s="48"/>
      <c r="FB4553" s="5"/>
      <c r="FI4553" s="5"/>
      <c r="FJ4553" s="164"/>
      <c r="FL4553" s="2"/>
      <c r="FN4553" s="2"/>
    </row>
    <row r="4554" spans="153:170" x14ac:dyDescent="0.35">
      <c r="EW4554" s="48"/>
      <c r="FB4554" s="5"/>
      <c r="FI4554" s="5"/>
      <c r="FJ4554" s="164"/>
      <c r="FL4554" s="2"/>
      <c r="FN4554" s="2"/>
    </row>
    <row r="4555" spans="153:170" x14ac:dyDescent="0.35">
      <c r="EW4555" s="48"/>
      <c r="FB4555" s="5"/>
      <c r="FI4555" s="5"/>
      <c r="FJ4555" s="164"/>
      <c r="FL4555" s="2"/>
      <c r="FN4555" s="2"/>
    </row>
    <row r="4556" spans="153:170" x14ac:dyDescent="0.35">
      <c r="EW4556" s="48"/>
      <c r="FB4556" s="5"/>
      <c r="FI4556" s="5"/>
      <c r="FJ4556" s="164"/>
      <c r="FL4556" s="2"/>
      <c r="FN4556" s="2"/>
    </row>
    <row r="4557" spans="153:170" x14ac:dyDescent="0.35">
      <c r="EW4557" s="48"/>
      <c r="FB4557" s="5"/>
      <c r="FI4557" s="5"/>
      <c r="FJ4557" s="164"/>
      <c r="FL4557" s="2"/>
      <c r="FN4557" s="2"/>
    </row>
    <row r="4558" spans="153:170" x14ac:dyDescent="0.35">
      <c r="EW4558" s="48"/>
      <c r="FB4558" s="5"/>
      <c r="FI4558" s="5"/>
      <c r="FJ4558" s="164"/>
      <c r="FL4558" s="2"/>
      <c r="FN4558" s="2"/>
    </row>
    <row r="4559" spans="153:170" x14ac:dyDescent="0.35">
      <c r="EW4559" s="48"/>
      <c r="FB4559" s="5"/>
      <c r="FI4559" s="5"/>
      <c r="FJ4559" s="164"/>
      <c r="FL4559" s="2"/>
      <c r="FN4559" s="2"/>
    </row>
    <row r="4560" spans="153:170" x14ac:dyDescent="0.35">
      <c r="EW4560" s="48"/>
      <c r="FB4560" s="5"/>
      <c r="FI4560" s="5"/>
      <c r="FJ4560" s="164"/>
      <c r="FL4560" s="2"/>
      <c r="FN4560" s="2"/>
    </row>
    <row r="4561" spans="153:170" x14ac:dyDescent="0.35">
      <c r="EW4561" s="48"/>
      <c r="FB4561" s="5"/>
      <c r="FI4561" s="5"/>
      <c r="FJ4561" s="164"/>
      <c r="FL4561" s="2"/>
      <c r="FN4561" s="2"/>
    </row>
    <row r="4562" spans="153:170" x14ac:dyDescent="0.35">
      <c r="EW4562" s="48"/>
      <c r="FB4562" s="5"/>
      <c r="FI4562" s="5"/>
      <c r="FJ4562" s="164"/>
      <c r="FL4562" s="2"/>
      <c r="FN4562" s="2"/>
    </row>
    <row r="4563" spans="153:170" x14ac:dyDescent="0.35">
      <c r="EW4563" s="48"/>
      <c r="FB4563" s="5"/>
      <c r="FI4563" s="5"/>
      <c r="FJ4563" s="164"/>
      <c r="FL4563" s="2"/>
      <c r="FN4563" s="2"/>
    </row>
    <row r="4564" spans="153:170" x14ac:dyDescent="0.35">
      <c r="EW4564" s="48"/>
      <c r="FB4564" s="5"/>
      <c r="FI4564" s="5"/>
      <c r="FJ4564" s="164"/>
      <c r="FL4564" s="2"/>
      <c r="FN4564" s="2"/>
    </row>
    <row r="4565" spans="153:170" x14ac:dyDescent="0.35">
      <c r="EW4565" s="48"/>
      <c r="FB4565" s="5"/>
      <c r="FI4565" s="5"/>
      <c r="FJ4565" s="164"/>
      <c r="FL4565" s="2"/>
      <c r="FN4565" s="2"/>
    </row>
    <row r="4566" spans="153:170" x14ac:dyDescent="0.35">
      <c r="EW4566" s="48"/>
      <c r="FB4566" s="5"/>
      <c r="FI4566" s="5"/>
      <c r="FJ4566" s="164"/>
      <c r="FL4566" s="2"/>
      <c r="FN4566" s="2"/>
    </row>
    <row r="4567" spans="153:170" x14ac:dyDescent="0.35">
      <c r="EW4567" s="48"/>
      <c r="FB4567" s="5"/>
      <c r="FI4567" s="5"/>
      <c r="FJ4567" s="164"/>
      <c r="FL4567" s="2"/>
      <c r="FN4567" s="2"/>
    </row>
    <row r="4568" spans="153:170" x14ac:dyDescent="0.35">
      <c r="EW4568" s="48"/>
      <c r="FB4568" s="5"/>
      <c r="FI4568" s="5"/>
      <c r="FJ4568" s="164"/>
      <c r="FL4568" s="2"/>
      <c r="FN4568" s="2"/>
    </row>
    <row r="4569" spans="153:170" x14ac:dyDescent="0.35">
      <c r="EW4569" s="48"/>
      <c r="FB4569" s="5"/>
      <c r="FI4569" s="5"/>
      <c r="FJ4569" s="164"/>
      <c r="FL4569" s="2"/>
      <c r="FN4569" s="2"/>
    </row>
    <row r="4570" spans="153:170" x14ac:dyDescent="0.35">
      <c r="EW4570" s="48"/>
      <c r="FB4570" s="5"/>
      <c r="FI4570" s="5"/>
      <c r="FJ4570" s="164"/>
      <c r="FL4570" s="2"/>
      <c r="FN4570" s="2"/>
    </row>
    <row r="4571" spans="153:170" x14ac:dyDescent="0.35">
      <c r="EW4571" s="48"/>
      <c r="FB4571" s="5"/>
      <c r="FI4571" s="5"/>
      <c r="FJ4571" s="164"/>
      <c r="FL4571" s="2"/>
      <c r="FN4571" s="2"/>
    </row>
    <row r="4572" spans="153:170" x14ac:dyDescent="0.35">
      <c r="EW4572" s="48"/>
      <c r="FB4572" s="5"/>
      <c r="FI4572" s="5"/>
      <c r="FJ4572" s="164"/>
      <c r="FL4572" s="2"/>
      <c r="FN4572" s="2"/>
    </row>
    <row r="4573" spans="153:170" x14ac:dyDescent="0.35">
      <c r="EW4573" s="48"/>
      <c r="FB4573" s="5"/>
      <c r="FI4573" s="5"/>
      <c r="FJ4573" s="164"/>
      <c r="FL4573" s="2"/>
      <c r="FN4573" s="2"/>
    </row>
    <row r="4574" spans="153:170" x14ac:dyDescent="0.35">
      <c r="EW4574" s="48"/>
      <c r="FB4574" s="5"/>
      <c r="FI4574" s="5"/>
      <c r="FJ4574" s="164"/>
      <c r="FL4574" s="2"/>
      <c r="FN4574" s="2"/>
    </row>
    <row r="4575" spans="153:170" x14ac:dyDescent="0.35">
      <c r="EW4575" s="48"/>
      <c r="FB4575" s="5"/>
      <c r="FI4575" s="5"/>
      <c r="FJ4575" s="164"/>
      <c r="FL4575" s="2"/>
      <c r="FN4575" s="2"/>
    </row>
    <row r="4576" spans="153:170" x14ac:dyDescent="0.35">
      <c r="EW4576" s="48"/>
      <c r="FB4576" s="5"/>
      <c r="FI4576" s="5"/>
      <c r="FJ4576" s="164"/>
      <c r="FL4576" s="2"/>
      <c r="FN4576" s="2"/>
    </row>
    <row r="4577" spans="153:170" x14ac:dyDescent="0.35">
      <c r="EW4577" s="48"/>
      <c r="FB4577" s="5"/>
      <c r="FI4577" s="5"/>
      <c r="FJ4577" s="164"/>
      <c r="FL4577" s="2"/>
      <c r="FN4577" s="2"/>
    </row>
    <row r="4578" spans="153:170" x14ac:dyDescent="0.35">
      <c r="EW4578" s="48"/>
      <c r="FB4578" s="5"/>
      <c r="FI4578" s="5"/>
      <c r="FJ4578" s="164"/>
      <c r="FL4578" s="2"/>
      <c r="FN4578" s="2"/>
    </row>
    <row r="4579" spans="153:170" x14ac:dyDescent="0.35">
      <c r="EW4579" s="48"/>
      <c r="FB4579" s="5"/>
      <c r="FI4579" s="5"/>
      <c r="FJ4579" s="164"/>
      <c r="FL4579" s="2"/>
      <c r="FN4579" s="2"/>
    </row>
    <row r="4580" spans="153:170" x14ac:dyDescent="0.35">
      <c r="EW4580" s="48"/>
      <c r="FB4580" s="5"/>
      <c r="FI4580" s="5"/>
      <c r="FJ4580" s="164"/>
      <c r="FL4580" s="2"/>
      <c r="FN4580" s="2"/>
    </row>
    <row r="4581" spans="153:170" x14ac:dyDescent="0.35">
      <c r="EW4581" s="48"/>
      <c r="FB4581" s="5"/>
      <c r="FI4581" s="5"/>
      <c r="FJ4581" s="164"/>
      <c r="FL4581" s="2"/>
      <c r="FN4581" s="2"/>
    </row>
    <row r="4582" spans="153:170" x14ac:dyDescent="0.35">
      <c r="EW4582" s="48"/>
      <c r="FB4582" s="5"/>
      <c r="FI4582" s="5"/>
      <c r="FJ4582" s="164"/>
      <c r="FL4582" s="2"/>
      <c r="FN4582" s="2"/>
    </row>
    <row r="4583" spans="153:170" x14ac:dyDescent="0.35">
      <c r="EW4583" s="48"/>
      <c r="FB4583" s="5"/>
      <c r="FI4583" s="5"/>
      <c r="FJ4583" s="164"/>
      <c r="FL4583" s="2"/>
      <c r="FN4583" s="2"/>
    </row>
    <row r="4584" spans="153:170" x14ac:dyDescent="0.35">
      <c r="EW4584" s="48"/>
      <c r="FB4584" s="5"/>
      <c r="FI4584" s="5"/>
      <c r="FJ4584" s="164"/>
      <c r="FL4584" s="2"/>
      <c r="FN4584" s="2"/>
    </row>
    <row r="4585" spans="153:170" x14ac:dyDescent="0.35">
      <c r="EW4585" s="48"/>
      <c r="FB4585" s="5"/>
      <c r="FI4585" s="5"/>
      <c r="FJ4585" s="164"/>
      <c r="FL4585" s="2"/>
      <c r="FN4585" s="2"/>
    </row>
    <row r="4586" spans="153:170" x14ac:dyDescent="0.35">
      <c r="EW4586" s="48"/>
      <c r="FB4586" s="5"/>
      <c r="FI4586" s="5"/>
      <c r="FJ4586" s="164"/>
      <c r="FL4586" s="2"/>
      <c r="FN4586" s="2"/>
    </row>
    <row r="4587" spans="153:170" x14ac:dyDescent="0.35">
      <c r="EW4587" s="48"/>
      <c r="FB4587" s="5"/>
      <c r="FI4587" s="5"/>
      <c r="FJ4587" s="164"/>
      <c r="FL4587" s="2"/>
      <c r="FN4587" s="2"/>
    </row>
    <row r="4588" spans="153:170" x14ac:dyDescent="0.35">
      <c r="EW4588" s="48"/>
      <c r="FB4588" s="5"/>
      <c r="FI4588" s="5"/>
      <c r="FJ4588" s="164"/>
      <c r="FL4588" s="2"/>
      <c r="FN4588" s="2"/>
    </row>
    <row r="4589" spans="153:170" x14ac:dyDescent="0.35">
      <c r="EW4589" s="48"/>
      <c r="FB4589" s="5"/>
      <c r="FI4589" s="5"/>
      <c r="FJ4589" s="164"/>
      <c r="FL4589" s="2"/>
      <c r="FN4589" s="2"/>
    </row>
    <row r="4590" spans="153:170" x14ac:dyDescent="0.35">
      <c r="EW4590" s="48"/>
      <c r="FB4590" s="5"/>
      <c r="FI4590" s="5"/>
      <c r="FJ4590" s="164"/>
      <c r="FL4590" s="2"/>
      <c r="FN4590" s="2"/>
    </row>
    <row r="4591" spans="153:170" x14ac:dyDescent="0.35">
      <c r="EW4591" s="48"/>
      <c r="FB4591" s="5"/>
      <c r="FI4591" s="5"/>
      <c r="FJ4591" s="164"/>
      <c r="FL4591" s="2"/>
      <c r="FN4591" s="2"/>
    </row>
    <row r="4592" spans="153:170" x14ac:dyDescent="0.35">
      <c r="EW4592" s="48"/>
      <c r="FB4592" s="5"/>
      <c r="FI4592" s="5"/>
      <c r="FJ4592" s="164"/>
      <c r="FL4592" s="2"/>
      <c r="FN4592" s="2"/>
    </row>
    <row r="4593" spans="153:170" x14ac:dyDescent="0.35">
      <c r="EW4593" s="48"/>
      <c r="FB4593" s="5"/>
      <c r="FI4593" s="5"/>
      <c r="FJ4593" s="164"/>
      <c r="FL4593" s="2"/>
      <c r="FN4593" s="2"/>
    </row>
    <row r="4594" spans="153:170" x14ac:dyDescent="0.35">
      <c r="EW4594" s="48"/>
      <c r="FB4594" s="5"/>
      <c r="FI4594" s="5"/>
      <c r="FJ4594" s="164"/>
      <c r="FL4594" s="2"/>
      <c r="FN4594" s="2"/>
    </row>
    <row r="4595" spans="153:170" x14ac:dyDescent="0.35">
      <c r="EW4595" s="48"/>
      <c r="FB4595" s="5"/>
      <c r="FI4595" s="5"/>
      <c r="FJ4595" s="164"/>
      <c r="FL4595" s="2"/>
      <c r="FN4595" s="2"/>
    </row>
    <row r="4596" spans="153:170" x14ac:dyDescent="0.35">
      <c r="EW4596" s="48"/>
      <c r="FB4596" s="5"/>
      <c r="FI4596" s="5"/>
      <c r="FJ4596" s="164"/>
      <c r="FL4596" s="2"/>
      <c r="FN4596" s="2"/>
    </row>
    <row r="4597" spans="153:170" x14ac:dyDescent="0.35">
      <c r="EW4597" s="48"/>
      <c r="FB4597" s="5"/>
      <c r="FI4597" s="5"/>
      <c r="FJ4597" s="164"/>
      <c r="FL4597" s="2"/>
      <c r="FN4597" s="2"/>
    </row>
    <row r="4598" spans="153:170" x14ac:dyDescent="0.35">
      <c r="EW4598" s="48"/>
      <c r="FB4598" s="5"/>
      <c r="FI4598" s="5"/>
      <c r="FJ4598" s="164"/>
      <c r="FL4598" s="2"/>
      <c r="FN4598" s="2"/>
    </row>
    <row r="4599" spans="153:170" x14ac:dyDescent="0.35">
      <c r="EW4599" s="48"/>
      <c r="FB4599" s="5"/>
      <c r="FI4599" s="5"/>
      <c r="FJ4599" s="164"/>
      <c r="FL4599" s="2"/>
      <c r="FN4599" s="2"/>
    </row>
    <row r="4600" spans="153:170" x14ac:dyDescent="0.35">
      <c r="EW4600" s="48"/>
      <c r="FB4600" s="5"/>
      <c r="FI4600" s="5"/>
      <c r="FJ4600" s="164"/>
      <c r="FL4600" s="2"/>
      <c r="FN4600" s="2"/>
    </row>
    <row r="4601" spans="153:170" x14ac:dyDescent="0.35">
      <c r="EW4601" s="48"/>
      <c r="FB4601" s="5"/>
      <c r="FI4601" s="5"/>
      <c r="FJ4601" s="164"/>
      <c r="FL4601" s="2"/>
      <c r="FN4601" s="2"/>
    </row>
    <row r="4602" spans="153:170" x14ac:dyDescent="0.35">
      <c r="EW4602" s="48"/>
      <c r="FB4602" s="5"/>
      <c r="FI4602" s="5"/>
      <c r="FJ4602" s="164"/>
      <c r="FL4602" s="2"/>
      <c r="FN4602" s="2"/>
    </row>
    <row r="4603" spans="153:170" x14ac:dyDescent="0.35">
      <c r="EW4603" s="48"/>
      <c r="FB4603" s="5"/>
      <c r="FI4603" s="5"/>
      <c r="FJ4603" s="164"/>
      <c r="FL4603" s="2"/>
      <c r="FN4603" s="2"/>
    </row>
    <row r="4604" spans="153:170" x14ac:dyDescent="0.35">
      <c r="EW4604" s="48"/>
      <c r="FB4604" s="5"/>
      <c r="FI4604" s="5"/>
      <c r="FJ4604" s="164"/>
      <c r="FL4604" s="2"/>
      <c r="FN4604" s="2"/>
    </row>
    <row r="4605" spans="153:170" x14ac:dyDescent="0.35">
      <c r="EW4605" s="48"/>
      <c r="FB4605" s="5"/>
      <c r="FI4605" s="5"/>
      <c r="FJ4605" s="164"/>
      <c r="FL4605" s="2"/>
      <c r="FN4605" s="2"/>
    </row>
    <row r="4606" spans="153:170" x14ac:dyDescent="0.35">
      <c r="EW4606" s="48"/>
      <c r="FB4606" s="5"/>
      <c r="FI4606" s="5"/>
      <c r="FJ4606" s="164"/>
      <c r="FL4606" s="2"/>
      <c r="FN4606" s="2"/>
    </row>
    <row r="4607" spans="153:170" x14ac:dyDescent="0.35">
      <c r="EW4607" s="48"/>
      <c r="FB4607" s="5"/>
      <c r="FI4607" s="5"/>
      <c r="FJ4607" s="164"/>
      <c r="FL4607" s="2"/>
      <c r="FN4607" s="2"/>
    </row>
    <row r="4608" spans="153:170" x14ac:dyDescent="0.35">
      <c r="EW4608" s="48"/>
      <c r="FB4608" s="5"/>
      <c r="FI4608" s="5"/>
      <c r="FJ4608" s="164"/>
      <c r="FL4608" s="2"/>
      <c r="FN4608" s="2"/>
    </row>
    <row r="4609" spans="153:170" x14ac:dyDescent="0.35">
      <c r="EW4609" s="48"/>
      <c r="FB4609" s="5"/>
      <c r="FI4609" s="5"/>
      <c r="FJ4609" s="164"/>
      <c r="FL4609" s="2"/>
      <c r="FN4609" s="2"/>
    </row>
    <row r="4610" spans="153:170" x14ac:dyDescent="0.35">
      <c r="EW4610" s="48"/>
      <c r="FB4610" s="5"/>
      <c r="FI4610" s="5"/>
      <c r="FJ4610" s="164"/>
      <c r="FL4610" s="2"/>
      <c r="FN4610" s="2"/>
    </row>
    <row r="4611" spans="153:170" x14ac:dyDescent="0.35">
      <c r="EW4611" s="48"/>
      <c r="FB4611" s="5"/>
      <c r="FI4611" s="5"/>
      <c r="FJ4611" s="164"/>
      <c r="FL4611" s="2"/>
      <c r="FN4611" s="2"/>
    </row>
    <row r="4612" spans="153:170" x14ac:dyDescent="0.35">
      <c r="EW4612" s="48"/>
      <c r="FB4612" s="5"/>
      <c r="FI4612" s="5"/>
      <c r="FJ4612" s="164"/>
      <c r="FL4612" s="2"/>
      <c r="FN4612" s="2"/>
    </row>
    <row r="4613" spans="153:170" x14ac:dyDescent="0.35">
      <c r="EW4613" s="48"/>
      <c r="FB4613" s="5"/>
      <c r="FI4613" s="5"/>
      <c r="FJ4613" s="164"/>
      <c r="FL4613" s="2"/>
      <c r="FN4613" s="2"/>
    </row>
    <row r="4614" spans="153:170" x14ac:dyDescent="0.35">
      <c r="EW4614" s="48"/>
      <c r="FB4614" s="5"/>
      <c r="FI4614" s="5"/>
      <c r="FJ4614" s="164"/>
      <c r="FL4614" s="2"/>
      <c r="FN4614" s="2"/>
    </row>
    <row r="4615" spans="153:170" x14ac:dyDescent="0.35">
      <c r="EW4615" s="48"/>
      <c r="FB4615" s="5"/>
      <c r="FI4615" s="5"/>
      <c r="FJ4615" s="164"/>
      <c r="FL4615" s="2"/>
      <c r="FN4615" s="2"/>
    </row>
    <row r="4616" spans="153:170" x14ac:dyDescent="0.35">
      <c r="EW4616" s="48"/>
      <c r="FB4616" s="5"/>
      <c r="FI4616" s="5"/>
      <c r="FJ4616" s="164"/>
      <c r="FL4616" s="2"/>
      <c r="FN4616" s="2"/>
    </row>
    <row r="4617" spans="153:170" x14ac:dyDescent="0.35">
      <c r="EW4617" s="48"/>
      <c r="FB4617" s="5"/>
      <c r="FI4617" s="5"/>
      <c r="FJ4617" s="164"/>
      <c r="FL4617" s="2"/>
      <c r="FN4617" s="2"/>
    </row>
    <row r="4618" spans="153:170" x14ac:dyDescent="0.35">
      <c r="EW4618" s="48"/>
      <c r="FB4618" s="5"/>
      <c r="FI4618" s="5"/>
      <c r="FJ4618" s="164"/>
      <c r="FL4618" s="2"/>
      <c r="FN4618" s="2"/>
    </row>
    <row r="4619" spans="153:170" x14ac:dyDescent="0.35">
      <c r="EW4619" s="48"/>
      <c r="FB4619" s="5"/>
      <c r="FI4619" s="5"/>
      <c r="FJ4619" s="164"/>
      <c r="FL4619" s="2"/>
      <c r="FN4619" s="2"/>
    </row>
    <row r="4620" spans="153:170" x14ac:dyDescent="0.35">
      <c r="EW4620" s="48"/>
      <c r="FB4620" s="5"/>
      <c r="FI4620" s="5"/>
      <c r="FJ4620" s="164"/>
      <c r="FL4620" s="2"/>
      <c r="FN4620" s="2"/>
    </row>
    <row r="4621" spans="153:170" x14ac:dyDescent="0.35">
      <c r="EW4621" s="48"/>
      <c r="FB4621" s="5"/>
      <c r="FI4621" s="5"/>
      <c r="FJ4621" s="164"/>
      <c r="FL4621" s="2"/>
      <c r="FN4621" s="2"/>
    </row>
    <row r="4622" spans="153:170" x14ac:dyDescent="0.35">
      <c r="EW4622" s="48"/>
      <c r="FB4622" s="5"/>
      <c r="FI4622" s="5"/>
      <c r="FJ4622" s="164"/>
      <c r="FL4622" s="2"/>
      <c r="FN4622" s="2"/>
    </row>
    <row r="4623" spans="153:170" x14ac:dyDescent="0.35">
      <c r="EW4623" s="48"/>
      <c r="FB4623" s="5"/>
      <c r="FI4623" s="5"/>
      <c r="FJ4623" s="164"/>
      <c r="FL4623" s="2"/>
      <c r="FN4623" s="2"/>
    </row>
    <row r="4624" spans="153:170" x14ac:dyDescent="0.35">
      <c r="EW4624" s="48"/>
      <c r="FB4624" s="5"/>
      <c r="FI4624" s="5"/>
      <c r="FJ4624" s="164"/>
      <c r="FL4624" s="2"/>
      <c r="FN4624" s="2"/>
    </row>
    <row r="4625" spans="153:170" x14ac:dyDescent="0.35">
      <c r="EW4625" s="48"/>
      <c r="FB4625" s="5"/>
      <c r="FI4625" s="5"/>
      <c r="FJ4625" s="164"/>
      <c r="FL4625" s="2"/>
      <c r="FN4625" s="2"/>
    </row>
    <row r="4626" spans="153:170" x14ac:dyDescent="0.35">
      <c r="EW4626" s="48"/>
      <c r="FB4626" s="5"/>
      <c r="FI4626" s="5"/>
      <c r="FJ4626" s="164"/>
      <c r="FL4626" s="2"/>
      <c r="FN4626" s="2"/>
    </row>
    <row r="4627" spans="153:170" x14ac:dyDescent="0.35">
      <c r="EW4627" s="48"/>
      <c r="FB4627" s="5"/>
      <c r="FI4627" s="5"/>
      <c r="FJ4627" s="164"/>
      <c r="FL4627" s="2"/>
      <c r="FN4627" s="2"/>
    </row>
    <row r="4628" spans="153:170" x14ac:dyDescent="0.35">
      <c r="EW4628" s="48"/>
      <c r="FB4628" s="5"/>
      <c r="FI4628" s="5"/>
      <c r="FJ4628" s="164"/>
      <c r="FL4628" s="2"/>
      <c r="FN4628" s="2"/>
    </row>
    <row r="4629" spans="153:170" x14ac:dyDescent="0.35">
      <c r="EW4629" s="48"/>
      <c r="FB4629" s="5"/>
      <c r="FI4629" s="5"/>
      <c r="FJ4629" s="164"/>
      <c r="FL4629" s="2"/>
      <c r="FN4629" s="2"/>
    </row>
    <row r="4630" spans="153:170" x14ac:dyDescent="0.35">
      <c r="EW4630" s="48"/>
      <c r="FB4630" s="5"/>
      <c r="FI4630" s="5"/>
      <c r="FJ4630" s="164"/>
      <c r="FL4630" s="2"/>
      <c r="FN4630" s="2"/>
    </row>
    <row r="4631" spans="153:170" x14ac:dyDescent="0.35">
      <c r="EW4631" s="48"/>
      <c r="FB4631" s="5"/>
      <c r="FI4631" s="5"/>
      <c r="FJ4631" s="164"/>
      <c r="FL4631" s="2"/>
      <c r="FN4631" s="2"/>
    </row>
    <row r="4632" spans="153:170" x14ac:dyDescent="0.35">
      <c r="EW4632" s="48"/>
      <c r="FB4632" s="5"/>
      <c r="FI4632" s="5"/>
      <c r="FJ4632" s="164"/>
      <c r="FL4632" s="2"/>
      <c r="FN4632" s="2"/>
    </row>
    <row r="4633" spans="153:170" x14ac:dyDescent="0.35">
      <c r="EW4633" s="48"/>
      <c r="FB4633" s="5"/>
      <c r="FI4633" s="5"/>
      <c r="FJ4633" s="164"/>
      <c r="FL4633" s="2"/>
      <c r="FN4633" s="2"/>
    </row>
    <row r="4634" spans="153:170" x14ac:dyDescent="0.35">
      <c r="EW4634" s="48"/>
      <c r="FB4634" s="5"/>
      <c r="FI4634" s="5"/>
      <c r="FJ4634" s="164"/>
      <c r="FL4634" s="2"/>
      <c r="FN4634" s="2"/>
    </row>
    <row r="4635" spans="153:170" x14ac:dyDescent="0.35">
      <c r="EW4635" s="48"/>
      <c r="FB4635" s="5"/>
      <c r="FI4635" s="5"/>
      <c r="FJ4635" s="164"/>
      <c r="FL4635" s="2"/>
      <c r="FN4635" s="2"/>
    </row>
    <row r="4636" spans="153:170" x14ac:dyDescent="0.35">
      <c r="EW4636" s="48"/>
      <c r="FB4636" s="5"/>
      <c r="FI4636" s="5"/>
      <c r="FJ4636" s="164"/>
      <c r="FL4636" s="2"/>
      <c r="FN4636" s="2"/>
    </row>
    <row r="4637" spans="153:170" x14ac:dyDescent="0.35">
      <c r="EW4637" s="48"/>
      <c r="FB4637" s="5"/>
      <c r="FI4637" s="5"/>
      <c r="FJ4637" s="164"/>
      <c r="FL4637" s="2"/>
      <c r="FN4637" s="2"/>
    </row>
    <row r="4638" spans="153:170" x14ac:dyDescent="0.35">
      <c r="EW4638" s="48"/>
      <c r="FB4638" s="5"/>
      <c r="FI4638" s="5"/>
      <c r="FJ4638" s="164"/>
      <c r="FL4638" s="2"/>
      <c r="FN4638" s="2"/>
    </row>
    <row r="4639" spans="153:170" x14ac:dyDescent="0.35">
      <c r="EW4639" s="48"/>
      <c r="FB4639" s="5"/>
      <c r="FI4639" s="5"/>
      <c r="FJ4639" s="164"/>
      <c r="FL4639" s="2"/>
      <c r="FN4639" s="2"/>
    </row>
    <row r="4640" spans="153:170" x14ac:dyDescent="0.35">
      <c r="EW4640" s="48"/>
      <c r="FB4640" s="5"/>
      <c r="FI4640" s="5"/>
      <c r="FJ4640" s="164"/>
      <c r="FL4640" s="2"/>
      <c r="FN4640" s="2"/>
    </row>
    <row r="4641" spans="153:170" x14ac:dyDescent="0.35">
      <c r="EW4641" s="48"/>
      <c r="FB4641" s="5"/>
      <c r="FI4641" s="5"/>
      <c r="FJ4641" s="164"/>
      <c r="FL4641" s="2"/>
      <c r="FN4641" s="2"/>
    </row>
    <row r="4642" spans="153:170" x14ac:dyDescent="0.35">
      <c r="EW4642" s="48"/>
      <c r="FB4642" s="5"/>
      <c r="FI4642" s="5"/>
      <c r="FJ4642" s="164"/>
      <c r="FL4642" s="2"/>
      <c r="FN4642" s="2"/>
    </row>
    <row r="4643" spans="153:170" x14ac:dyDescent="0.35">
      <c r="EW4643" s="48"/>
      <c r="FB4643" s="5"/>
      <c r="FI4643" s="5"/>
      <c r="FJ4643" s="164"/>
      <c r="FL4643" s="2"/>
      <c r="FN4643" s="2"/>
    </row>
    <row r="4644" spans="153:170" x14ac:dyDescent="0.35">
      <c r="EW4644" s="48"/>
      <c r="FB4644" s="5"/>
      <c r="FI4644" s="5"/>
      <c r="FJ4644" s="164"/>
      <c r="FL4644" s="2"/>
      <c r="FN4644" s="2"/>
    </row>
    <row r="4645" spans="153:170" x14ac:dyDescent="0.35">
      <c r="EW4645" s="48"/>
      <c r="FB4645" s="5"/>
      <c r="FI4645" s="5"/>
      <c r="FJ4645" s="164"/>
      <c r="FL4645" s="2"/>
      <c r="FN4645" s="2"/>
    </row>
    <row r="4646" spans="153:170" x14ac:dyDescent="0.35">
      <c r="EW4646" s="48"/>
      <c r="FB4646" s="5"/>
      <c r="FI4646" s="5"/>
      <c r="FJ4646" s="164"/>
      <c r="FL4646" s="2"/>
      <c r="FN4646" s="2"/>
    </row>
    <row r="4647" spans="153:170" x14ac:dyDescent="0.35">
      <c r="EW4647" s="48"/>
      <c r="FB4647" s="5"/>
      <c r="FI4647" s="5"/>
      <c r="FJ4647" s="164"/>
      <c r="FL4647" s="2"/>
      <c r="FN4647" s="2"/>
    </row>
    <row r="4648" spans="153:170" x14ac:dyDescent="0.35">
      <c r="EW4648" s="48"/>
      <c r="FB4648" s="5"/>
      <c r="FI4648" s="5"/>
      <c r="FJ4648" s="164"/>
      <c r="FL4648" s="2"/>
      <c r="FN4648" s="2"/>
    </row>
    <row r="4649" spans="153:170" x14ac:dyDescent="0.35">
      <c r="EW4649" s="48"/>
      <c r="FB4649" s="5"/>
      <c r="FI4649" s="5"/>
      <c r="FJ4649" s="164"/>
      <c r="FL4649" s="2"/>
      <c r="FN4649" s="2"/>
    </row>
    <row r="4650" spans="153:170" x14ac:dyDescent="0.35">
      <c r="EW4650" s="48"/>
      <c r="FB4650" s="5"/>
      <c r="FI4650" s="5"/>
      <c r="FJ4650" s="164"/>
      <c r="FL4650" s="2"/>
      <c r="FN4650" s="2"/>
    </row>
    <row r="4651" spans="153:170" x14ac:dyDescent="0.35">
      <c r="EW4651" s="48"/>
      <c r="FB4651" s="5"/>
      <c r="FI4651" s="5"/>
      <c r="FJ4651" s="164"/>
      <c r="FL4651" s="2"/>
      <c r="FN4651" s="2"/>
    </row>
    <row r="4652" spans="153:170" x14ac:dyDescent="0.35">
      <c r="EW4652" s="48"/>
      <c r="FB4652" s="5"/>
      <c r="FI4652" s="5"/>
      <c r="FJ4652" s="164"/>
      <c r="FL4652" s="2"/>
      <c r="FN4652" s="2"/>
    </row>
    <row r="4653" spans="153:170" x14ac:dyDescent="0.35">
      <c r="EW4653" s="48"/>
      <c r="FB4653" s="5"/>
      <c r="FI4653" s="5"/>
      <c r="FJ4653" s="164"/>
      <c r="FL4653" s="2"/>
      <c r="FN4653" s="2"/>
    </row>
    <row r="4654" spans="153:170" x14ac:dyDescent="0.35">
      <c r="EW4654" s="48"/>
      <c r="FB4654" s="5"/>
      <c r="FI4654" s="5"/>
      <c r="FJ4654" s="164"/>
      <c r="FL4654" s="2"/>
      <c r="FN4654" s="2"/>
    </row>
    <row r="4655" spans="153:170" x14ac:dyDescent="0.35">
      <c r="EW4655" s="48"/>
      <c r="FB4655" s="5"/>
      <c r="FI4655" s="5"/>
      <c r="FJ4655" s="164"/>
      <c r="FL4655" s="2"/>
      <c r="FN4655" s="2"/>
    </row>
    <row r="4656" spans="153:170" x14ac:dyDescent="0.35">
      <c r="EW4656" s="48"/>
      <c r="FB4656" s="5"/>
      <c r="FI4656" s="5"/>
      <c r="FJ4656" s="164"/>
      <c r="FL4656" s="2"/>
      <c r="FN4656" s="2"/>
    </row>
    <row r="4657" spans="153:170" x14ac:dyDescent="0.35">
      <c r="EW4657" s="48"/>
      <c r="FB4657" s="5"/>
      <c r="FI4657" s="5"/>
      <c r="FJ4657" s="164"/>
      <c r="FL4657" s="2"/>
      <c r="FN4657" s="2"/>
    </row>
    <row r="4658" spans="153:170" x14ac:dyDescent="0.35">
      <c r="EW4658" s="48"/>
      <c r="FB4658" s="5"/>
      <c r="FI4658" s="5"/>
      <c r="FJ4658" s="164"/>
      <c r="FL4658" s="2"/>
      <c r="FN4658" s="2"/>
    </row>
    <row r="4659" spans="153:170" x14ac:dyDescent="0.35">
      <c r="EW4659" s="48"/>
      <c r="FB4659" s="5"/>
      <c r="FI4659" s="5"/>
      <c r="FJ4659" s="164"/>
      <c r="FL4659" s="2"/>
      <c r="FN4659" s="2"/>
    </row>
    <row r="4660" spans="153:170" x14ac:dyDescent="0.35">
      <c r="EW4660" s="48"/>
      <c r="FB4660" s="5"/>
      <c r="FI4660" s="5"/>
      <c r="FJ4660" s="164"/>
      <c r="FL4660" s="2"/>
      <c r="FN4660" s="2"/>
    </row>
    <row r="4661" spans="153:170" x14ac:dyDescent="0.35">
      <c r="EW4661" s="48"/>
      <c r="FB4661" s="5"/>
      <c r="FI4661" s="5"/>
      <c r="FJ4661" s="164"/>
      <c r="FL4661" s="2"/>
      <c r="FN4661" s="2"/>
    </row>
    <row r="4662" spans="153:170" x14ac:dyDescent="0.35">
      <c r="EW4662" s="48"/>
      <c r="FB4662" s="5"/>
      <c r="FI4662" s="5"/>
      <c r="FJ4662" s="164"/>
      <c r="FL4662" s="2"/>
      <c r="FN4662" s="2"/>
    </row>
    <row r="4663" spans="153:170" x14ac:dyDescent="0.35">
      <c r="EW4663" s="48"/>
      <c r="FB4663" s="5"/>
      <c r="FI4663" s="5"/>
      <c r="FJ4663" s="164"/>
      <c r="FL4663" s="2"/>
      <c r="FN4663" s="2"/>
    </row>
    <row r="4664" spans="153:170" x14ac:dyDescent="0.35">
      <c r="EW4664" s="48"/>
      <c r="FB4664" s="5"/>
      <c r="FI4664" s="5"/>
      <c r="FJ4664" s="164"/>
      <c r="FL4664" s="2"/>
      <c r="FN4664" s="2"/>
    </row>
    <row r="4665" spans="153:170" x14ac:dyDescent="0.35">
      <c r="EW4665" s="48"/>
      <c r="FB4665" s="5"/>
      <c r="FI4665" s="5"/>
      <c r="FJ4665" s="164"/>
      <c r="FL4665" s="2"/>
      <c r="FN4665" s="2"/>
    </row>
    <row r="4666" spans="153:170" x14ac:dyDescent="0.35">
      <c r="EW4666" s="48"/>
      <c r="FB4666" s="5"/>
      <c r="FI4666" s="5"/>
      <c r="FJ4666" s="164"/>
      <c r="FL4666" s="2"/>
      <c r="FN4666" s="2"/>
    </row>
    <row r="4667" spans="153:170" x14ac:dyDescent="0.35">
      <c r="EW4667" s="48"/>
      <c r="FB4667" s="5"/>
      <c r="FI4667" s="5"/>
      <c r="FJ4667" s="164"/>
      <c r="FL4667" s="2"/>
      <c r="FN4667" s="2"/>
    </row>
    <row r="4668" spans="153:170" x14ac:dyDescent="0.35">
      <c r="EW4668" s="48"/>
      <c r="FB4668" s="5"/>
      <c r="FI4668" s="5"/>
      <c r="FJ4668" s="164"/>
      <c r="FL4668" s="2"/>
      <c r="FN4668" s="2"/>
    </row>
    <row r="4669" spans="153:170" x14ac:dyDescent="0.35">
      <c r="EW4669" s="48"/>
      <c r="FB4669" s="5"/>
      <c r="FI4669" s="5"/>
      <c r="FJ4669" s="164"/>
      <c r="FL4669" s="2"/>
      <c r="FN4669" s="2"/>
    </row>
    <row r="4670" spans="153:170" x14ac:dyDescent="0.35">
      <c r="EW4670" s="48"/>
      <c r="FB4670" s="5"/>
      <c r="FI4670" s="5"/>
      <c r="FJ4670" s="164"/>
      <c r="FL4670" s="2"/>
      <c r="FN4670" s="2"/>
    </row>
    <row r="4671" spans="153:170" x14ac:dyDescent="0.35">
      <c r="EW4671" s="48"/>
      <c r="FB4671" s="5"/>
      <c r="FI4671" s="5"/>
      <c r="FJ4671" s="164"/>
      <c r="FL4671" s="2"/>
      <c r="FN4671" s="2"/>
    </row>
    <row r="4672" spans="153:170" x14ac:dyDescent="0.35">
      <c r="EW4672" s="48"/>
      <c r="FB4672" s="5"/>
      <c r="FI4672" s="5"/>
      <c r="FJ4672" s="164"/>
      <c r="FL4672" s="2"/>
      <c r="FN4672" s="2"/>
    </row>
    <row r="4673" spans="153:170" x14ac:dyDescent="0.35">
      <c r="EW4673" s="48"/>
      <c r="FB4673" s="5"/>
      <c r="FI4673" s="5"/>
      <c r="FJ4673" s="164"/>
      <c r="FL4673" s="2"/>
      <c r="FN4673" s="2"/>
    </row>
    <row r="4674" spans="153:170" x14ac:dyDescent="0.35">
      <c r="EW4674" s="48"/>
      <c r="FB4674" s="5"/>
      <c r="FI4674" s="5"/>
      <c r="FJ4674" s="164"/>
      <c r="FL4674" s="2"/>
      <c r="FN4674" s="2"/>
    </row>
    <row r="4675" spans="153:170" x14ac:dyDescent="0.35">
      <c r="EW4675" s="48"/>
      <c r="FB4675" s="5"/>
      <c r="FI4675" s="5"/>
      <c r="FJ4675" s="164"/>
      <c r="FL4675" s="2"/>
      <c r="FN4675" s="2"/>
    </row>
    <row r="4676" spans="153:170" x14ac:dyDescent="0.35">
      <c r="EW4676" s="48"/>
      <c r="FB4676" s="5"/>
      <c r="FI4676" s="5"/>
      <c r="FJ4676" s="164"/>
      <c r="FL4676" s="2"/>
      <c r="FN4676" s="2"/>
    </row>
    <row r="4677" spans="153:170" x14ac:dyDescent="0.35">
      <c r="EW4677" s="48"/>
      <c r="FB4677" s="5"/>
      <c r="FI4677" s="5"/>
      <c r="FJ4677" s="164"/>
      <c r="FL4677" s="2"/>
      <c r="FN4677" s="2"/>
    </row>
    <row r="4678" spans="153:170" x14ac:dyDescent="0.35">
      <c r="EW4678" s="48"/>
      <c r="FB4678" s="5"/>
      <c r="FI4678" s="5"/>
      <c r="FJ4678" s="164"/>
      <c r="FL4678" s="2"/>
      <c r="FN4678" s="2"/>
    </row>
    <row r="4679" spans="153:170" x14ac:dyDescent="0.35">
      <c r="EW4679" s="48"/>
      <c r="FB4679" s="5"/>
      <c r="FI4679" s="5"/>
      <c r="FJ4679" s="164"/>
      <c r="FL4679" s="2"/>
      <c r="FN4679" s="2"/>
    </row>
    <row r="4680" spans="153:170" x14ac:dyDescent="0.35">
      <c r="EW4680" s="48"/>
      <c r="FB4680" s="5"/>
      <c r="FI4680" s="5"/>
      <c r="FJ4680" s="164"/>
      <c r="FL4680" s="2"/>
      <c r="FN4680" s="2"/>
    </row>
    <row r="4681" spans="153:170" x14ac:dyDescent="0.35">
      <c r="EW4681" s="48"/>
      <c r="FB4681" s="5"/>
      <c r="FI4681" s="5"/>
      <c r="FJ4681" s="164"/>
      <c r="FL4681" s="2"/>
      <c r="FN4681" s="2"/>
    </row>
    <row r="4682" spans="153:170" x14ac:dyDescent="0.35">
      <c r="EW4682" s="48"/>
      <c r="FB4682" s="5"/>
      <c r="FI4682" s="5"/>
      <c r="FJ4682" s="164"/>
      <c r="FL4682" s="2"/>
      <c r="FN4682" s="2"/>
    </row>
    <row r="4683" spans="153:170" x14ac:dyDescent="0.35">
      <c r="EW4683" s="48"/>
      <c r="FB4683" s="5"/>
      <c r="FI4683" s="5"/>
      <c r="FJ4683" s="164"/>
      <c r="FL4683" s="2"/>
      <c r="FN4683" s="2"/>
    </row>
    <row r="4684" spans="153:170" x14ac:dyDescent="0.35">
      <c r="EW4684" s="48"/>
      <c r="FB4684" s="5"/>
      <c r="FI4684" s="5"/>
      <c r="FJ4684" s="164"/>
      <c r="FL4684" s="2"/>
      <c r="FN4684" s="2"/>
    </row>
    <row r="4685" spans="153:170" x14ac:dyDescent="0.35">
      <c r="EW4685" s="48"/>
      <c r="FB4685" s="5"/>
      <c r="FI4685" s="5"/>
      <c r="FJ4685" s="164"/>
      <c r="FL4685" s="2"/>
      <c r="FN4685" s="2"/>
    </row>
    <row r="4686" spans="153:170" x14ac:dyDescent="0.35">
      <c r="EW4686" s="48"/>
      <c r="FB4686" s="5"/>
      <c r="FI4686" s="5"/>
      <c r="FJ4686" s="164"/>
      <c r="FL4686" s="2"/>
      <c r="FN4686" s="2"/>
    </row>
    <row r="4687" spans="153:170" x14ac:dyDescent="0.35">
      <c r="EW4687" s="48"/>
      <c r="FB4687" s="5"/>
      <c r="FI4687" s="5"/>
      <c r="FJ4687" s="164"/>
      <c r="FL4687" s="2"/>
      <c r="FN4687" s="2"/>
    </row>
    <row r="4688" spans="153:170" x14ac:dyDescent="0.35">
      <c r="EW4688" s="48"/>
      <c r="FB4688" s="5"/>
      <c r="FI4688" s="5"/>
      <c r="FJ4688" s="164"/>
      <c r="FL4688" s="2"/>
      <c r="FN4688" s="2"/>
    </row>
    <row r="4689" spans="153:170" x14ac:dyDescent="0.35">
      <c r="EW4689" s="48"/>
      <c r="FB4689" s="5"/>
      <c r="FI4689" s="5"/>
      <c r="FJ4689" s="164"/>
      <c r="FL4689" s="2"/>
      <c r="FN4689" s="2"/>
    </row>
    <row r="4690" spans="153:170" x14ac:dyDescent="0.35">
      <c r="EW4690" s="48"/>
      <c r="FB4690" s="5"/>
      <c r="FI4690" s="5"/>
      <c r="FJ4690" s="164"/>
      <c r="FL4690" s="2"/>
      <c r="FN4690" s="2"/>
    </row>
    <row r="4691" spans="153:170" x14ac:dyDescent="0.35">
      <c r="EW4691" s="48"/>
      <c r="FB4691" s="5"/>
      <c r="FI4691" s="5"/>
      <c r="FJ4691" s="164"/>
      <c r="FL4691" s="2"/>
      <c r="FN4691" s="2"/>
    </row>
    <row r="4692" spans="153:170" x14ac:dyDescent="0.35">
      <c r="EW4692" s="48"/>
      <c r="FB4692" s="5"/>
      <c r="FI4692" s="5"/>
      <c r="FJ4692" s="164"/>
      <c r="FL4692" s="2"/>
      <c r="FN4692" s="2"/>
    </row>
    <row r="4693" spans="153:170" x14ac:dyDescent="0.35">
      <c r="EW4693" s="48"/>
      <c r="FB4693" s="5"/>
      <c r="FI4693" s="5"/>
      <c r="FJ4693" s="164"/>
      <c r="FL4693" s="2"/>
      <c r="FN4693" s="2"/>
    </row>
    <row r="4694" spans="153:170" x14ac:dyDescent="0.35">
      <c r="EW4694" s="48"/>
      <c r="FB4694" s="5"/>
      <c r="FI4694" s="5"/>
      <c r="FJ4694" s="164"/>
      <c r="FL4694" s="2"/>
      <c r="FN4694" s="2"/>
    </row>
    <row r="4695" spans="153:170" x14ac:dyDescent="0.35">
      <c r="EW4695" s="48"/>
      <c r="FB4695" s="5"/>
      <c r="FI4695" s="5"/>
      <c r="FJ4695" s="164"/>
      <c r="FL4695" s="2"/>
      <c r="FN4695" s="2"/>
    </row>
    <row r="4696" spans="153:170" x14ac:dyDescent="0.35">
      <c r="EW4696" s="48"/>
      <c r="FB4696" s="5"/>
      <c r="FI4696" s="5"/>
      <c r="FJ4696" s="164"/>
      <c r="FL4696" s="2"/>
      <c r="FN4696" s="2"/>
    </row>
    <row r="4697" spans="153:170" x14ac:dyDescent="0.35">
      <c r="EW4697" s="48"/>
      <c r="FB4697" s="5"/>
      <c r="FI4697" s="5"/>
      <c r="FJ4697" s="164"/>
      <c r="FL4697" s="2"/>
      <c r="FN4697" s="2"/>
    </row>
    <row r="4698" spans="153:170" x14ac:dyDescent="0.35">
      <c r="EW4698" s="48"/>
      <c r="FB4698" s="5"/>
      <c r="FI4698" s="5"/>
      <c r="FJ4698" s="164"/>
      <c r="FL4698" s="2"/>
      <c r="FN4698" s="2"/>
    </row>
    <row r="4699" spans="153:170" x14ac:dyDescent="0.35">
      <c r="EW4699" s="48"/>
      <c r="FB4699" s="5"/>
      <c r="FI4699" s="5"/>
      <c r="FJ4699" s="164"/>
      <c r="FL4699" s="2"/>
      <c r="FN4699" s="2"/>
    </row>
    <row r="4700" spans="153:170" x14ac:dyDescent="0.35">
      <c r="EW4700" s="48"/>
      <c r="FB4700" s="5"/>
      <c r="FI4700" s="5"/>
      <c r="FJ4700" s="164"/>
      <c r="FL4700" s="2"/>
      <c r="FN4700" s="2"/>
    </row>
    <row r="4701" spans="153:170" x14ac:dyDescent="0.35">
      <c r="EW4701" s="48"/>
      <c r="FB4701" s="5"/>
      <c r="FI4701" s="5"/>
      <c r="FJ4701" s="164"/>
      <c r="FL4701" s="2"/>
      <c r="FN4701" s="2"/>
    </row>
    <row r="4702" spans="153:170" x14ac:dyDescent="0.35">
      <c r="EW4702" s="48"/>
      <c r="FB4702" s="5"/>
      <c r="FI4702" s="5"/>
      <c r="FJ4702" s="164"/>
      <c r="FL4702" s="2"/>
      <c r="FN4702" s="2"/>
    </row>
    <row r="4703" spans="153:170" x14ac:dyDescent="0.35">
      <c r="EW4703" s="48"/>
      <c r="FB4703" s="5"/>
      <c r="FI4703" s="5"/>
      <c r="FJ4703" s="164"/>
      <c r="FL4703" s="2"/>
      <c r="FN4703" s="2"/>
    </row>
    <row r="4704" spans="153:170" x14ac:dyDescent="0.35">
      <c r="EW4704" s="48"/>
      <c r="FB4704" s="5"/>
      <c r="FI4704" s="5"/>
      <c r="FJ4704" s="164"/>
      <c r="FL4704" s="2"/>
      <c r="FN4704" s="2"/>
    </row>
    <row r="4705" spans="153:170" x14ac:dyDescent="0.35">
      <c r="EW4705" s="48"/>
      <c r="FB4705" s="5"/>
      <c r="FI4705" s="5"/>
      <c r="FJ4705" s="164"/>
      <c r="FL4705" s="2"/>
      <c r="FN4705" s="2"/>
    </row>
    <row r="4706" spans="153:170" x14ac:dyDescent="0.35">
      <c r="EW4706" s="48"/>
      <c r="FB4706" s="5"/>
      <c r="FI4706" s="5"/>
      <c r="FJ4706" s="164"/>
      <c r="FL4706" s="2"/>
      <c r="FN4706" s="2"/>
    </row>
    <row r="4707" spans="153:170" x14ac:dyDescent="0.35">
      <c r="EW4707" s="48"/>
      <c r="FB4707" s="5"/>
      <c r="FI4707" s="5"/>
      <c r="FJ4707" s="164"/>
      <c r="FL4707" s="2"/>
      <c r="FN4707" s="2"/>
    </row>
    <row r="4708" spans="153:170" x14ac:dyDescent="0.35">
      <c r="EW4708" s="48"/>
      <c r="FB4708" s="5"/>
      <c r="FI4708" s="5"/>
      <c r="FJ4708" s="164"/>
      <c r="FL4708" s="2"/>
      <c r="FN4708" s="2"/>
    </row>
    <row r="4709" spans="153:170" x14ac:dyDescent="0.35">
      <c r="EW4709" s="48"/>
      <c r="FB4709" s="5"/>
      <c r="FI4709" s="5"/>
      <c r="FJ4709" s="164"/>
      <c r="FL4709" s="2"/>
      <c r="FN4709" s="2"/>
    </row>
    <row r="4710" spans="153:170" x14ac:dyDescent="0.35">
      <c r="EW4710" s="48"/>
      <c r="FB4710" s="5"/>
      <c r="FI4710" s="5"/>
      <c r="FJ4710" s="164"/>
      <c r="FL4710" s="2"/>
      <c r="FN4710" s="2"/>
    </row>
    <row r="4711" spans="153:170" x14ac:dyDescent="0.35">
      <c r="EW4711" s="48"/>
      <c r="FB4711" s="5"/>
      <c r="FI4711" s="5"/>
      <c r="FJ4711" s="164"/>
      <c r="FL4711" s="2"/>
      <c r="FN4711" s="2"/>
    </row>
    <row r="4712" spans="153:170" x14ac:dyDescent="0.35">
      <c r="EW4712" s="48"/>
      <c r="FB4712" s="5"/>
      <c r="FI4712" s="5"/>
      <c r="FJ4712" s="164"/>
      <c r="FL4712" s="2"/>
      <c r="FN4712" s="2"/>
    </row>
    <row r="4713" spans="153:170" x14ac:dyDescent="0.35">
      <c r="EW4713" s="48"/>
      <c r="FB4713" s="5"/>
      <c r="FI4713" s="5"/>
      <c r="FJ4713" s="164"/>
      <c r="FL4713" s="2"/>
      <c r="FN4713" s="2"/>
    </row>
    <row r="4714" spans="153:170" x14ac:dyDescent="0.35">
      <c r="EW4714" s="48"/>
      <c r="FB4714" s="5"/>
      <c r="FI4714" s="5"/>
      <c r="FJ4714" s="164"/>
      <c r="FL4714" s="2"/>
      <c r="FN4714" s="2"/>
    </row>
    <row r="4715" spans="153:170" x14ac:dyDescent="0.35">
      <c r="EW4715" s="48"/>
      <c r="FB4715" s="5"/>
      <c r="FI4715" s="5"/>
      <c r="FJ4715" s="164"/>
      <c r="FL4715" s="2"/>
      <c r="FN4715" s="2"/>
    </row>
    <row r="4716" spans="153:170" x14ac:dyDescent="0.35">
      <c r="EW4716" s="48"/>
      <c r="FB4716" s="5"/>
      <c r="FI4716" s="5"/>
      <c r="FJ4716" s="164"/>
      <c r="FL4716" s="2"/>
      <c r="FN4716" s="2"/>
    </row>
    <row r="4717" spans="153:170" x14ac:dyDescent="0.35">
      <c r="EW4717" s="48"/>
      <c r="FB4717" s="5"/>
      <c r="FI4717" s="5"/>
      <c r="FJ4717" s="164"/>
      <c r="FL4717" s="2"/>
      <c r="FN4717" s="2"/>
    </row>
    <row r="4718" spans="153:170" x14ac:dyDescent="0.35">
      <c r="EW4718" s="48"/>
      <c r="FB4718" s="5"/>
      <c r="FI4718" s="5"/>
      <c r="FJ4718" s="164"/>
      <c r="FL4718" s="2"/>
      <c r="FN4718" s="2"/>
    </row>
    <row r="4719" spans="153:170" x14ac:dyDescent="0.35">
      <c r="EW4719" s="48"/>
      <c r="FB4719" s="5"/>
      <c r="FI4719" s="5"/>
      <c r="FJ4719" s="164"/>
      <c r="FL4719" s="2"/>
      <c r="FN4719" s="2"/>
    </row>
    <row r="4720" spans="153:170" x14ac:dyDescent="0.35">
      <c r="EW4720" s="48"/>
      <c r="FB4720" s="5"/>
      <c r="FI4720" s="5"/>
      <c r="FJ4720" s="164"/>
      <c r="FL4720" s="2"/>
      <c r="FN4720" s="2"/>
    </row>
    <row r="4721" spans="153:170" x14ac:dyDescent="0.35">
      <c r="EW4721" s="48"/>
      <c r="FB4721" s="5"/>
      <c r="FI4721" s="5"/>
      <c r="FJ4721" s="164"/>
      <c r="FL4721" s="2"/>
      <c r="FN4721" s="2"/>
    </row>
    <row r="4722" spans="153:170" x14ac:dyDescent="0.35">
      <c r="EW4722" s="48"/>
      <c r="FB4722" s="5"/>
      <c r="FI4722" s="5"/>
      <c r="FJ4722" s="164"/>
      <c r="FL4722" s="2"/>
      <c r="FN4722" s="2"/>
    </row>
    <row r="4723" spans="153:170" x14ac:dyDescent="0.35">
      <c r="EW4723" s="48"/>
      <c r="FB4723" s="5"/>
      <c r="FI4723" s="5"/>
      <c r="FJ4723" s="164"/>
      <c r="FL4723" s="2"/>
      <c r="FN4723" s="2"/>
    </row>
    <row r="4724" spans="153:170" x14ac:dyDescent="0.35">
      <c r="EW4724" s="48"/>
      <c r="FB4724" s="5"/>
      <c r="FI4724" s="5"/>
      <c r="FJ4724" s="164"/>
      <c r="FL4724" s="2"/>
      <c r="FN4724" s="2"/>
    </row>
    <row r="4725" spans="153:170" x14ac:dyDescent="0.35">
      <c r="EW4725" s="48"/>
      <c r="FB4725" s="5"/>
      <c r="FI4725" s="5"/>
      <c r="FJ4725" s="164"/>
      <c r="FL4725" s="2"/>
      <c r="FN4725" s="2"/>
    </row>
    <row r="4726" spans="153:170" x14ac:dyDescent="0.35">
      <c r="EW4726" s="48"/>
      <c r="FB4726" s="5"/>
      <c r="FI4726" s="5"/>
      <c r="FJ4726" s="164"/>
      <c r="FL4726" s="2"/>
      <c r="FN4726" s="2"/>
    </row>
    <row r="4727" spans="153:170" x14ac:dyDescent="0.35">
      <c r="EW4727" s="48"/>
      <c r="FB4727" s="5"/>
      <c r="FI4727" s="5"/>
      <c r="FJ4727" s="164"/>
      <c r="FL4727" s="2"/>
      <c r="FN4727" s="2"/>
    </row>
    <row r="4728" spans="153:170" x14ac:dyDescent="0.35">
      <c r="EW4728" s="48"/>
      <c r="FB4728" s="5"/>
      <c r="FI4728" s="5"/>
      <c r="FJ4728" s="164"/>
      <c r="FL4728" s="2"/>
      <c r="FN4728" s="2"/>
    </row>
    <row r="4729" spans="153:170" x14ac:dyDescent="0.35">
      <c r="EW4729" s="48"/>
      <c r="FB4729" s="5"/>
      <c r="FI4729" s="5"/>
      <c r="FJ4729" s="164"/>
      <c r="FL4729" s="2"/>
      <c r="FN4729" s="2"/>
    </row>
    <row r="4730" spans="153:170" x14ac:dyDescent="0.35">
      <c r="EW4730" s="48"/>
      <c r="FB4730" s="5"/>
      <c r="FI4730" s="5"/>
      <c r="FJ4730" s="164"/>
      <c r="FL4730" s="2"/>
      <c r="FN4730" s="2"/>
    </row>
    <row r="4731" spans="153:170" x14ac:dyDescent="0.35">
      <c r="EW4731" s="48"/>
      <c r="FB4731" s="5"/>
      <c r="FI4731" s="5"/>
      <c r="FJ4731" s="164"/>
      <c r="FL4731" s="2"/>
      <c r="FN4731" s="2"/>
    </row>
    <row r="4732" spans="153:170" x14ac:dyDescent="0.35">
      <c r="EW4732" s="48"/>
      <c r="FB4732" s="5"/>
      <c r="FI4732" s="5"/>
      <c r="FJ4732" s="164"/>
      <c r="FL4732" s="2"/>
      <c r="FN4732" s="2"/>
    </row>
    <row r="4733" spans="153:170" x14ac:dyDescent="0.35">
      <c r="EW4733" s="48"/>
      <c r="FB4733" s="5"/>
      <c r="FI4733" s="5"/>
      <c r="FJ4733" s="164"/>
      <c r="FL4733" s="2"/>
      <c r="FN4733" s="2"/>
    </row>
    <row r="4734" spans="153:170" x14ac:dyDescent="0.35">
      <c r="EW4734" s="48"/>
      <c r="FB4734" s="5"/>
      <c r="FI4734" s="5"/>
      <c r="FJ4734" s="164"/>
      <c r="FL4734" s="2"/>
      <c r="FN4734" s="2"/>
    </row>
    <row r="4735" spans="153:170" x14ac:dyDescent="0.35">
      <c r="EW4735" s="48"/>
      <c r="FB4735" s="5"/>
      <c r="FI4735" s="5"/>
      <c r="FJ4735" s="164"/>
      <c r="FL4735" s="2"/>
      <c r="FN4735" s="2"/>
    </row>
    <row r="4736" spans="153:170" x14ac:dyDescent="0.35">
      <c r="EW4736" s="48"/>
      <c r="FB4736" s="5"/>
      <c r="FI4736" s="5"/>
      <c r="FJ4736" s="164"/>
      <c r="FL4736" s="2"/>
      <c r="FN4736" s="2"/>
    </row>
    <row r="4737" spans="153:170" x14ac:dyDescent="0.35">
      <c r="EW4737" s="48"/>
      <c r="FB4737" s="5"/>
      <c r="FI4737" s="5"/>
      <c r="FJ4737" s="164"/>
      <c r="FL4737" s="2"/>
      <c r="FN4737" s="2"/>
    </row>
    <row r="4738" spans="153:170" x14ac:dyDescent="0.35">
      <c r="EW4738" s="48"/>
      <c r="FB4738" s="5"/>
      <c r="FI4738" s="5"/>
      <c r="FJ4738" s="164"/>
      <c r="FL4738" s="2"/>
      <c r="FN4738" s="2"/>
    </row>
    <row r="4739" spans="153:170" x14ac:dyDescent="0.35">
      <c r="EW4739" s="48"/>
      <c r="FB4739" s="5"/>
      <c r="FI4739" s="5"/>
      <c r="FJ4739" s="164"/>
      <c r="FL4739" s="2"/>
      <c r="FN4739" s="2"/>
    </row>
    <row r="4740" spans="153:170" x14ac:dyDescent="0.35">
      <c r="EW4740" s="48"/>
      <c r="FB4740" s="5"/>
      <c r="FI4740" s="5"/>
      <c r="FJ4740" s="164"/>
      <c r="FL4740" s="2"/>
      <c r="FN4740" s="2"/>
    </row>
    <row r="4741" spans="153:170" x14ac:dyDescent="0.35">
      <c r="EW4741" s="48"/>
      <c r="FB4741" s="5"/>
      <c r="FI4741" s="5"/>
      <c r="FJ4741" s="164"/>
      <c r="FL4741" s="2"/>
      <c r="FN4741" s="2"/>
    </row>
    <row r="4742" spans="153:170" x14ac:dyDescent="0.35">
      <c r="EW4742" s="48"/>
      <c r="FB4742" s="5"/>
      <c r="FI4742" s="5"/>
      <c r="FJ4742" s="164"/>
      <c r="FL4742" s="2"/>
      <c r="FN4742" s="2"/>
    </row>
    <row r="4743" spans="153:170" x14ac:dyDescent="0.35">
      <c r="EW4743" s="48"/>
      <c r="FB4743" s="5"/>
      <c r="FI4743" s="5"/>
      <c r="FJ4743" s="164"/>
      <c r="FL4743" s="2"/>
      <c r="FN4743" s="2"/>
    </row>
    <row r="4744" spans="153:170" x14ac:dyDescent="0.35">
      <c r="EW4744" s="48"/>
      <c r="FB4744" s="5"/>
      <c r="FI4744" s="5"/>
      <c r="FJ4744" s="164"/>
      <c r="FL4744" s="2"/>
      <c r="FN4744" s="2"/>
    </row>
    <row r="4745" spans="153:170" x14ac:dyDescent="0.35">
      <c r="EW4745" s="48"/>
      <c r="FB4745" s="5"/>
      <c r="FI4745" s="5"/>
      <c r="FJ4745" s="164"/>
      <c r="FL4745" s="2"/>
      <c r="FN4745" s="2"/>
    </row>
    <row r="4746" spans="153:170" x14ac:dyDescent="0.35">
      <c r="EW4746" s="48"/>
      <c r="FB4746" s="5"/>
      <c r="FI4746" s="5"/>
      <c r="FJ4746" s="164"/>
      <c r="FL4746" s="2"/>
      <c r="FN4746" s="2"/>
    </row>
    <row r="4747" spans="153:170" x14ac:dyDescent="0.35">
      <c r="EW4747" s="48"/>
      <c r="FB4747" s="5"/>
      <c r="FI4747" s="5"/>
      <c r="FJ4747" s="164"/>
      <c r="FL4747" s="2"/>
      <c r="FN4747" s="2"/>
    </row>
    <row r="4748" spans="153:170" x14ac:dyDescent="0.35">
      <c r="EW4748" s="48"/>
      <c r="FB4748" s="5"/>
      <c r="FI4748" s="5"/>
      <c r="FJ4748" s="164"/>
      <c r="FL4748" s="2"/>
      <c r="FN4748" s="2"/>
    </row>
    <row r="4749" spans="153:170" x14ac:dyDescent="0.35">
      <c r="EW4749" s="48"/>
      <c r="FB4749" s="5"/>
      <c r="FI4749" s="5"/>
      <c r="FJ4749" s="164"/>
      <c r="FL4749" s="2"/>
      <c r="FN4749" s="2"/>
    </row>
    <row r="4750" spans="153:170" x14ac:dyDescent="0.35">
      <c r="EW4750" s="48"/>
      <c r="FB4750" s="5"/>
      <c r="FI4750" s="5"/>
      <c r="FJ4750" s="164"/>
      <c r="FL4750" s="2"/>
      <c r="FN4750" s="2"/>
    </row>
    <row r="4751" spans="153:170" x14ac:dyDescent="0.35">
      <c r="EW4751" s="48"/>
      <c r="FB4751" s="5"/>
      <c r="FI4751" s="5"/>
      <c r="FJ4751" s="164"/>
      <c r="FL4751" s="2"/>
      <c r="FN4751" s="2"/>
    </row>
    <row r="4752" spans="153:170" x14ac:dyDescent="0.35">
      <c r="EW4752" s="48"/>
      <c r="FB4752" s="5"/>
      <c r="FI4752" s="5"/>
      <c r="FJ4752" s="164"/>
      <c r="FL4752" s="2"/>
      <c r="FN4752" s="2"/>
    </row>
    <row r="4753" spans="153:170" x14ac:dyDescent="0.35">
      <c r="EW4753" s="48"/>
      <c r="FB4753" s="5"/>
      <c r="FI4753" s="5"/>
      <c r="FJ4753" s="164"/>
      <c r="FL4753" s="2"/>
      <c r="FN4753" s="2"/>
    </row>
    <row r="4754" spans="153:170" x14ac:dyDescent="0.35">
      <c r="EW4754" s="48"/>
      <c r="FB4754" s="5"/>
      <c r="FI4754" s="5"/>
      <c r="FJ4754" s="164"/>
      <c r="FL4754" s="2"/>
      <c r="FN4754" s="2"/>
    </row>
    <row r="4755" spans="153:170" x14ac:dyDescent="0.35">
      <c r="EW4755" s="48"/>
      <c r="FB4755" s="5"/>
      <c r="FI4755" s="5"/>
      <c r="FJ4755" s="164"/>
      <c r="FL4755" s="2"/>
      <c r="FN4755" s="2"/>
    </row>
    <row r="4756" spans="153:170" x14ac:dyDescent="0.35">
      <c r="EW4756" s="48"/>
      <c r="FB4756" s="5"/>
      <c r="FI4756" s="5"/>
      <c r="FJ4756" s="164"/>
      <c r="FL4756" s="2"/>
      <c r="FN4756" s="2"/>
    </row>
    <row r="4757" spans="153:170" x14ac:dyDescent="0.35">
      <c r="EW4757" s="48"/>
      <c r="FB4757" s="5"/>
      <c r="FI4757" s="5"/>
      <c r="FJ4757" s="164"/>
      <c r="FL4757" s="2"/>
      <c r="FN4757" s="2"/>
    </row>
    <row r="4758" spans="153:170" x14ac:dyDescent="0.35">
      <c r="EW4758" s="48"/>
      <c r="FB4758" s="5"/>
      <c r="FI4758" s="5"/>
      <c r="FJ4758" s="164"/>
      <c r="FL4758" s="2"/>
      <c r="FN4758" s="2"/>
    </row>
    <row r="4759" spans="153:170" x14ac:dyDescent="0.35">
      <c r="EW4759" s="48"/>
      <c r="FB4759" s="5"/>
      <c r="FI4759" s="5"/>
      <c r="FJ4759" s="164"/>
      <c r="FL4759" s="2"/>
      <c r="FN4759" s="2"/>
    </row>
    <row r="4760" spans="153:170" x14ac:dyDescent="0.35">
      <c r="EW4760" s="48"/>
      <c r="FB4760" s="5"/>
      <c r="FI4760" s="5"/>
      <c r="FJ4760" s="164"/>
      <c r="FL4760" s="2"/>
      <c r="FN4760" s="2"/>
    </row>
    <row r="4761" spans="153:170" x14ac:dyDescent="0.35">
      <c r="EW4761" s="48"/>
      <c r="FB4761" s="5"/>
      <c r="FI4761" s="5"/>
      <c r="FJ4761" s="164"/>
      <c r="FL4761" s="2"/>
      <c r="FN4761" s="2"/>
    </row>
    <row r="4762" spans="153:170" x14ac:dyDescent="0.35">
      <c r="EW4762" s="48"/>
      <c r="FB4762" s="5"/>
      <c r="FI4762" s="5"/>
      <c r="FJ4762" s="164"/>
      <c r="FL4762" s="2"/>
      <c r="FN4762" s="2"/>
    </row>
    <row r="4763" spans="153:170" x14ac:dyDescent="0.35">
      <c r="EW4763" s="48"/>
      <c r="FB4763" s="5"/>
      <c r="FI4763" s="5"/>
      <c r="FJ4763" s="164"/>
      <c r="FL4763" s="2"/>
      <c r="FN4763" s="2"/>
    </row>
    <row r="4764" spans="153:170" x14ac:dyDescent="0.35">
      <c r="EW4764" s="48"/>
      <c r="FB4764" s="5"/>
      <c r="FI4764" s="5"/>
      <c r="FJ4764" s="164"/>
      <c r="FL4764" s="2"/>
      <c r="FN4764" s="2"/>
    </row>
    <row r="4765" spans="153:170" x14ac:dyDescent="0.35">
      <c r="EW4765" s="48"/>
      <c r="FB4765" s="5"/>
      <c r="FI4765" s="5"/>
      <c r="FJ4765" s="164"/>
      <c r="FL4765" s="2"/>
      <c r="FN4765" s="2"/>
    </row>
    <row r="4766" spans="153:170" x14ac:dyDescent="0.35">
      <c r="EW4766" s="48"/>
      <c r="FB4766" s="5"/>
      <c r="FI4766" s="5"/>
      <c r="FJ4766" s="164"/>
      <c r="FL4766" s="2"/>
      <c r="FN4766" s="2"/>
    </row>
    <row r="4767" spans="153:170" x14ac:dyDescent="0.35">
      <c r="EW4767" s="48"/>
      <c r="FB4767" s="5"/>
      <c r="FI4767" s="5"/>
      <c r="FJ4767" s="164"/>
      <c r="FL4767" s="2"/>
      <c r="FN4767" s="2"/>
    </row>
    <row r="4768" spans="153:170" x14ac:dyDescent="0.35">
      <c r="EW4768" s="48"/>
      <c r="FB4768" s="5"/>
      <c r="FI4768" s="5"/>
      <c r="FJ4768" s="164"/>
      <c r="FL4768" s="2"/>
      <c r="FN4768" s="2"/>
    </row>
    <row r="4769" spans="153:170" x14ac:dyDescent="0.35">
      <c r="EW4769" s="48"/>
      <c r="FB4769" s="5"/>
      <c r="FI4769" s="5"/>
      <c r="FJ4769" s="164"/>
      <c r="FL4769" s="2"/>
      <c r="FN4769" s="2"/>
    </row>
    <row r="4770" spans="153:170" x14ac:dyDescent="0.35">
      <c r="EW4770" s="48"/>
      <c r="FB4770" s="5"/>
      <c r="FI4770" s="5"/>
      <c r="FJ4770" s="164"/>
      <c r="FL4770" s="2"/>
      <c r="FN4770" s="2"/>
    </row>
    <row r="4771" spans="153:170" x14ac:dyDescent="0.35">
      <c r="EW4771" s="48"/>
      <c r="FB4771" s="5"/>
      <c r="FI4771" s="5"/>
      <c r="FJ4771" s="164"/>
      <c r="FL4771" s="2"/>
      <c r="FN4771" s="2"/>
    </row>
    <row r="4772" spans="153:170" x14ac:dyDescent="0.35">
      <c r="EW4772" s="48"/>
      <c r="FB4772" s="5"/>
      <c r="FI4772" s="5"/>
      <c r="FJ4772" s="164"/>
      <c r="FL4772" s="2"/>
      <c r="FN4772" s="2"/>
    </row>
    <row r="4773" spans="153:170" x14ac:dyDescent="0.35">
      <c r="EW4773" s="48"/>
      <c r="FB4773" s="5"/>
      <c r="FI4773" s="5"/>
      <c r="FJ4773" s="164"/>
      <c r="FL4773" s="2"/>
      <c r="FN4773" s="2"/>
    </row>
    <row r="4774" spans="153:170" x14ac:dyDescent="0.35">
      <c r="EW4774" s="48"/>
      <c r="FB4774" s="5"/>
      <c r="FI4774" s="5"/>
      <c r="FJ4774" s="164"/>
      <c r="FL4774" s="2"/>
      <c r="FN4774" s="2"/>
    </row>
    <row r="4775" spans="153:170" x14ac:dyDescent="0.35">
      <c r="EW4775" s="48"/>
      <c r="FB4775" s="5"/>
      <c r="FI4775" s="5"/>
      <c r="FJ4775" s="164"/>
      <c r="FL4775" s="2"/>
      <c r="FN4775" s="2"/>
    </row>
    <row r="4776" spans="153:170" x14ac:dyDescent="0.35">
      <c r="EW4776" s="48"/>
      <c r="FB4776" s="5"/>
      <c r="FI4776" s="5"/>
      <c r="FJ4776" s="164"/>
      <c r="FL4776" s="2"/>
      <c r="FN4776" s="2"/>
    </row>
    <row r="4777" spans="153:170" x14ac:dyDescent="0.35">
      <c r="EW4777" s="48"/>
      <c r="FB4777" s="5"/>
      <c r="FI4777" s="5"/>
      <c r="FJ4777" s="164"/>
      <c r="FL4777" s="2"/>
      <c r="FN4777" s="2"/>
    </row>
    <row r="4778" spans="153:170" x14ac:dyDescent="0.35">
      <c r="EW4778" s="48"/>
      <c r="FB4778" s="5"/>
      <c r="FI4778" s="5"/>
      <c r="FJ4778" s="164"/>
      <c r="FL4778" s="2"/>
      <c r="FN4778" s="2"/>
    </row>
    <row r="4779" spans="153:170" x14ac:dyDescent="0.35">
      <c r="EW4779" s="48"/>
      <c r="FB4779" s="5"/>
      <c r="FI4779" s="5"/>
      <c r="FJ4779" s="164"/>
      <c r="FL4779" s="2"/>
      <c r="FN4779" s="2"/>
    </row>
    <row r="4780" spans="153:170" x14ac:dyDescent="0.35">
      <c r="EW4780" s="48"/>
      <c r="FB4780" s="5"/>
      <c r="FI4780" s="5"/>
      <c r="FJ4780" s="164"/>
      <c r="FL4780" s="2"/>
      <c r="FN4780" s="2"/>
    </row>
    <row r="4781" spans="153:170" x14ac:dyDescent="0.35">
      <c r="EW4781" s="48"/>
      <c r="FB4781" s="5"/>
      <c r="FI4781" s="5"/>
      <c r="FJ4781" s="164"/>
      <c r="FL4781" s="2"/>
      <c r="FN4781" s="2"/>
    </row>
    <row r="4782" spans="153:170" x14ac:dyDescent="0.35">
      <c r="EW4782" s="48"/>
      <c r="FB4782" s="5"/>
      <c r="FI4782" s="5"/>
      <c r="FJ4782" s="164"/>
      <c r="FL4782" s="2"/>
      <c r="FN4782" s="2"/>
    </row>
    <row r="4783" spans="153:170" x14ac:dyDescent="0.35">
      <c r="EW4783" s="48"/>
      <c r="FB4783" s="5"/>
      <c r="FI4783" s="5"/>
      <c r="FJ4783" s="164"/>
      <c r="FL4783" s="2"/>
      <c r="FN4783" s="2"/>
    </row>
    <row r="4784" spans="153:170" x14ac:dyDescent="0.35">
      <c r="EW4784" s="48"/>
      <c r="FB4784" s="5"/>
      <c r="FI4784" s="5"/>
      <c r="FJ4784" s="164"/>
      <c r="FL4784" s="2"/>
      <c r="FN4784" s="2"/>
    </row>
    <row r="4785" spans="153:170" x14ac:dyDescent="0.35">
      <c r="EW4785" s="48"/>
      <c r="FB4785" s="5"/>
      <c r="FI4785" s="5"/>
      <c r="FJ4785" s="164"/>
      <c r="FL4785" s="2"/>
      <c r="FN4785" s="2"/>
    </row>
    <row r="4786" spans="153:170" x14ac:dyDescent="0.35">
      <c r="EW4786" s="48"/>
      <c r="FB4786" s="5"/>
      <c r="FI4786" s="5"/>
      <c r="FJ4786" s="164"/>
      <c r="FL4786" s="2"/>
      <c r="FN4786" s="2"/>
    </row>
    <row r="4787" spans="153:170" x14ac:dyDescent="0.35">
      <c r="EW4787" s="48"/>
      <c r="FB4787" s="5"/>
      <c r="FI4787" s="5"/>
      <c r="FJ4787" s="164"/>
      <c r="FL4787" s="2"/>
      <c r="FN4787" s="2"/>
    </row>
    <row r="4788" spans="153:170" x14ac:dyDescent="0.35">
      <c r="EW4788" s="48"/>
      <c r="FB4788" s="5"/>
      <c r="FI4788" s="5"/>
      <c r="FJ4788" s="164"/>
      <c r="FL4788" s="2"/>
      <c r="FN4788" s="2"/>
    </row>
    <row r="4789" spans="153:170" x14ac:dyDescent="0.35">
      <c r="EW4789" s="48"/>
      <c r="FB4789" s="5"/>
      <c r="FI4789" s="5"/>
      <c r="FJ4789" s="164"/>
      <c r="FL4789" s="2"/>
      <c r="FN4789" s="2"/>
    </row>
    <row r="4790" spans="153:170" x14ac:dyDescent="0.35">
      <c r="EW4790" s="48"/>
      <c r="FB4790" s="5"/>
      <c r="FI4790" s="5"/>
      <c r="FJ4790" s="164"/>
      <c r="FL4790" s="2"/>
      <c r="FN4790" s="2"/>
    </row>
    <row r="4791" spans="153:170" x14ac:dyDescent="0.35">
      <c r="EW4791" s="48"/>
      <c r="FB4791" s="5"/>
      <c r="FI4791" s="5"/>
      <c r="FJ4791" s="164"/>
      <c r="FL4791" s="2"/>
      <c r="FN4791" s="2"/>
    </row>
    <row r="4792" spans="153:170" x14ac:dyDescent="0.35">
      <c r="EW4792" s="48"/>
      <c r="FB4792" s="5"/>
      <c r="FI4792" s="5"/>
      <c r="FJ4792" s="164"/>
      <c r="FL4792" s="2"/>
      <c r="FN4792" s="2"/>
    </row>
    <row r="4793" spans="153:170" x14ac:dyDescent="0.35">
      <c r="EW4793" s="48"/>
      <c r="FB4793" s="5"/>
      <c r="FI4793" s="5"/>
      <c r="FJ4793" s="164"/>
      <c r="FL4793" s="2"/>
      <c r="FN4793" s="2"/>
    </row>
    <row r="4794" spans="153:170" x14ac:dyDescent="0.35">
      <c r="EW4794" s="48"/>
      <c r="FB4794" s="5"/>
      <c r="FI4794" s="5"/>
      <c r="FJ4794" s="164"/>
      <c r="FL4794" s="2"/>
      <c r="FN4794" s="2"/>
    </row>
    <row r="4795" spans="153:170" x14ac:dyDescent="0.35">
      <c r="EW4795" s="48"/>
      <c r="FB4795" s="5"/>
      <c r="FI4795" s="5"/>
      <c r="FJ4795" s="164"/>
      <c r="FL4795" s="2"/>
      <c r="FN4795" s="2"/>
    </row>
    <row r="4796" spans="153:170" x14ac:dyDescent="0.35">
      <c r="EW4796" s="48"/>
      <c r="FB4796" s="5"/>
      <c r="FI4796" s="5"/>
      <c r="FJ4796" s="164"/>
      <c r="FL4796" s="2"/>
      <c r="FN4796" s="2"/>
    </row>
    <row r="4797" spans="153:170" x14ac:dyDescent="0.35">
      <c r="EW4797" s="48"/>
      <c r="FB4797" s="5"/>
      <c r="FI4797" s="5"/>
      <c r="FJ4797" s="164"/>
      <c r="FL4797" s="2"/>
      <c r="FN4797" s="2"/>
    </row>
    <row r="4798" spans="153:170" x14ac:dyDescent="0.35">
      <c r="EW4798" s="48"/>
      <c r="FB4798" s="5"/>
      <c r="FI4798" s="5"/>
      <c r="FJ4798" s="164"/>
      <c r="FL4798" s="2"/>
      <c r="FN4798" s="2"/>
    </row>
    <row r="4799" spans="153:170" x14ac:dyDescent="0.35">
      <c r="EW4799" s="48"/>
      <c r="FB4799" s="5"/>
      <c r="FI4799" s="5"/>
      <c r="FJ4799" s="164"/>
      <c r="FL4799" s="2"/>
      <c r="FN4799" s="2"/>
    </row>
    <row r="4800" spans="153:170" x14ac:dyDescent="0.35">
      <c r="EW4800" s="48"/>
      <c r="FB4800" s="5"/>
      <c r="FI4800" s="5"/>
      <c r="FJ4800" s="164"/>
      <c r="FL4800" s="2"/>
      <c r="FN4800" s="2"/>
    </row>
    <row r="4801" spans="153:170" x14ac:dyDescent="0.35">
      <c r="EW4801" s="48"/>
      <c r="FB4801" s="5"/>
      <c r="FI4801" s="5"/>
      <c r="FJ4801" s="164"/>
      <c r="FL4801" s="2"/>
      <c r="FN4801" s="2"/>
    </row>
    <row r="4802" spans="153:170" x14ac:dyDescent="0.35">
      <c r="EW4802" s="48"/>
      <c r="FB4802" s="5"/>
      <c r="FI4802" s="5"/>
      <c r="FJ4802" s="164"/>
      <c r="FL4802" s="2"/>
      <c r="FN4802" s="2"/>
    </row>
    <row r="4803" spans="153:170" x14ac:dyDescent="0.35">
      <c r="EW4803" s="48"/>
      <c r="FB4803" s="5"/>
      <c r="FI4803" s="5"/>
      <c r="FJ4803" s="164"/>
      <c r="FL4803" s="2"/>
      <c r="FN4803" s="2"/>
    </row>
    <row r="4804" spans="153:170" x14ac:dyDescent="0.35">
      <c r="EW4804" s="48"/>
      <c r="FB4804" s="5"/>
      <c r="FI4804" s="5"/>
      <c r="FJ4804" s="164"/>
      <c r="FL4804" s="2"/>
      <c r="FN4804" s="2"/>
    </row>
    <row r="4805" spans="153:170" x14ac:dyDescent="0.35">
      <c r="EW4805" s="48"/>
      <c r="FB4805" s="5"/>
      <c r="FI4805" s="5"/>
      <c r="FJ4805" s="164"/>
      <c r="FL4805" s="2"/>
      <c r="FN4805" s="2"/>
    </row>
    <row r="4806" spans="153:170" x14ac:dyDescent="0.35">
      <c r="EW4806" s="48"/>
      <c r="FB4806" s="5"/>
      <c r="FI4806" s="5"/>
      <c r="FJ4806" s="164"/>
      <c r="FL4806" s="2"/>
      <c r="FN4806" s="2"/>
    </row>
    <row r="4807" spans="153:170" x14ac:dyDescent="0.35">
      <c r="EW4807" s="48"/>
      <c r="FB4807" s="5"/>
      <c r="FI4807" s="5"/>
      <c r="FJ4807" s="164"/>
      <c r="FL4807" s="2"/>
      <c r="FN4807" s="2"/>
    </row>
    <row r="4808" spans="153:170" x14ac:dyDescent="0.35">
      <c r="EW4808" s="48"/>
      <c r="FB4808" s="5"/>
      <c r="FI4808" s="5"/>
      <c r="FJ4808" s="164"/>
      <c r="FL4808" s="2"/>
      <c r="FN4808" s="2"/>
    </row>
    <row r="4809" spans="153:170" x14ac:dyDescent="0.35">
      <c r="EW4809" s="48"/>
      <c r="FB4809" s="5"/>
      <c r="FI4809" s="5"/>
      <c r="FJ4809" s="164"/>
      <c r="FL4809" s="2"/>
      <c r="FN4809" s="2"/>
    </row>
    <row r="4810" spans="153:170" x14ac:dyDescent="0.35">
      <c r="EW4810" s="48"/>
      <c r="FB4810" s="5"/>
      <c r="FI4810" s="5"/>
      <c r="FJ4810" s="164"/>
      <c r="FL4810" s="2"/>
      <c r="FN4810" s="2"/>
    </row>
    <row r="4811" spans="153:170" x14ac:dyDescent="0.35">
      <c r="EW4811" s="48"/>
      <c r="FB4811" s="5"/>
      <c r="FI4811" s="5"/>
      <c r="FJ4811" s="164"/>
      <c r="FL4811" s="2"/>
      <c r="FN4811" s="2"/>
    </row>
    <row r="4812" spans="153:170" x14ac:dyDescent="0.35">
      <c r="EW4812" s="48"/>
      <c r="FB4812" s="5"/>
      <c r="FI4812" s="5"/>
      <c r="FJ4812" s="164"/>
      <c r="FL4812" s="2"/>
      <c r="FN4812" s="2"/>
    </row>
    <row r="4813" spans="153:170" x14ac:dyDescent="0.35">
      <c r="EW4813" s="48"/>
      <c r="FB4813" s="5"/>
      <c r="FI4813" s="5"/>
      <c r="FJ4813" s="164"/>
      <c r="FL4813" s="2"/>
      <c r="FN4813" s="2"/>
    </row>
    <row r="4814" spans="153:170" x14ac:dyDescent="0.35">
      <c r="EW4814" s="48"/>
      <c r="FB4814" s="5"/>
      <c r="FI4814" s="5"/>
      <c r="FJ4814" s="164"/>
      <c r="FL4814" s="2"/>
      <c r="FN4814" s="2"/>
    </row>
    <row r="4815" spans="153:170" x14ac:dyDescent="0.35">
      <c r="EW4815" s="48"/>
      <c r="FB4815" s="5"/>
      <c r="FI4815" s="5"/>
      <c r="FJ4815" s="164"/>
      <c r="FL4815" s="2"/>
      <c r="FN4815" s="2"/>
    </row>
    <row r="4816" spans="153:170" x14ac:dyDescent="0.35">
      <c r="EW4816" s="48"/>
      <c r="FB4816" s="5"/>
      <c r="FI4816" s="5"/>
      <c r="FJ4816" s="164"/>
      <c r="FL4816" s="2"/>
      <c r="FN4816" s="2"/>
    </row>
    <row r="4817" spans="153:170" x14ac:dyDescent="0.35">
      <c r="EW4817" s="48"/>
      <c r="FB4817" s="5"/>
      <c r="FI4817" s="5"/>
      <c r="FJ4817" s="164"/>
      <c r="FL4817" s="2"/>
      <c r="FN4817" s="2"/>
    </row>
    <row r="4818" spans="153:170" x14ac:dyDescent="0.35">
      <c r="EW4818" s="48"/>
      <c r="FB4818" s="5"/>
      <c r="FI4818" s="5"/>
      <c r="FJ4818" s="164"/>
      <c r="FL4818" s="2"/>
      <c r="FN4818" s="2"/>
    </row>
    <row r="4819" spans="153:170" x14ac:dyDescent="0.35">
      <c r="EW4819" s="48"/>
      <c r="FB4819" s="5"/>
      <c r="FI4819" s="5"/>
      <c r="FJ4819" s="164"/>
      <c r="FL4819" s="2"/>
      <c r="FN4819" s="2"/>
    </row>
    <row r="4820" spans="153:170" x14ac:dyDescent="0.35">
      <c r="EW4820" s="48"/>
      <c r="FB4820" s="5"/>
      <c r="FI4820" s="5"/>
      <c r="FJ4820" s="164"/>
      <c r="FL4820" s="2"/>
      <c r="FN4820" s="2"/>
    </row>
    <row r="4821" spans="153:170" x14ac:dyDescent="0.35">
      <c r="EW4821" s="48"/>
      <c r="FB4821" s="5"/>
      <c r="FI4821" s="5"/>
      <c r="FJ4821" s="164"/>
      <c r="FL4821" s="2"/>
      <c r="FN4821" s="2"/>
    </row>
    <row r="4822" spans="153:170" x14ac:dyDescent="0.35">
      <c r="EW4822" s="48"/>
      <c r="FB4822" s="5"/>
      <c r="FI4822" s="5"/>
      <c r="FJ4822" s="164"/>
      <c r="FL4822" s="2"/>
      <c r="FN4822" s="2"/>
    </row>
    <row r="4823" spans="153:170" x14ac:dyDescent="0.35">
      <c r="EW4823" s="48"/>
      <c r="FB4823" s="5"/>
      <c r="FI4823" s="5"/>
      <c r="FJ4823" s="164"/>
      <c r="FL4823" s="2"/>
      <c r="FN4823" s="2"/>
    </row>
    <row r="4824" spans="153:170" x14ac:dyDescent="0.35">
      <c r="EW4824" s="48"/>
      <c r="FB4824" s="5"/>
      <c r="FI4824" s="5"/>
      <c r="FJ4824" s="164"/>
      <c r="FL4824" s="2"/>
      <c r="FN4824" s="2"/>
    </row>
    <row r="4825" spans="153:170" x14ac:dyDescent="0.35">
      <c r="EW4825" s="48"/>
      <c r="FB4825" s="5"/>
      <c r="FI4825" s="5"/>
      <c r="FJ4825" s="164"/>
      <c r="FL4825" s="2"/>
      <c r="FN4825" s="2"/>
    </row>
    <row r="4826" spans="153:170" x14ac:dyDescent="0.35">
      <c r="EW4826" s="48"/>
      <c r="FB4826" s="5"/>
      <c r="FI4826" s="5"/>
      <c r="FJ4826" s="164"/>
      <c r="FL4826" s="2"/>
      <c r="FN4826" s="2"/>
    </row>
    <row r="4827" spans="153:170" x14ac:dyDescent="0.35">
      <c r="EW4827" s="48"/>
      <c r="FB4827" s="5"/>
      <c r="FI4827" s="5"/>
      <c r="FJ4827" s="164"/>
      <c r="FL4827" s="2"/>
      <c r="FN4827" s="2"/>
    </row>
    <row r="4828" spans="153:170" x14ac:dyDescent="0.35">
      <c r="EW4828" s="48"/>
      <c r="FB4828" s="5"/>
      <c r="FI4828" s="5"/>
      <c r="FJ4828" s="164"/>
      <c r="FL4828" s="2"/>
      <c r="FN4828" s="2"/>
    </row>
    <row r="4829" spans="153:170" x14ac:dyDescent="0.35">
      <c r="EW4829" s="48"/>
      <c r="FB4829" s="5"/>
      <c r="FI4829" s="5"/>
      <c r="FJ4829" s="164"/>
      <c r="FL4829" s="2"/>
      <c r="FN4829" s="2"/>
    </row>
    <row r="4830" spans="153:170" x14ac:dyDescent="0.35">
      <c r="EW4830" s="48"/>
      <c r="FB4830" s="5"/>
      <c r="FI4830" s="5"/>
      <c r="FJ4830" s="164"/>
      <c r="FL4830" s="2"/>
      <c r="FN4830" s="2"/>
    </row>
    <row r="4831" spans="153:170" x14ac:dyDescent="0.35">
      <c r="EW4831" s="48"/>
      <c r="FB4831" s="5"/>
      <c r="FI4831" s="5"/>
      <c r="FJ4831" s="164"/>
      <c r="FL4831" s="2"/>
      <c r="FN4831" s="2"/>
    </row>
    <row r="4832" spans="153:170" x14ac:dyDescent="0.35">
      <c r="EW4832" s="48"/>
      <c r="FB4832" s="5"/>
      <c r="FI4832" s="5"/>
      <c r="FJ4832" s="164"/>
      <c r="FL4832" s="2"/>
      <c r="FN4832" s="2"/>
    </row>
    <row r="4833" spans="153:170" x14ac:dyDescent="0.35">
      <c r="EW4833" s="48"/>
      <c r="FB4833" s="5"/>
      <c r="FI4833" s="5"/>
      <c r="FJ4833" s="164"/>
      <c r="FL4833" s="2"/>
      <c r="FN4833" s="2"/>
    </row>
    <row r="4834" spans="153:170" x14ac:dyDescent="0.35">
      <c r="EW4834" s="48"/>
      <c r="FB4834" s="5"/>
      <c r="FI4834" s="5"/>
      <c r="FJ4834" s="164"/>
      <c r="FL4834" s="2"/>
      <c r="FN4834" s="2"/>
    </row>
    <row r="4835" spans="153:170" x14ac:dyDescent="0.35">
      <c r="EW4835" s="48"/>
      <c r="FB4835" s="5"/>
      <c r="FI4835" s="5"/>
      <c r="FJ4835" s="164"/>
      <c r="FL4835" s="2"/>
      <c r="FN4835" s="2"/>
    </row>
    <row r="4836" spans="153:170" x14ac:dyDescent="0.35">
      <c r="EW4836" s="48"/>
      <c r="FB4836" s="5"/>
      <c r="FI4836" s="5"/>
      <c r="FJ4836" s="164"/>
      <c r="FL4836" s="2"/>
      <c r="FN4836" s="2"/>
    </row>
    <row r="4837" spans="153:170" x14ac:dyDescent="0.35">
      <c r="EW4837" s="48"/>
      <c r="FB4837" s="5"/>
      <c r="FI4837" s="5"/>
      <c r="FJ4837" s="164"/>
      <c r="FL4837" s="2"/>
      <c r="FN4837" s="2"/>
    </row>
    <row r="4838" spans="153:170" x14ac:dyDescent="0.35">
      <c r="EW4838" s="48"/>
      <c r="FB4838" s="5"/>
      <c r="FI4838" s="5"/>
      <c r="FJ4838" s="164"/>
      <c r="FL4838" s="2"/>
      <c r="FN4838" s="2"/>
    </row>
    <row r="4839" spans="153:170" x14ac:dyDescent="0.35">
      <c r="EW4839" s="48"/>
      <c r="FB4839" s="5"/>
      <c r="FI4839" s="5"/>
      <c r="FJ4839" s="164"/>
      <c r="FL4839" s="2"/>
      <c r="FN4839" s="2"/>
    </row>
    <row r="4840" spans="153:170" x14ac:dyDescent="0.35">
      <c r="EW4840" s="48"/>
      <c r="FB4840" s="5"/>
      <c r="FI4840" s="5"/>
      <c r="FJ4840" s="164"/>
      <c r="FL4840" s="2"/>
      <c r="FN4840" s="2"/>
    </row>
    <row r="4841" spans="153:170" x14ac:dyDescent="0.35">
      <c r="EW4841" s="48"/>
      <c r="FB4841" s="5"/>
      <c r="FI4841" s="5"/>
      <c r="FJ4841" s="164"/>
      <c r="FL4841" s="2"/>
      <c r="FN4841" s="2"/>
    </row>
    <row r="4842" spans="153:170" x14ac:dyDescent="0.35">
      <c r="EW4842" s="48"/>
      <c r="FB4842" s="5"/>
      <c r="FI4842" s="5"/>
      <c r="FJ4842" s="164"/>
      <c r="FL4842" s="2"/>
      <c r="FN4842" s="2"/>
    </row>
    <row r="4843" spans="153:170" x14ac:dyDescent="0.35">
      <c r="EW4843" s="48"/>
      <c r="FB4843" s="5"/>
      <c r="FI4843" s="5"/>
      <c r="FJ4843" s="164"/>
      <c r="FL4843" s="2"/>
      <c r="FN4843" s="2"/>
    </row>
    <row r="4844" spans="153:170" x14ac:dyDescent="0.35">
      <c r="EW4844" s="48"/>
      <c r="FB4844" s="5"/>
      <c r="FI4844" s="5"/>
      <c r="FJ4844" s="164"/>
      <c r="FL4844" s="2"/>
      <c r="FN4844" s="2"/>
    </row>
    <row r="4845" spans="153:170" x14ac:dyDescent="0.35">
      <c r="EW4845" s="48"/>
      <c r="FB4845" s="5"/>
      <c r="FI4845" s="5"/>
      <c r="FJ4845" s="164"/>
      <c r="FL4845" s="2"/>
      <c r="FN4845" s="2"/>
    </row>
    <row r="4846" spans="153:170" x14ac:dyDescent="0.35">
      <c r="EW4846" s="48"/>
      <c r="FB4846" s="5"/>
      <c r="FI4846" s="5"/>
      <c r="FJ4846" s="164"/>
      <c r="FL4846" s="2"/>
      <c r="FN4846" s="2"/>
    </row>
    <row r="4847" spans="153:170" x14ac:dyDescent="0.35">
      <c r="EW4847" s="48"/>
      <c r="FB4847" s="5"/>
      <c r="FI4847" s="5"/>
      <c r="FJ4847" s="164"/>
      <c r="FL4847" s="2"/>
      <c r="FN4847" s="2"/>
    </row>
    <row r="4848" spans="153:170" x14ac:dyDescent="0.35">
      <c r="EW4848" s="48"/>
      <c r="FB4848" s="5"/>
      <c r="FI4848" s="5"/>
      <c r="FJ4848" s="164"/>
      <c r="FL4848" s="2"/>
      <c r="FN4848" s="2"/>
    </row>
    <row r="4849" spans="153:170" x14ac:dyDescent="0.35">
      <c r="EW4849" s="48"/>
      <c r="FB4849" s="5"/>
      <c r="FI4849" s="5"/>
      <c r="FJ4849" s="164"/>
      <c r="FL4849" s="2"/>
      <c r="FN4849" s="2"/>
    </row>
    <row r="4850" spans="153:170" x14ac:dyDescent="0.35">
      <c r="EW4850" s="48"/>
      <c r="FB4850" s="5"/>
      <c r="FI4850" s="5"/>
      <c r="FJ4850" s="164"/>
      <c r="FL4850" s="2"/>
      <c r="FN4850" s="2"/>
    </row>
    <row r="4851" spans="153:170" x14ac:dyDescent="0.35">
      <c r="EW4851" s="48"/>
      <c r="FB4851" s="5"/>
      <c r="FI4851" s="5"/>
      <c r="FJ4851" s="164"/>
      <c r="FL4851" s="2"/>
      <c r="FN4851" s="2"/>
    </row>
    <row r="4852" spans="153:170" x14ac:dyDescent="0.35">
      <c r="EW4852" s="48"/>
      <c r="FB4852" s="5"/>
      <c r="FI4852" s="5"/>
      <c r="FJ4852" s="164"/>
      <c r="FL4852" s="2"/>
      <c r="FN4852" s="2"/>
    </row>
    <row r="4853" spans="153:170" x14ac:dyDescent="0.35">
      <c r="EW4853" s="48"/>
      <c r="FB4853" s="5"/>
      <c r="FI4853" s="5"/>
      <c r="FJ4853" s="164"/>
      <c r="FL4853" s="2"/>
      <c r="FN4853" s="2"/>
    </row>
    <row r="4854" spans="153:170" x14ac:dyDescent="0.35">
      <c r="EW4854" s="48"/>
      <c r="FB4854" s="5"/>
      <c r="FI4854" s="5"/>
      <c r="FJ4854" s="164"/>
      <c r="FL4854" s="2"/>
      <c r="FN4854" s="2"/>
    </row>
    <row r="4855" spans="153:170" x14ac:dyDescent="0.35">
      <c r="EW4855" s="48"/>
      <c r="FB4855" s="5"/>
      <c r="FI4855" s="5"/>
      <c r="FJ4855" s="164"/>
      <c r="FL4855" s="2"/>
      <c r="FN4855" s="2"/>
    </row>
    <row r="4856" spans="153:170" x14ac:dyDescent="0.35">
      <c r="EW4856" s="48"/>
      <c r="FB4856" s="5"/>
      <c r="FI4856" s="5"/>
      <c r="FJ4856" s="164"/>
      <c r="FL4856" s="2"/>
      <c r="FN4856" s="2"/>
    </row>
    <row r="4857" spans="153:170" x14ac:dyDescent="0.35">
      <c r="EW4857" s="48"/>
      <c r="FB4857" s="5"/>
      <c r="FI4857" s="5"/>
      <c r="FJ4857" s="164"/>
      <c r="FL4857" s="2"/>
      <c r="FN4857" s="2"/>
    </row>
    <row r="4858" spans="153:170" x14ac:dyDescent="0.35">
      <c r="EW4858" s="48"/>
      <c r="FB4858" s="5"/>
      <c r="FI4858" s="5"/>
      <c r="FJ4858" s="164"/>
      <c r="FL4858" s="2"/>
      <c r="FN4858" s="2"/>
    </row>
    <row r="4859" spans="153:170" x14ac:dyDescent="0.35">
      <c r="EW4859" s="48"/>
      <c r="FB4859" s="5"/>
      <c r="FI4859" s="5"/>
      <c r="FJ4859" s="164"/>
      <c r="FL4859" s="2"/>
      <c r="FN4859" s="2"/>
    </row>
    <row r="4860" spans="153:170" x14ac:dyDescent="0.35">
      <c r="EW4860" s="48"/>
      <c r="FB4860" s="5"/>
      <c r="FI4860" s="5"/>
      <c r="FJ4860" s="164"/>
      <c r="FL4860" s="2"/>
      <c r="FN4860" s="2"/>
    </row>
    <row r="4861" spans="153:170" x14ac:dyDescent="0.35">
      <c r="EW4861" s="48"/>
      <c r="FB4861" s="5"/>
      <c r="FI4861" s="5"/>
      <c r="FJ4861" s="164"/>
      <c r="FL4861" s="2"/>
      <c r="FN4861" s="2"/>
    </row>
    <row r="4862" spans="153:170" x14ac:dyDescent="0.35">
      <c r="EW4862" s="48"/>
      <c r="FB4862" s="5"/>
      <c r="FI4862" s="5"/>
      <c r="FJ4862" s="164"/>
      <c r="FL4862" s="2"/>
      <c r="FN4862" s="2"/>
    </row>
    <row r="4863" spans="153:170" x14ac:dyDescent="0.35">
      <c r="EW4863" s="48"/>
      <c r="FB4863" s="5"/>
      <c r="FI4863" s="5"/>
      <c r="FJ4863" s="164"/>
      <c r="FL4863" s="2"/>
      <c r="FN4863" s="2"/>
    </row>
    <row r="4864" spans="153:170" x14ac:dyDescent="0.35">
      <c r="EW4864" s="48"/>
      <c r="FB4864" s="5"/>
      <c r="FI4864" s="5"/>
      <c r="FJ4864" s="164"/>
      <c r="FL4864" s="2"/>
      <c r="FN4864" s="2"/>
    </row>
    <row r="4865" spans="153:170" x14ac:dyDescent="0.35">
      <c r="EW4865" s="48"/>
      <c r="FB4865" s="5"/>
      <c r="FI4865" s="5"/>
      <c r="FJ4865" s="164"/>
      <c r="FL4865" s="2"/>
      <c r="FN4865" s="2"/>
    </row>
    <row r="4866" spans="153:170" x14ac:dyDescent="0.35">
      <c r="EW4866" s="48"/>
      <c r="FB4866" s="5"/>
      <c r="FI4866" s="5"/>
      <c r="FJ4866" s="164"/>
      <c r="FL4866" s="2"/>
      <c r="FN4866" s="2"/>
    </row>
    <row r="4867" spans="153:170" x14ac:dyDescent="0.35">
      <c r="EW4867" s="48"/>
      <c r="FB4867" s="5"/>
      <c r="FI4867" s="5"/>
      <c r="FJ4867" s="164"/>
      <c r="FL4867" s="2"/>
      <c r="FN4867" s="2"/>
    </row>
    <row r="4868" spans="153:170" x14ac:dyDescent="0.35">
      <c r="EW4868" s="48"/>
      <c r="FB4868" s="5"/>
      <c r="FI4868" s="5"/>
      <c r="FJ4868" s="164"/>
      <c r="FL4868" s="2"/>
      <c r="FN4868" s="2"/>
    </row>
    <row r="4869" spans="153:170" x14ac:dyDescent="0.35">
      <c r="EW4869" s="48"/>
      <c r="FB4869" s="5"/>
      <c r="FI4869" s="5"/>
      <c r="FJ4869" s="164"/>
      <c r="FL4869" s="2"/>
      <c r="FN4869" s="2"/>
    </row>
    <row r="4870" spans="153:170" x14ac:dyDescent="0.35">
      <c r="EW4870" s="48"/>
      <c r="FB4870" s="5"/>
      <c r="FI4870" s="5"/>
      <c r="FJ4870" s="164"/>
      <c r="FL4870" s="2"/>
      <c r="FN4870" s="2"/>
    </row>
    <row r="4871" spans="153:170" x14ac:dyDescent="0.35">
      <c r="EW4871" s="48"/>
      <c r="FB4871" s="5"/>
      <c r="FI4871" s="5"/>
      <c r="FJ4871" s="164"/>
      <c r="FL4871" s="2"/>
      <c r="FN4871" s="2"/>
    </row>
    <row r="4872" spans="153:170" x14ac:dyDescent="0.35">
      <c r="EW4872" s="48"/>
      <c r="FB4872" s="5"/>
      <c r="FI4872" s="5"/>
      <c r="FJ4872" s="164"/>
      <c r="FL4872" s="2"/>
      <c r="FN4872" s="2"/>
    </row>
    <row r="4873" spans="153:170" x14ac:dyDescent="0.35">
      <c r="EW4873" s="48"/>
      <c r="FB4873" s="5"/>
      <c r="FI4873" s="5"/>
      <c r="FJ4873" s="164"/>
      <c r="FL4873" s="2"/>
      <c r="FN4873" s="2"/>
    </row>
    <row r="4874" spans="153:170" x14ac:dyDescent="0.35">
      <c r="EW4874" s="48"/>
      <c r="FB4874" s="5"/>
      <c r="FI4874" s="5"/>
      <c r="FJ4874" s="164"/>
      <c r="FL4874" s="2"/>
      <c r="FN4874" s="2"/>
    </row>
    <row r="4875" spans="153:170" x14ac:dyDescent="0.35">
      <c r="EW4875" s="48"/>
      <c r="FB4875" s="5"/>
      <c r="FI4875" s="5"/>
      <c r="FJ4875" s="164"/>
      <c r="FL4875" s="2"/>
      <c r="FN4875" s="2"/>
    </row>
    <row r="4876" spans="153:170" x14ac:dyDescent="0.35">
      <c r="EW4876" s="48"/>
      <c r="FB4876" s="5"/>
      <c r="FI4876" s="5"/>
      <c r="FJ4876" s="164"/>
      <c r="FL4876" s="2"/>
      <c r="FN4876" s="2"/>
    </row>
    <row r="4877" spans="153:170" x14ac:dyDescent="0.35">
      <c r="EW4877" s="48"/>
      <c r="FB4877" s="5"/>
      <c r="FI4877" s="5"/>
      <c r="FJ4877" s="164"/>
      <c r="FL4877" s="2"/>
      <c r="FN4877" s="2"/>
    </row>
    <row r="4878" spans="153:170" x14ac:dyDescent="0.35">
      <c r="EW4878" s="48"/>
      <c r="FB4878" s="5"/>
      <c r="FI4878" s="5"/>
      <c r="FJ4878" s="164"/>
      <c r="FL4878" s="2"/>
      <c r="FN4878" s="2"/>
    </row>
    <row r="4879" spans="153:170" x14ac:dyDescent="0.35">
      <c r="EW4879" s="48"/>
      <c r="FB4879" s="5"/>
      <c r="FI4879" s="5"/>
      <c r="FJ4879" s="164"/>
      <c r="FL4879" s="2"/>
      <c r="FN4879" s="2"/>
    </row>
    <row r="4880" spans="153:170" x14ac:dyDescent="0.35">
      <c r="EW4880" s="48"/>
      <c r="FB4880" s="5"/>
      <c r="FI4880" s="5"/>
      <c r="FJ4880" s="164"/>
      <c r="FL4880" s="2"/>
      <c r="FN4880" s="2"/>
    </row>
    <row r="4881" spans="153:170" x14ac:dyDescent="0.35">
      <c r="EW4881" s="48"/>
      <c r="FB4881" s="5"/>
      <c r="FI4881" s="5"/>
      <c r="FJ4881" s="164"/>
      <c r="FL4881" s="2"/>
      <c r="FN4881" s="2"/>
    </row>
    <row r="4882" spans="153:170" x14ac:dyDescent="0.35">
      <c r="EW4882" s="48"/>
      <c r="FB4882" s="5"/>
      <c r="FI4882" s="5"/>
      <c r="FJ4882" s="164"/>
      <c r="FL4882" s="2"/>
      <c r="FN4882" s="2"/>
    </row>
    <row r="4883" spans="153:170" x14ac:dyDescent="0.35">
      <c r="EW4883" s="48"/>
      <c r="FB4883" s="5"/>
      <c r="FI4883" s="5"/>
      <c r="FJ4883" s="164"/>
      <c r="FL4883" s="2"/>
      <c r="FN4883" s="2"/>
    </row>
    <row r="4884" spans="153:170" x14ac:dyDescent="0.35">
      <c r="EW4884" s="48"/>
      <c r="FB4884" s="5"/>
      <c r="FI4884" s="5"/>
      <c r="FJ4884" s="164"/>
      <c r="FL4884" s="2"/>
      <c r="FN4884" s="2"/>
    </row>
    <row r="4885" spans="153:170" x14ac:dyDescent="0.35">
      <c r="EW4885" s="48"/>
      <c r="FB4885" s="5"/>
      <c r="FI4885" s="5"/>
      <c r="FJ4885" s="164"/>
      <c r="FL4885" s="2"/>
      <c r="FN4885" s="2"/>
    </row>
    <row r="4886" spans="153:170" x14ac:dyDescent="0.35">
      <c r="EW4886" s="48"/>
      <c r="FB4886" s="5"/>
      <c r="FI4886" s="5"/>
      <c r="FJ4886" s="164"/>
      <c r="FL4886" s="2"/>
      <c r="FN4886" s="2"/>
    </row>
    <row r="4887" spans="153:170" x14ac:dyDescent="0.35">
      <c r="EW4887" s="48"/>
      <c r="FB4887" s="5"/>
      <c r="FI4887" s="5"/>
      <c r="FJ4887" s="164"/>
      <c r="FL4887" s="2"/>
      <c r="FN4887" s="2"/>
    </row>
    <row r="4888" spans="153:170" x14ac:dyDescent="0.35">
      <c r="EW4888" s="48"/>
      <c r="FB4888" s="5"/>
      <c r="FI4888" s="5"/>
      <c r="FJ4888" s="164"/>
      <c r="FL4888" s="2"/>
      <c r="FN4888" s="2"/>
    </row>
    <row r="4889" spans="153:170" x14ac:dyDescent="0.35">
      <c r="EW4889" s="48"/>
      <c r="FB4889" s="5"/>
      <c r="FI4889" s="5"/>
      <c r="FJ4889" s="164"/>
      <c r="FL4889" s="2"/>
      <c r="FN4889" s="2"/>
    </row>
    <row r="4890" spans="153:170" x14ac:dyDescent="0.35">
      <c r="EW4890" s="48"/>
      <c r="FB4890" s="5"/>
      <c r="FI4890" s="5"/>
      <c r="FJ4890" s="164"/>
      <c r="FL4890" s="2"/>
      <c r="FN4890" s="2"/>
    </row>
    <row r="4891" spans="153:170" x14ac:dyDescent="0.35">
      <c r="EW4891" s="48"/>
      <c r="FB4891" s="5"/>
      <c r="FI4891" s="5"/>
      <c r="FJ4891" s="164"/>
      <c r="FL4891" s="2"/>
      <c r="FN4891" s="2"/>
    </row>
    <row r="4892" spans="153:170" x14ac:dyDescent="0.35">
      <c r="EW4892" s="48"/>
      <c r="FB4892" s="5"/>
      <c r="FI4892" s="5"/>
      <c r="FJ4892" s="164"/>
      <c r="FL4892" s="2"/>
      <c r="FN4892" s="2"/>
    </row>
    <row r="4893" spans="153:170" x14ac:dyDescent="0.35">
      <c r="EW4893" s="48"/>
      <c r="FB4893" s="5"/>
      <c r="FI4893" s="5"/>
      <c r="FJ4893" s="164"/>
      <c r="FL4893" s="2"/>
      <c r="FN4893" s="2"/>
    </row>
    <row r="4894" spans="153:170" x14ac:dyDescent="0.35">
      <c r="EW4894" s="48"/>
      <c r="FB4894" s="5"/>
      <c r="FI4894" s="5"/>
      <c r="FJ4894" s="164"/>
      <c r="FL4894" s="2"/>
      <c r="FN4894" s="2"/>
    </row>
    <row r="4895" spans="153:170" x14ac:dyDescent="0.35">
      <c r="EW4895" s="48"/>
      <c r="FB4895" s="5"/>
      <c r="FI4895" s="5"/>
      <c r="FJ4895" s="164"/>
      <c r="FL4895" s="2"/>
      <c r="FN4895" s="2"/>
    </row>
    <row r="4896" spans="153:170" x14ac:dyDescent="0.35">
      <c r="EW4896" s="48"/>
      <c r="FB4896" s="5"/>
      <c r="FI4896" s="5"/>
      <c r="FJ4896" s="164"/>
      <c r="FL4896" s="2"/>
      <c r="FN4896" s="2"/>
    </row>
    <row r="4897" spans="153:170" x14ac:dyDescent="0.35">
      <c r="EW4897" s="48"/>
      <c r="FB4897" s="5"/>
      <c r="FI4897" s="5"/>
      <c r="FJ4897" s="164"/>
      <c r="FL4897" s="2"/>
      <c r="FN4897" s="2"/>
    </row>
    <row r="4898" spans="153:170" x14ac:dyDescent="0.35">
      <c r="EW4898" s="48"/>
      <c r="FB4898" s="5"/>
      <c r="FI4898" s="5"/>
      <c r="FJ4898" s="164"/>
      <c r="FL4898" s="2"/>
      <c r="FN4898" s="2"/>
    </row>
    <row r="4899" spans="153:170" x14ac:dyDescent="0.35">
      <c r="EW4899" s="48"/>
      <c r="FB4899" s="5"/>
      <c r="FI4899" s="5"/>
      <c r="FJ4899" s="164"/>
      <c r="FL4899" s="2"/>
      <c r="FN4899" s="2"/>
    </row>
    <row r="4900" spans="153:170" x14ac:dyDescent="0.35">
      <c r="EW4900" s="48"/>
      <c r="FB4900" s="5"/>
      <c r="FI4900" s="5"/>
      <c r="FJ4900" s="164"/>
      <c r="FL4900" s="2"/>
      <c r="FN4900" s="2"/>
    </row>
    <row r="4901" spans="153:170" x14ac:dyDescent="0.35">
      <c r="EW4901" s="48"/>
      <c r="FB4901" s="5"/>
      <c r="FI4901" s="5"/>
      <c r="FJ4901" s="164"/>
      <c r="FL4901" s="2"/>
      <c r="FN4901" s="2"/>
    </row>
    <row r="4902" spans="153:170" x14ac:dyDescent="0.35">
      <c r="EW4902" s="48"/>
      <c r="FB4902" s="5"/>
      <c r="FI4902" s="5"/>
      <c r="FJ4902" s="164"/>
      <c r="FL4902" s="2"/>
      <c r="FN4902" s="2"/>
    </row>
    <row r="4903" spans="153:170" x14ac:dyDescent="0.35">
      <c r="EW4903" s="48"/>
      <c r="FB4903" s="5"/>
      <c r="FI4903" s="5"/>
      <c r="FJ4903" s="164"/>
      <c r="FL4903" s="2"/>
      <c r="FN4903" s="2"/>
    </row>
    <row r="4904" spans="153:170" x14ac:dyDescent="0.35">
      <c r="EW4904" s="48"/>
      <c r="FB4904" s="5"/>
      <c r="FI4904" s="5"/>
      <c r="FJ4904" s="164"/>
      <c r="FL4904" s="2"/>
      <c r="FN4904" s="2"/>
    </row>
    <row r="4905" spans="153:170" x14ac:dyDescent="0.35">
      <c r="EW4905" s="48"/>
      <c r="FB4905" s="5"/>
      <c r="FI4905" s="5"/>
      <c r="FJ4905" s="164"/>
      <c r="FL4905" s="2"/>
      <c r="FN4905" s="2"/>
    </row>
    <row r="4906" spans="153:170" x14ac:dyDescent="0.35">
      <c r="EW4906" s="48"/>
      <c r="FB4906" s="5"/>
      <c r="FI4906" s="5"/>
      <c r="FJ4906" s="164"/>
      <c r="FL4906" s="2"/>
      <c r="FN4906" s="2"/>
    </row>
    <row r="4907" spans="153:170" x14ac:dyDescent="0.35">
      <c r="EW4907" s="48"/>
      <c r="FB4907" s="5"/>
      <c r="FI4907" s="5"/>
      <c r="FJ4907" s="164"/>
      <c r="FL4907" s="2"/>
      <c r="FN4907" s="2"/>
    </row>
    <row r="4908" spans="153:170" x14ac:dyDescent="0.35">
      <c r="EW4908" s="48"/>
      <c r="FB4908" s="5"/>
      <c r="FI4908" s="5"/>
      <c r="FJ4908" s="164"/>
      <c r="FL4908" s="2"/>
      <c r="FN4908" s="2"/>
    </row>
    <row r="4909" spans="153:170" x14ac:dyDescent="0.35">
      <c r="EW4909" s="48"/>
      <c r="FB4909" s="5"/>
      <c r="FI4909" s="5"/>
      <c r="FJ4909" s="164"/>
      <c r="FL4909" s="2"/>
      <c r="FN4909" s="2"/>
    </row>
    <row r="4910" spans="153:170" x14ac:dyDescent="0.35">
      <c r="EW4910" s="48"/>
      <c r="FB4910" s="5"/>
      <c r="FI4910" s="5"/>
      <c r="FJ4910" s="164"/>
      <c r="FL4910" s="2"/>
      <c r="FN4910" s="2"/>
    </row>
    <row r="4911" spans="153:170" x14ac:dyDescent="0.35">
      <c r="EW4911" s="48"/>
      <c r="FB4911" s="5"/>
      <c r="FI4911" s="5"/>
      <c r="FJ4911" s="164"/>
      <c r="FL4911" s="2"/>
      <c r="FN4911" s="2"/>
    </row>
    <row r="4912" spans="153:170" x14ac:dyDescent="0.35">
      <c r="EW4912" s="48"/>
      <c r="FB4912" s="5"/>
      <c r="FI4912" s="5"/>
      <c r="FJ4912" s="164"/>
      <c r="FL4912" s="2"/>
      <c r="FN4912" s="2"/>
    </row>
    <row r="4913" spans="153:170" x14ac:dyDescent="0.35">
      <c r="EW4913" s="48"/>
      <c r="FB4913" s="5"/>
      <c r="FI4913" s="5"/>
      <c r="FJ4913" s="164"/>
      <c r="FL4913" s="2"/>
      <c r="FN4913" s="2"/>
    </row>
    <row r="4914" spans="153:170" x14ac:dyDescent="0.35">
      <c r="EW4914" s="48"/>
      <c r="FB4914" s="5"/>
      <c r="FI4914" s="5"/>
      <c r="FJ4914" s="164"/>
      <c r="FL4914" s="2"/>
      <c r="FN4914" s="2"/>
    </row>
    <row r="4915" spans="153:170" x14ac:dyDescent="0.35">
      <c r="EW4915" s="48"/>
      <c r="FB4915" s="5"/>
      <c r="FI4915" s="5"/>
      <c r="FJ4915" s="164"/>
      <c r="FL4915" s="2"/>
      <c r="FN4915" s="2"/>
    </row>
    <row r="4916" spans="153:170" x14ac:dyDescent="0.35">
      <c r="EW4916" s="48"/>
      <c r="FB4916" s="5"/>
      <c r="FI4916" s="5"/>
      <c r="FJ4916" s="164"/>
      <c r="FL4916" s="2"/>
      <c r="FN4916" s="2"/>
    </row>
    <row r="4917" spans="153:170" x14ac:dyDescent="0.35">
      <c r="EW4917" s="48"/>
      <c r="FB4917" s="5"/>
      <c r="FI4917" s="5"/>
      <c r="FJ4917" s="164"/>
      <c r="FL4917" s="2"/>
      <c r="FN4917" s="2"/>
    </row>
    <row r="4918" spans="153:170" x14ac:dyDescent="0.35">
      <c r="EW4918" s="48"/>
      <c r="FB4918" s="5"/>
      <c r="FI4918" s="5"/>
      <c r="FJ4918" s="164"/>
      <c r="FL4918" s="2"/>
      <c r="FN4918" s="2"/>
    </row>
    <row r="4919" spans="153:170" x14ac:dyDescent="0.35">
      <c r="EW4919" s="48"/>
      <c r="FB4919" s="5"/>
      <c r="FI4919" s="5"/>
      <c r="FJ4919" s="164"/>
      <c r="FL4919" s="2"/>
      <c r="FN4919" s="2"/>
    </row>
    <row r="4920" spans="153:170" x14ac:dyDescent="0.35">
      <c r="EW4920" s="48"/>
      <c r="FB4920" s="5"/>
      <c r="FI4920" s="5"/>
      <c r="FJ4920" s="164"/>
      <c r="FL4920" s="2"/>
      <c r="FN4920" s="2"/>
    </row>
    <row r="4921" spans="153:170" x14ac:dyDescent="0.35">
      <c r="EW4921" s="48"/>
      <c r="FB4921" s="5"/>
      <c r="FI4921" s="5"/>
      <c r="FJ4921" s="164"/>
      <c r="FL4921" s="2"/>
      <c r="FN4921" s="2"/>
    </row>
    <row r="4922" spans="153:170" x14ac:dyDescent="0.35">
      <c r="EW4922" s="48"/>
      <c r="FB4922" s="5"/>
      <c r="FI4922" s="5"/>
      <c r="FJ4922" s="164"/>
      <c r="FL4922" s="2"/>
      <c r="FN4922" s="2"/>
    </row>
    <row r="4923" spans="153:170" x14ac:dyDescent="0.35">
      <c r="EW4923" s="48"/>
      <c r="FB4923" s="5"/>
      <c r="FI4923" s="5"/>
      <c r="FJ4923" s="164"/>
      <c r="FL4923" s="2"/>
      <c r="FN4923" s="2"/>
    </row>
    <row r="4924" spans="153:170" x14ac:dyDescent="0.35">
      <c r="EW4924" s="48"/>
      <c r="FB4924" s="5"/>
      <c r="FI4924" s="5"/>
      <c r="FJ4924" s="164"/>
      <c r="FL4924" s="2"/>
      <c r="FN4924" s="2"/>
    </row>
    <row r="4925" spans="153:170" x14ac:dyDescent="0.35">
      <c r="EW4925" s="48"/>
      <c r="FB4925" s="5"/>
      <c r="FI4925" s="5"/>
      <c r="FJ4925" s="164"/>
      <c r="FL4925" s="2"/>
      <c r="FN4925" s="2"/>
    </row>
    <row r="4926" spans="153:170" x14ac:dyDescent="0.35">
      <c r="EW4926" s="48"/>
      <c r="FB4926" s="5"/>
      <c r="FI4926" s="5"/>
      <c r="FJ4926" s="164"/>
      <c r="FL4926" s="2"/>
      <c r="FN4926" s="2"/>
    </row>
    <row r="4927" spans="153:170" x14ac:dyDescent="0.35">
      <c r="EW4927" s="48"/>
      <c r="FB4927" s="5"/>
      <c r="FI4927" s="5"/>
      <c r="FJ4927" s="164"/>
      <c r="FL4927" s="2"/>
      <c r="FN4927" s="2"/>
    </row>
    <row r="4928" spans="153:170" x14ac:dyDescent="0.35">
      <c r="EW4928" s="48"/>
      <c r="FB4928" s="5"/>
      <c r="FI4928" s="5"/>
      <c r="FJ4928" s="164"/>
      <c r="FL4928" s="2"/>
      <c r="FN4928" s="2"/>
    </row>
    <row r="4929" spans="153:170" x14ac:dyDescent="0.35">
      <c r="EW4929" s="48"/>
      <c r="FB4929" s="5"/>
      <c r="FI4929" s="5"/>
      <c r="FJ4929" s="164"/>
      <c r="FL4929" s="2"/>
      <c r="FN4929" s="2"/>
    </row>
    <row r="4930" spans="153:170" x14ac:dyDescent="0.35">
      <c r="EW4930" s="48"/>
      <c r="FB4930" s="5"/>
      <c r="FI4930" s="5"/>
      <c r="FJ4930" s="164"/>
      <c r="FL4930" s="2"/>
      <c r="FN4930" s="2"/>
    </row>
    <row r="4931" spans="153:170" x14ac:dyDescent="0.35">
      <c r="EW4931" s="48"/>
      <c r="FB4931" s="5"/>
      <c r="FI4931" s="5"/>
      <c r="FJ4931" s="164"/>
      <c r="FL4931" s="2"/>
      <c r="FN4931" s="2"/>
    </row>
    <row r="4932" spans="153:170" x14ac:dyDescent="0.35">
      <c r="EW4932" s="48"/>
      <c r="FB4932" s="5"/>
      <c r="FI4932" s="5"/>
      <c r="FJ4932" s="164"/>
      <c r="FL4932" s="2"/>
      <c r="FN4932" s="2"/>
    </row>
    <row r="4933" spans="153:170" x14ac:dyDescent="0.35">
      <c r="EW4933" s="48"/>
      <c r="FB4933" s="5"/>
      <c r="FI4933" s="5"/>
      <c r="FJ4933" s="164"/>
      <c r="FL4933" s="2"/>
      <c r="FN4933" s="2"/>
    </row>
    <row r="4934" spans="153:170" x14ac:dyDescent="0.35">
      <c r="EW4934" s="48"/>
      <c r="FB4934" s="5"/>
      <c r="FI4934" s="5"/>
      <c r="FJ4934" s="164"/>
      <c r="FL4934" s="2"/>
      <c r="FN4934" s="2"/>
    </row>
    <row r="4935" spans="153:170" x14ac:dyDescent="0.35">
      <c r="EW4935" s="48"/>
      <c r="FB4935" s="5"/>
      <c r="FI4935" s="5"/>
      <c r="FJ4935" s="164"/>
      <c r="FL4935" s="2"/>
      <c r="FN4935" s="2"/>
    </row>
    <row r="4936" spans="153:170" x14ac:dyDescent="0.35">
      <c r="EW4936" s="48"/>
      <c r="FB4936" s="5"/>
      <c r="FI4936" s="5"/>
      <c r="FJ4936" s="164"/>
      <c r="FL4936" s="2"/>
      <c r="FN4936" s="2"/>
    </row>
    <row r="4937" spans="153:170" x14ac:dyDescent="0.35">
      <c r="EW4937" s="48"/>
      <c r="FB4937" s="5"/>
      <c r="FI4937" s="5"/>
      <c r="FJ4937" s="164"/>
      <c r="FL4937" s="2"/>
      <c r="FN4937" s="2"/>
    </row>
    <row r="4938" spans="153:170" x14ac:dyDescent="0.35">
      <c r="EW4938" s="48"/>
      <c r="FB4938" s="5"/>
      <c r="FI4938" s="5"/>
      <c r="FJ4938" s="164"/>
      <c r="FL4938" s="2"/>
      <c r="FN4938" s="2"/>
    </row>
    <row r="4939" spans="153:170" x14ac:dyDescent="0.35">
      <c r="EW4939" s="48"/>
      <c r="FB4939" s="5"/>
      <c r="FI4939" s="5"/>
      <c r="FJ4939" s="164"/>
      <c r="FL4939" s="2"/>
      <c r="FN4939" s="2"/>
    </row>
    <row r="4940" spans="153:170" x14ac:dyDescent="0.35">
      <c r="EW4940" s="48"/>
      <c r="FB4940" s="5"/>
      <c r="FI4940" s="5"/>
      <c r="FJ4940" s="164"/>
      <c r="FL4940" s="2"/>
      <c r="FN4940" s="2"/>
    </row>
    <row r="4941" spans="153:170" x14ac:dyDescent="0.35">
      <c r="EW4941" s="48"/>
      <c r="FB4941" s="5"/>
      <c r="FI4941" s="5"/>
      <c r="FJ4941" s="164"/>
      <c r="FL4941" s="2"/>
      <c r="FN4941" s="2"/>
    </row>
    <row r="4942" spans="153:170" x14ac:dyDescent="0.35">
      <c r="EW4942" s="48"/>
      <c r="FB4942" s="5"/>
      <c r="FI4942" s="5"/>
      <c r="FJ4942" s="164"/>
      <c r="FL4942" s="2"/>
      <c r="FN4942" s="2"/>
    </row>
    <row r="4943" spans="153:170" x14ac:dyDescent="0.35">
      <c r="EW4943" s="48"/>
      <c r="FB4943" s="5"/>
      <c r="FI4943" s="5"/>
      <c r="FJ4943" s="164"/>
      <c r="FL4943" s="2"/>
      <c r="FN4943" s="2"/>
    </row>
    <row r="4944" spans="153:170" x14ac:dyDescent="0.35">
      <c r="EW4944" s="48"/>
      <c r="FB4944" s="5"/>
      <c r="FI4944" s="5"/>
      <c r="FJ4944" s="164"/>
      <c r="FL4944" s="2"/>
      <c r="FN4944" s="2"/>
    </row>
    <row r="4945" spans="153:170" x14ac:dyDescent="0.35">
      <c r="EW4945" s="48"/>
      <c r="FB4945" s="5"/>
      <c r="FI4945" s="5"/>
      <c r="FJ4945" s="164"/>
      <c r="FL4945" s="2"/>
      <c r="FN4945" s="2"/>
    </row>
    <row r="4946" spans="153:170" x14ac:dyDescent="0.35">
      <c r="EW4946" s="48"/>
      <c r="FB4946" s="5"/>
      <c r="FI4946" s="5"/>
      <c r="FJ4946" s="164"/>
      <c r="FL4946" s="2"/>
      <c r="FN4946" s="2"/>
    </row>
    <row r="4947" spans="153:170" x14ac:dyDescent="0.35">
      <c r="EW4947" s="48"/>
      <c r="FB4947" s="5"/>
      <c r="FI4947" s="5"/>
      <c r="FJ4947" s="164"/>
      <c r="FL4947" s="2"/>
      <c r="FN4947" s="2"/>
    </row>
    <row r="4948" spans="153:170" x14ac:dyDescent="0.35">
      <c r="EW4948" s="48"/>
      <c r="FB4948" s="5"/>
      <c r="FI4948" s="5"/>
      <c r="FJ4948" s="164"/>
      <c r="FL4948" s="2"/>
      <c r="FN4948" s="2"/>
    </row>
    <row r="4949" spans="153:170" x14ac:dyDescent="0.35">
      <c r="EW4949" s="48"/>
      <c r="FB4949" s="5"/>
      <c r="FI4949" s="5"/>
      <c r="FJ4949" s="164"/>
      <c r="FL4949" s="2"/>
      <c r="FN4949" s="2"/>
    </row>
    <row r="4950" spans="153:170" x14ac:dyDescent="0.35">
      <c r="EW4950" s="48"/>
      <c r="FB4950" s="5"/>
      <c r="FI4950" s="5"/>
      <c r="FJ4950" s="164"/>
      <c r="FL4950" s="2"/>
      <c r="FN4950" s="2"/>
    </row>
    <row r="4951" spans="153:170" x14ac:dyDescent="0.35">
      <c r="EW4951" s="48"/>
      <c r="FB4951" s="5"/>
      <c r="FI4951" s="5"/>
      <c r="FJ4951" s="164"/>
      <c r="FL4951" s="2"/>
      <c r="FN4951" s="2"/>
    </row>
    <row r="4952" spans="153:170" x14ac:dyDescent="0.35">
      <c r="EW4952" s="48"/>
      <c r="FB4952" s="5"/>
      <c r="FI4952" s="5"/>
      <c r="FJ4952" s="164"/>
      <c r="FL4952" s="2"/>
      <c r="FN4952" s="2"/>
    </row>
    <row r="4953" spans="153:170" x14ac:dyDescent="0.35">
      <c r="EW4953" s="48"/>
      <c r="FB4953" s="5"/>
      <c r="FI4953" s="5"/>
      <c r="FJ4953" s="164"/>
      <c r="FL4953" s="2"/>
      <c r="FN4953" s="2"/>
    </row>
    <row r="4954" spans="153:170" x14ac:dyDescent="0.35">
      <c r="EW4954" s="48"/>
      <c r="FB4954" s="5"/>
      <c r="FI4954" s="5"/>
      <c r="FJ4954" s="164"/>
      <c r="FL4954" s="2"/>
      <c r="FN4954" s="2"/>
    </row>
    <row r="4955" spans="153:170" x14ac:dyDescent="0.35">
      <c r="EW4955" s="48"/>
      <c r="FB4955" s="5"/>
      <c r="FI4955" s="5"/>
      <c r="FJ4955" s="164"/>
      <c r="FL4955" s="2"/>
      <c r="FN4955" s="2"/>
    </row>
    <row r="4956" spans="153:170" x14ac:dyDescent="0.35">
      <c r="EW4956" s="48"/>
      <c r="FB4956" s="5"/>
      <c r="FI4956" s="5"/>
      <c r="FJ4956" s="164"/>
      <c r="FL4956" s="2"/>
      <c r="FN4956" s="2"/>
    </row>
    <row r="4957" spans="153:170" x14ac:dyDescent="0.35">
      <c r="EW4957" s="48"/>
      <c r="FB4957" s="5"/>
      <c r="FI4957" s="5"/>
      <c r="FJ4957" s="164"/>
      <c r="FL4957" s="2"/>
      <c r="FN4957" s="2"/>
    </row>
    <row r="4958" spans="153:170" x14ac:dyDescent="0.35">
      <c r="EW4958" s="48"/>
      <c r="FB4958" s="5"/>
      <c r="FI4958" s="5"/>
      <c r="FJ4958" s="164"/>
      <c r="FL4958" s="2"/>
      <c r="FN4958" s="2"/>
    </row>
    <row r="4959" spans="153:170" x14ac:dyDescent="0.35">
      <c r="EW4959" s="48"/>
      <c r="FB4959" s="5"/>
      <c r="FI4959" s="5"/>
      <c r="FJ4959" s="164"/>
      <c r="FL4959" s="2"/>
      <c r="FN4959" s="2"/>
    </row>
    <row r="4960" spans="153:170" x14ac:dyDescent="0.35">
      <c r="EW4960" s="48"/>
      <c r="FB4960" s="5"/>
      <c r="FI4960" s="5"/>
      <c r="FJ4960" s="164"/>
      <c r="FL4960" s="2"/>
      <c r="FN4960" s="2"/>
    </row>
    <row r="4961" spans="153:170" x14ac:dyDescent="0.35">
      <c r="EW4961" s="48"/>
      <c r="FB4961" s="5"/>
      <c r="FI4961" s="5"/>
      <c r="FJ4961" s="164"/>
      <c r="FL4961" s="2"/>
      <c r="FN4961" s="2"/>
    </row>
    <row r="4962" spans="153:170" x14ac:dyDescent="0.35">
      <c r="EW4962" s="48"/>
      <c r="FB4962" s="5"/>
      <c r="FI4962" s="5"/>
      <c r="FJ4962" s="164"/>
      <c r="FL4962" s="2"/>
      <c r="FN4962" s="2"/>
    </row>
    <row r="4963" spans="153:170" x14ac:dyDescent="0.35">
      <c r="EW4963" s="48"/>
      <c r="FB4963" s="5"/>
      <c r="FI4963" s="5"/>
      <c r="FJ4963" s="164"/>
      <c r="FL4963" s="2"/>
      <c r="FN4963" s="2"/>
    </row>
    <row r="4964" spans="153:170" x14ac:dyDescent="0.35">
      <c r="EW4964" s="48"/>
      <c r="FB4964" s="5"/>
      <c r="FI4964" s="5"/>
      <c r="FJ4964" s="164"/>
      <c r="FL4964" s="2"/>
      <c r="FN4964" s="2"/>
    </row>
    <row r="4965" spans="153:170" x14ac:dyDescent="0.35">
      <c r="EW4965" s="48"/>
      <c r="FB4965" s="5"/>
      <c r="FI4965" s="5"/>
      <c r="FJ4965" s="164"/>
      <c r="FL4965" s="2"/>
      <c r="FN4965" s="2"/>
    </row>
    <row r="4966" spans="153:170" x14ac:dyDescent="0.35">
      <c r="EW4966" s="48"/>
      <c r="FB4966" s="5"/>
      <c r="FI4966" s="5"/>
      <c r="FJ4966" s="164"/>
      <c r="FL4966" s="2"/>
      <c r="FN4966" s="2"/>
    </row>
    <row r="4967" spans="153:170" x14ac:dyDescent="0.35">
      <c r="EW4967" s="48"/>
      <c r="FB4967" s="5"/>
      <c r="FI4967" s="5"/>
      <c r="FJ4967" s="164"/>
      <c r="FL4967" s="2"/>
      <c r="FN4967" s="2"/>
    </row>
    <row r="4968" spans="153:170" x14ac:dyDescent="0.35">
      <c r="EW4968" s="48"/>
      <c r="FB4968" s="5"/>
      <c r="FI4968" s="5"/>
      <c r="FJ4968" s="164"/>
      <c r="FL4968" s="2"/>
      <c r="FN4968" s="2"/>
    </row>
    <row r="4969" spans="153:170" x14ac:dyDescent="0.35">
      <c r="EW4969" s="48"/>
      <c r="FB4969" s="5"/>
      <c r="FI4969" s="5"/>
      <c r="FJ4969" s="164"/>
      <c r="FL4969" s="2"/>
      <c r="FN4969" s="2"/>
    </row>
    <row r="4970" spans="153:170" x14ac:dyDescent="0.35">
      <c r="EW4970" s="48"/>
      <c r="FB4970" s="5"/>
      <c r="FI4970" s="5"/>
      <c r="FJ4970" s="164"/>
      <c r="FL4970" s="2"/>
      <c r="FN4970" s="2"/>
    </row>
    <row r="4971" spans="153:170" x14ac:dyDescent="0.35">
      <c r="EW4971" s="48"/>
      <c r="FB4971" s="5"/>
      <c r="FI4971" s="5"/>
      <c r="FJ4971" s="164"/>
      <c r="FL4971" s="2"/>
      <c r="FN4971" s="2"/>
    </row>
    <row r="4972" spans="153:170" x14ac:dyDescent="0.35">
      <c r="EW4972" s="48"/>
      <c r="FB4972" s="5"/>
      <c r="FI4972" s="5"/>
      <c r="FJ4972" s="164"/>
      <c r="FL4972" s="2"/>
      <c r="FN4972" s="2"/>
    </row>
    <row r="4973" spans="153:170" x14ac:dyDescent="0.35">
      <c r="EW4973" s="48"/>
      <c r="FB4973" s="5"/>
      <c r="FI4973" s="5"/>
      <c r="FJ4973" s="164"/>
      <c r="FL4973" s="2"/>
      <c r="FN4973" s="2"/>
    </row>
    <row r="4974" spans="153:170" x14ac:dyDescent="0.35">
      <c r="EW4974" s="48"/>
      <c r="FB4974" s="5"/>
      <c r="FI4974" s="5"/>
      <c r="FJ4974" s="164"/>
      <c r="FL4974" s="2"/>
      <c r="FN4974" s="2"/>
    </row>
    <row r="4975" spans="153:170" x14ac:dyDescent="0.35">
      <c r="EW4975" s="48"/>
      <c r="FB4975" s="5"/>
      <c r="FI4975" s="5"/>
      <c r="FJ4975" s="164"/>
      <c r="FL4975" s="2"/>
      <c r="FN4975" s="2"/>
    </row>
    <row r="4976" spans="153:170" x14ac:dyDescent="0.35">
      <c r="EW4976" s="48"/>
      <c r="FB4976" s="5"/>
      <c r="FI4976" s="5"/>
      <c r="FJ4976" s="164"/>
      <c r="FL4976" s="2"/>
      <c r="FN4976" s="2"/>
    </row>
    <row r="4977" spans="153:170" x14ac:dyDescent="0.35">
      <c r="EW4977" s="48"/>
      <c r="FB4977" s="5"/>
      <c r="FI4977" s="5"/>
      <c r="FJ4977" s="164"/>
      <c r="FL4977" s="2"/>
      <c r="FN4977" s="2"/>
    </row>
    <row r="4978" spans="153:170" x14ac:dyDescent="0.35">
      <c r="EW4978" s="48"/>
      <c r="FB4978" s="5"/>
      <c r="FI4978" s="5"/>
      <c r="FJ4978" s="164"/>
      <c r="FL4978" s="2"/>
      <c r="FN4978" s="2"/>
    </row>
    <row r="4979" spans="153:170" x14ac:dyDescent="0.35">
      <c r="EW4979" s="48"/>
      <c r="FB4979" s="5"/>
      <c r="FI4979" s="5"/>
      <c r="FJ4979" s="164"/>
      <c r="FL4979" s="2"/>
      <c r="FN4979" s="2"/>
    </row>
    <row r="4980" spans="153:170" x14ac:dyDescent="0.35">
      <c r="EW4980" s="48"/>
      <c r="FB4980" s="5"/>
      <c r="FI4980" s="5"/>
      <c r="FJ4980" s="164"/>
      <c r="FL4980" s="2"/>
      <c r="FN4980" s="2"/>
    </row>
    <row r="4981" spans="153:170" x14ac:dyDescent="0.35">
      <c r="EW4981" s="48"/>
      <c r="FB4981" s="5"/>
      <c r="FI4981" s="5"/>
      <c r="FJ4981" s="164"/>
      <c r="FL4981" s="2"/>
      <c r="FN4981" s="2"/>
    </row>
    <row r="4982" spans="153:170" x14ac:dyDescent="0.35">
      <c r="EW4982" s="48"/>
      <c r="FB4982" s="5"/>
      <c r="FI4982" s="5"/>
      <c r="FJ4982" s="164"/>
      <c r="FL4982" s="2"/>
      <c r="FN4982" s="2"/>
    </row>
    <row r="4983" spans="153:170" x14ac:dyDescent="0.35">
      <c r="EW4983" s="48"/>
      <c r="FB4983" s="5"/>
      <c r="FI4983" s="5"/>
      <c r="FJ4983" s="164"/>
      <c r="FL4983" s="2"/>
      <c r="FN4983" s="2"/>
    </row>
    <row r="4984" spans="153:170" x14ac:dyDescent="0.35">
      <c r="EW4984" s="48"/>
      <c r="FB4984" s="5"/>
      <c r="FI4984" s="5"/>
      <c r="FJ4984" s="164"/>
      <c r="FL4984" s="2"/>
      <c r="FN4984" s="2"/>
    </row>
    <row r="4985" spans="153:170" x14ac:dyDescent="0.35">
      <c r="EW4985" s="48"/>
      <c r="FB4985" s="5"/>
      <c r="FI4985" s="5"/>
      <c r="FJ4985" s="164"/>
      <c r="FL4985" s="2"/>
      <c r="FN4985" s="2"/>
    </row>
    <row r="4986" spans="153:170" x14ac:dyDescent="0.35">
      <c r="EW4986" s="48"/>
      <c r="FB4986" s="5"/>
      <c r="FI4986" s="5"/>
      <c r="FJ4986" s="164"/>
      <c r="FL4986" s="2"/>
      <c r="FN4986" s="2"/>
    </row>
    <row r="4987" spans="153:170" x14ac:dyDescent="0.35">
      <c r="EW4987" s="48"/>
      <c r="FB4987" s="5"/>
      <c r="FI4987" s="5"/>
      <c r="FJ4987" s="164"/>
      <c r="FL4987" s="2"/>
      <c r="FN4987" s="2"/>
    </row>
    <row r="4988" spans="153:170" x14ac:dyDescent="0.35">
      <c r="EW4988" s="48"/>
      <c r="FB4988" s="5"/>
      <c r="FI4988" s="5"/>
      <c r="FJ4988" s="164"/>
      <c r="FL4988" s="2"/>
      <c r="FN4988" s="2"/>
    </row>
    <row r="4989" spans="153:170" x14ac:dyDescent="0.35">
      <c r="EW4989" s="48"/>
      <c r="FB4989" s="5"/>
      <c r="FI4989" s="5"/>
      <c r="FJ4989" s="164"/>
      <c r="FL4989" s="2"/>
      <c r="FN4989" s="2"/>
    </row>
    <row r="4990" spans="153:170" x14ac:dyDescent="0.35">
      <c r="EW4990" s="48"/>
      <c r="FB4990" s="5"/>
      <c r="FI4990" s="5"/>
      <c r="FJ4990" s="164"/>
      <c r="FL4990" s="2"/>
      <c r="FN4990" s="2"/>
    </row>
    <row r="4991" spans="153:170" x14ac:dyDescent="0.35">
      <c r="EW4991" s="48"/>
      <c r="FB4991" s="5"/>
      <c r="FI4991" s="5"/>
      <c r="FJ4991" s="164"/>
      <c r="FL4991" s="2"/>
      <c r="FN4991" s="2"/>
    </row>
    <row r="4992" spans="153:170" x14ac:dyDescent="0.35">
      <c r="EW4992" s="48"/>
      <c r="FB4992" s="5"/>
      <c r="FI4992" s="5"/>
      <c r="FJ4992" s="164"/>
      <c r="FL4992" s="2"/>
      <c r="FN4992" s="2"/>
    </row>
    <row r="4993" spans="153:170" x14ac:dyDescent="0.35">
      <c r="EW4993" s="48"/>
      <c r="FB4993" s="5"/>
      <c r="FI4993" s="5"/>
      <c r="FJ4993" s="164"/>
      <c r="FL4993" s="2"/>
      <c r="FN4993" s="2"/>
    </row>
    <row r="4994" spans="153:170" x14ac:dyDescent="0.35">
      <c r="EW4994" s="48"/>
      <c r="FB4994" s="5"/>
      <c r="FI4994" s="5"/>
      <c r="FJ4994" s="164"/>
      <c r="FL4994" s="2"/>
      <c r="FN4994" s="2"/>
    </row>
    <row r="4995" spans="153:170" x14ac:dyDescent="0.35">
      <c r="EW4995" s="48"/>
      <c r="FB4995" s="5"/>
      <c r="FI4995" s="5"/>
      <c r="FJ4995" s="164"/>
      <c r="FL4995" s="2"/>
      <c r="FN4995" s="2"/>
    </row>
    <row r="4996" spans="153:170" x14ac:dyDescent="0.35">
      <c r="EW4996" s="48"/>
      <c r="FB4996" s="5"/>
      <c r="FI4996" s="5"/>
      <c r="FJ4996" s="164"/>
      <c r="FL4996" s="2"/>
      <c r="FN4996" s="2"/>
    </row>
    <row r="4997" spans="153:170" x14ac:dyDescent="0.35">
      <c r="EW4997" s="48"/>
      <c r="FB4997" s="5"/>
      <c r="FI4997" s="5"/>
      <c r="FJ4997" s="164"/>
      <c r="FL4997" s="2"/>
      <c r="FN4997" s="2"/>
    </row>
    <row r="4998" spans="153:170" x14ac:dyDescent="0.35">
      <c r="EW4998" s="48"/>
      <c r="FB4998" s="5"/>
      <c r="FI4998" s="5"/>
      <c r="FJ4998" s="164"/>
      <c r="FL4998" s="2"/>
      <c r="FN4998" s="2"/>
    </row>
    <row r="4999" spans="153:170" x14ac:dyDescent="0.35">
      <c r="EW4999" s="48"/>
      <c r="FB4999" s="5"/>
      <c r="FI4999" s="5"/>
      <c r="FJ4999" s="164"/>
      <c r="FL4999" s="2"/>
      <c r="FN4999" s="2"/>
    </row>
    <row r="5000" spans="153:170" x14ac:dyDescent="0.35">
      <c r="EW5000" s="48"/>
      <c r="FB5000" s="5"/>
      <c r="FI5000" s="5"/>
      <c r="FJ5000" s="164"/>
      <c r="FL5000" s="2"/>
      <c r="FN5000" s="2"/>
    </row>
    <row r="5001" spans="153:170" x14ac:dyDescent="0.35">
      <c r="EW5001" s="48"/>
      <c r="FB5001" s="5"/>
      <c r="FI5001" s="5"/>
      <c r="FJ5001" s="164"/>
      <c r="FL5001" s="2"/>
      <c r="FN5001" s="2"/>
    </row>
    <row r="5002" spans="153:170" x14ac:dyDescent="0.35">
      <c r="EW5002" s="48"/>
      <c r="FB5002" s="5"/>
      <c r="FI5002" s="5"/>
      <c r="FJ5002" s="164"/>
      <c r="FL5002" s="2"/>
      <c r="FN5002" s="2"/>
    </row>
    <row r="5003" spans="153:170" x14ac:dyDescent="0.35">
      <c r="EW5003" s="48"/>
      <c r="FB5003" s="5"/>
      <c r="FI5003" s="5"/>
      <c r="FJ5003" s="164"/>
      <c r="FL5003" s="2"/>
      <c r="FN5003" s="2"/>
    </row>
    <row r="5004" spans="153:170" x14ac:dyDescent="0.35">
      <c r="EW5004" s="48"/>
      <c r="FB5004" s="5"/>
      <c r="FI5004" s="5"/>
      <c r="FJ5004" s="164"/>
      <c r="FL5004" s="2"/>
      <c r="FN5004" s="2"/>
    </row>
    <row r="5005" spans="153:170" x14ac:dyDescent="0.35">
      <c r="EW5005" s="48"/>
      <c r="FB5005" s="5"/>
      <c r="FI5005" s="5"/>
      <c r="FJ5005" s="164"/>
      <c r="FL5005" s="2"/>
      <c r="FN5005" s="2"/>
    </row>
    <row r="5006" spans="153:170" x14ac:dyDescent="0.35">
      <c r="EW5006" s="48"/>
      <c r="FB5006" s="5"/>
      <c r="FI5006" s="5"/>
      <c r="FJ5006" s="164"/>
      <c r="FL5006" s="2"/>
      <c r="FN5006" s="2"/>
    </row>
    <row r="5007" spans="153:170" x14ac:dyDescent="0.35">
      <c r="EW5007" s="48"/>
      <c r="FB5007" s="5"/>
      <c r="FI5007" s="5"/>
      <c r="FJ5007" s="164"/>
      <c r="FL5007" s="2"/>
      <c r="FN5007" s="2"/>
    </row>
    <row r="5008" spans="153:170" x14ac:dyDescent="0.35">
      <c r="EW5008" s="48"/>
      <c r="FB5008" s="5"/>
      <c r="FI5008" s="5"/>
      <c r="FJ5008" s="164"/>
      <c r="FL5008" s="2"/>
      <c r="FN5008" s="2"/>
    </row>
    <row r="5009" spans="153:170" x14ac:dyDescent="0.35">
      <c r="EW5009" s="48"/>
      <c r="FB5009" s="5"/>
      <c r="FI5009" s="5"/>
      <c r="FJ5009" s="164"/>
      <c r="FL5009" s="2"/>
      <c r="FN5009" s="2"/>
    </row>
    <row r="5010" spans="153:170" x14ac:dyDescent="0.35">
      <c r="EW5010" s="48"/>
      <c r="FB5010" s="5"/>
      <c r="FI5010" s="5"/>
      <c r="FJ5010" s="164"/>
      <c r="FL5010" s="2"/>
      <c r="FN5010" s="2"/>
    </row>
    <row r="5011" spans="153:170" x14ac:dyDescent="0.35">
      <c r="EW5011" s="48"/>
      <c r="FB5011" s="5"/>
      <c r="FI5011" s="5"/>
      <c r="FJ5011" s="164"/>
      <c r="FL5011" s="2"/>
      <c r="FN5011" s="2"/>
    </row>
    <row r="5012" spans="153:170" x14ac:dyDescent="0.35">
      <c r="EW5012" s="48"/>
      <c r="FB5012" s="5"/>
      <c r="FI5012" s="5"/>
      <c r="FJ5012" s="164"/>
      <c r="FL5012" s="2"/>
      <c r="FN5012" s="2"/>
    </row>
    <row r="5013" spans="153:170" x14ac:dyDescent="0.35">
      <c r="EW5013" s="48"/>
      <c r="FB5013" s="5"/>
      <c r="FI5013" s="5"/>
      <c r="FJ5013" s="164"/>
      <c r="FL5013" s="2"/>
      <c r="FN5013" s="2"/>
    </row>
    <row r="5014" spans="153:170" x14ac:dyDescent="0.35">
      <c r="EW5014" s="48"/>
      <c r="FB5014" s="5"/>
      <c r="FI5014" s="5"/>
      <c r="FJ5014" s="164"/>
      <c r="FL5014" s="2"/>
      <c r="FN5014" s="2"/>
    </row>
    <row r="5015" spans="153:170" x14ac:dyDescent="0.35">
      <c r="EW5015" s="48"/>
      <c r="FB5015" s="5"/>
      <c r="FI5015" s="5"/>
      <c r="FJ5015" s="164"/>
      <c r="FL5015" s="2"/>
      <c r="FN5015" s="2"/>
    </row>
    <row r="5016" spans="153:170" x14ac:dyDescent="0.35">
      <c r="EW5016" s="48"/>
      <c r="FB5016" s="5"/>
      <c r="FI5016" s="5"/>
      <c r="FJ5016" s="164"/>
      <c r="FL5016" s="2"/>
      <c r="FN5016" s="2"/>
    </row>
    <row r="5017" spans="153:170" x14ac:dyDescent="0.35">
      <c r="EW5017" s="48"/>
      <c r="FB5017" s="5"/>
      <c r="FI5017" s="5"/>
      <c r="FJ5017" s="164"/>
      <c r="FL5017" s="2"/>
      <c r="FN5017" s="2"/>
    </row>
    <row r="5018" spans="153:170" x14ac:dyDescent="0.35">
      <c r="EW5018" s="48"/>
      <c r="FB5018" s="5"/>
      <c r="FI5018" s="5"/>
      <c r="FJ5018" s="164"/>
      <c r="FL5018" s="2"/>
      <c r="FN5018" s="2"/>
    </row>
    <row r="5019" spans="153:170" x14ac:dyDescent="0.35">
      <c r="EW5019" s="48"/>
      <c r="FB5019" s="5"/>
      <c r="FI5019" s="5"/>
      <c r="FJ5019" s="164"/>
      <c r="FL5019" s="2"/>
      <c r="FN5019" s="2"/>
    </row>
    <row r="5020" spans="153:170" x14ac:dyDescent="0.35">
      <c r="EW5020" s="48"/>
      <c r="FB5020" s="5"/>
      <c r="FI5020" s="5"/>
      <c r="FJ5020" s="164"/>
      <c r="FL5020" s="2"/>
      <c r="FN5020" s="2"/>
    </row>
    <row r="5021" spans="153:170" x14ac:dyDescent="0.35">
      <c r="EW5021" s="48"/>
      <c r="FB5021" s="5"/>
      <c r="FI5021" s="5"/>
      <c r="FJ5021" s="164"/>
      <c r="FL5021" s="2"/>
      <c r="FN5021" s="2"/>
    </row>
    <row r="5022" spans="153:170" x14ac:dyDescent="0.35">
      <c r="EW5022" s="48"/>
      <c r="FB5022" s="5"/>
      <c r="FI5022" s="5"/>
      <c r="FJ5022" s="164"/>
      <c r="FL5022" s="2"/>
      <c r="FN5022" s="2"/>
    </row>
    <row r="5023" spans="153:170" x14ac:dyDescent="0.35">
      <c r="EW5023" s="48"/>
      <c r="FB5023" s="5"/>
      <c r="FI5023" s="5"/>
      <c r="FJ5023" s="164"/>
      <c r="FL5023" s="2"/>
      <c r="FN5023" s="2"/>
    </row>
    <row r="5024" spans="153:170" x14ac:dyDescent="0.35">
      <c r="EW5024" s="48"/>
      <c r="FB5024" s="5"/>
      <c r="FI5024" s="5"/>
      <c r="FJ5024" s="164"/>
      <c r="FL5024" s="2"/>
      <c r="FN5024" s="2"/>
    </row>
    <row r="5025" spans="153:170" x14ac:dyDescent="0.35">
      <c r="EW5025" s="48"/>
      <c r="FB5025" s="5"/>
      <c r="FI5025" s="5"/>
      <c r="FJ5025" s="164"/>
      <c r="FL5025" s="2"/>
      <c r="FN5025" s="2"/>
    </row>
    <row r="5026" spans="153:170" x14ac:dyDescent="0.35">
      <c r="EW5026" s="48"/>
      <c r="FB5026" s="5"/>
      <c r="FI5026" s="5"/>
      <c r="FJ5026" s="164"/>
      <c r="FL5026" s="2"/>
      <c r="FN5026" s="2"/>
    </row>
    <row r="5027" spans="153:170" x14ac:dyDescent="0.35">
      <c r="EW5027" s="48"/>
      <c r="FB5027" s="5"/>
      <c r="FI5027" s="5"/>
      <c r="FJ5027" s="164"/>
      <c r="FL5027" s="2"/>
      <c r="FN5027" s="2"/>
    </row>
    <row r="5028" spans="153:170" x14ac:dyDescent="0.35">
      <c r="EW5028" s="48"/>
      <c r="FB5028" s="5"/>
      <c r="FI5028" s="5"/>
      <c r="FJ5028" s="164"/>
      <c r="FL5028" s="2"/>
      <c r="FN5028" s="2"/>
    </row>
    <row r="5029" spans="153:170" x14ac:dyDescent="0.35">
      <c r="EW5029" s="48"/>
      <c r="FB5029" s="5"/>
      <c r="FI5029" s="5"/>
      <c r="FJ5029" s="164"/>
      <c r="FL5029" s="2"/>
      <c r="FN5029" s="2"/>
    </row>
    <row r="5030" spans="153:170" x14ac:dyDescent="0.35">
      <c r="EW5030" s="48"/>
      <c r="FB5030" s="5"/>
      <c r="FI5030" s="5"/>
      <c r="FJ5030" s="164"/>
      <c r="FL5030" s="2"/>
      <c r="FN5030" s="2"/>
    </row>
    <row r="5031" spans="153:170" x14ac:dyDescent="0.35">
      <c r="EW5031" s="48"/>
      <c r="FB5031" s="5"/>
      <c r="FI5031" s="5"/>
      <c r="FJ5031" s="164"/>
      <c r="FL5031" s="2"/>
      <c r="FN5031" s="2"/>
    </row>
    <row r="5032" spans="153:170" x14ac:dyDescent="0.35">
      <c r="EW5032" s="48"/>
      <c r="FB5032" s="5"/>
      <c r="FI5032" s="5"/>
      <c r="FJ5032" s="164"/>
      <c r="FL5032" s="2"/>
      <c r="FN5032" s="2"/>
    </row>
    <row r="5033" spans="153:170" x14ac:dyDescent="0.35">
      <c r="EW5033" s="48"/>
      <c r="FB5033" s="5"/>
      <c r="FI5033" s="5"/>
      <c r="FJ5033" s="164"/>
      <c r="FL5033" s="2"/>
      <c r="FN5033" s="2"/>
    </row>
    <row r="5034" spans="153:170" x14ac:dyDescent="0.35">
      <c r="EW5034" s="48"/>
      <c r="FB5034" s="5"/>
      <c r="FI5034" s="5"/>
      <c r="FJ5034" s="164"/>
      <c r="FL5034" s="2"/>
      <c r="FN5034" s="2"/>
    </row>
    <row r="5035" spans="153:170" x14ac:dyDescent="0.35">
      <c r="EW5035" s="48"/>
      <c r="FB5035" s="5"/>
      <c r="FI5035" s="5"/>
      <c r="FJ5035" s="164"/>
      <c r="FL5035" s="2"/>
      <c r="FN5035" s="2"/>
    </row>
    <row r="5036" spans="153:170" x14ac:dyDescent="0.35">
      <c r="EW5036" s="48"/>
      <c r="FB5036" s="5"/>
      <c r="FI5036" s="5"/>
      <c r="FJ5036" s="164"/>
      <c r="FL5036" s="2"/>
      <c r="FN5036" s="2"/>
    </row>
    <row r="5037" spans="153:170" x14ac:dyDescent="0.35">
      <c r="EW5037" s="48"/>
      <c r="FB5037" s="5"/>
      <c r="FI5037" s="5"/>
      <c r="FJ5037" s="164"/>
      <c r="FL5037" s="2"/>
      <c r="FN5037" s="2"/>
    </row>
    <row r="5038" spans="153:170" x14ac:dyDescent="0.35">
      <c r="EW5038" s="48"/>
      <c r="FB5038" s="5"/>
      <c r="FI5038" s="5"/>
      <c r="FJ5038" s="164"/>
      <c r="FL5038" s="2"/>
      <c r="FN5038" s="2"/>
    </row>
    <row r="5039" spans="153:170" x14ac:dyDescent="0.35">
      <c r="EW5039" s="48"/>
      <c r="FB5039" s="5"/>
      <c r="FI5039" s="5"/>
      <c r="FJ5039" s="164"/>
      <c r="FL5039" s="2"/>
      <c r="FN5039" s="2"/>
    </row>
    <row r="5040" spans="153:170" x14ac:dyDescent="0.35">
      <c r="EW5040" s="48"/>
      <c r="FB5040" s="5"/>
      <c r="FI5040" s="5"/>
      <c r="FJ5040" s="164"/>
      <c r="FL5040" s="2"/>
      <c r="FN5040" s="2"/>
    </row>
    <row r="5041" spans="153:170" x14ac:dyDescent="0.35">
      <c r="EW5041" s="48"/>
      <c r="FB5041" s="5"/>
      <c r="FI5041" s="5"/>
      <c r="FJ5041" s="164"/>
      <c r="FL5041" s="2"/>
      <c r="FN5041" s="2"/>
    </row>
    <row r="5042" spans="153:170" x14ac:dyDescent="0.35">
      <c r="EW5042" s="48"/>
      <c r="FB5042" s="5"/>
      <c r="FI5042" s="5"/>
      <c r="FJ5042" s="164"/>
      <c r="FL5042" s="2"/>
      <c r="FN5042" s="2"/>
    </row>
    <row r="5043" spans="153:170" x14ac:dyDescent="0.35">
      <c r="EW5043" s="48"/>
      <c r="FB5043" s="5"/>
      <c r="FI5043" s="5"/>
      <c r="FJ5043" s="164"/>
      <c r="FL5043" s="2"/>
      <c r="FN5043" s="2"/>
    </row>
    <row r="5044" spans="153:170" x14ac:dyDescent="0.35">
      <c r="EW5044" s="48"/>
      <c r="FB5044" s="5"/>
      <c r="FI5044" s="5"/>
      <c r="FJ5044" s="164"/>
      <c r="FL5044" s="2"/>
      <c r="FN5044" s="2"/>
    </row>
    <row r="5045" spans="153:170" x14ac:dyDescent="0.35">
      <c r="EW5045" s="48"/>
      <c r="FB5045" s="5"/>
      <c r="FI5045" s="5"/>
      <c r="FJ5045" s="164"/>
      <c r="FL5045" s="2"/>
      <c r="FN5045" s="2"/>
    </row>
    <row r="5046" spans="153:170" x14ac:dyDescent="0.35">
      <c r="EW5046" s="48"/>
      <c r="FB5046" s="5"/>
      <c r="FI5046" s="5"/>
      <c r="FJ5046" s="164"/>
      <c r="FL5046" s="2"/>
      <c r="FN5046" s="2"/>
    </row>
    <row r="5047" spans="153:170" x14ac:dyDescent="0.35">
      <c r="EW5047" s="48"/>
      <c r="FB5047" s="5"/>
      <c r="FI5047" s="5"/>
      <c r="FJ5047" s="164"/>
      <c r="FL5047" s="2"/>
      <c r="FN5047" s="2"/>
    </row>
    <row r="5048" spans="153:170" x14ac:dyDescent="0.35">
      <c r="EW5048" s="48"/>
      <c r="FB5048" s="5"/>
      <c r="FI5048" s="5"/>
      <c r="FJ5048" s="164"/>
      <c r="FL5048" s="2"/>
      <c r="FN5048" s="2"/>
    </row>
    <row r="5049" spans="153:170" x14ac:dyDescent="0.35">
      <c r="EW5049" s="48"/>
      <c r="FB5049" s="5"/>
      <c r="FI5049" s="5"/>
      <c r="FJ5049" s="164"/>
      <c r="FL5049" s="2"/>
      <c r="FN5049" s="2"/>
    </row>
    <row r="5050" spans="153:170" x14ac:dyDescent="0.35">
      <c r="EW5050" s="48"/>
      <c r="FB5050" s="5"/>
      <c r="FI5050" s="5"/>
      <c r="FJ5050" s="164"/>
      <c r="FL5050" s="2"/>
      <c r="FN5050" s="2"/>
    </row>
    <row r="5051" spans="153:170" x14ac:dyDescent="0.35">
      <c r="EW5051" s="48"/>
      <c r="FB5051" s="5"/>
      <c r="FI5051" s="5"/>
      <c r="FJ5051" s="164"/>
      <c r="FL5051" s="2"/>
      <c r="FN5051" s="2"/>
    </row>
    <row r="5052" spans="153:170" x14ac:dyDescent="0.35">
      <c r="EW5052" s="48"/>
      <c r="FB5052" s="5"/>
      <c r="FI5052" s="5"/>
      <c r="FJ5052" s="164"/>
      <c r="FL5052" s="2"/>
      <c r="FN5052" s="2"/>
    </row>
    <row r="5053" spans="153:170" x14ac:dyDescent="0.35">
      <c r="EW5053" s="48"/>
      <c r="FB5053" s="5"/>
      <c r="FI5053" s="5"/>
      <c r="FJ5053" s="164"/>
      <c r="FL5053" s="2"/>
      <c r="FN5053" s="2"/>
    </row>
    <row r="5054" spans="153:170" x14ac:dyDescent="0.35">
      <c r="EW5054" s="48"/>
      <c r="FB5054" s="5"/>
      <c r="FI5054" s="5"/>
      <c r="FJ5054" s="164"/>
      <c r="FL5054" s="2"/>
      <c r="FN5054" s="2"/>
    </row>
    <row r="5055" spans="153:170" x14ac:dyDescent="0.35">
      <c r="EW5055" s="48"/>
      <c r="FB5055" s="5"/>
      <c r="FI5055" s="5"/>
      <c r="FJ5055" s="164"/>
      <c r="FL5055" s="2"/>
      <c r="FN5055" s="2"/>
    </row>
    <row r="5056" spans="153:170" x14ac:dyDescent="0.35">
      <c r="EW5056" s="48"/>
      <c r="FB5056" s="5"/>
      <c r="FI5056" s="5"/>
      <c r="FJ5056" s="164"/>
      <c r="FL5056" s="2"/>
      <c r="FN5056" s="2"/>
    </row>
    <row r="5057" spans="153:170" x14ac:dyDescent="0.35">
      <c r="EW5057" s="48"/>
      <c r="FB5057" s="5"/>
      <c r="FI5057" s="5"/>
      <c r="FJ5057" s="164"/>
      <c r="FL5057" s="2"/>
      <c r="FN5057" s="2"/>
    </row>
    <row r="5058" spans="153:170" x14ac:dyDescent="0.35">
      <c r="EW5058" s="48"/>
      <c r="FB5058" s="5"/>
      <c r="FI5058" s="5"/>
      <c r="FJ5058" s="164"/>
      <c r="FL5058" s="2"/>
      <c r="FN5058" s="2"/>
    </row>
    <row r="5059" spans="153:170" x14ac:dyDescent="0.35">
      <c r="EW5059" s="48"/>
      <c r="FB5059" s="5"/>
      <c r="FI5059" s="5"/>
      <c r="FJ5059" s="164"/>
      <c r="FL5059" s="2"/>
      <c r="FN5059" s="2"/>
    </row>
    <row r="5060" spans="153:170" x14ac:dyDescent="0.35">
      <c r="EW5060" s="48"/>
      <c r="FB5060" s="5"/>
      <c r="FI5060" s="5"/>
      <c r="FJ5060" s="164"/>
      <c r="FL5060" s="2"/>
      <c r="FN5060" s="2"/>
    </row>
    <row r="5061" spans="153:170" x14ac:dyDescent="0.35">
      <c r="EW5061" s="48"/>
      <c r="FB5061" s="5"/>
      <c r="FI5061" s="5"/>
      <c r="FJ5061" s="164"/>
      <c r="FL5061" s="2"/>
      <c r="FN5061" s="2"/>
    </row>
    <row r="5062" spans="153:170" x14ac:dyDescent="0.35">
      <c r="EW5062" s="48"/>
      <c r="FB5062" s="5"/>
      <c r="FI5062" s="5"/>
      <c r="FJ5062" s="164"/>
      <c r="FL5062" s="2"/>
      <c r="FN5062" s="2"/>
    </row>
    <row r="5063" spans="153:170" x14ac:dyDescent="0.35">
      <c r="EW5063" s="48"/>
      <c r="FB5063" s="5"/>
      <c r="FI5063" s="5"/>
      <c r="FJ5063" s="164"/>
      <c r="FL5063" s="2"/>
      <c r="FN5063" s="2"/>
    </row>
    <row r="5064" spans="153:170" x14ac:dyDescent="0.35">
      <c r="EW5064" s="48"/>
      <c r="FB5064" s="5"/>
      <c r="FI5064" s="5"/>
      <c r="FJ5064" s="164"/>
      <c r="FL5064" s="2"/>
      <c r="FN5064" s="2"/>
    </row>
    <row r="5065" spans="153:170" x14ac:dyDescent="0.35">
      <c r="EW5065" s="48"/>
      <c r="FB5065" s="5"/>
      <c r="FI5065" s="5"/>
      <c r="FJ5065" s="164"/>
      <c r="FL5065" s="2"/>
      <c r="FN5065" s="2"/>
    </row>
    <row r="5066" spans="153:170" x14ac:dyDescent="0.35">
      <c r="EW5066" s="48"/>
      <c r="FB5066" s="5"/>
      <c r="FI5066" s="5"/>
      <c r="FJ5066" s="164"/>
      <c r="FL5066" s="2"/>
      <c r="FN5066" s="2"/>
    </row>
    <row r="5067" spans="153:170" x14ac:dyDescent="0.35">
      <c r="EW5067" s="48"/>
      <c r="FB5067" s="5"/>
      <c r="FI5067" s="5"/>
      <c r="FJ5067" s="164"/>
      <c r="FL5067" s="2"/>
      <c r="FN5067" s="2"/>
    </row>
    <row r="5068" spans="153:170" x14ac:dyDescent="0.35">
      <c r="EW5068" s="48"/>
      <c r="FB5068" s="5"/>
      <c r="FI5068" s="5"/>
      <c r="FJ5068" s="164"/>
      <c r="FL5068" s="2"/>
      <c r="FN5068" s="2"/>
    </row>
    <row r="5069" spans="153:170" x14ac:dyDescent="0.35">
      <c r="EW5069" s="48"/>
      <c r="FB5069" s="5"/>
      <c r="FI5069" s="5"/>
      <c r="FJ5069" s="164"/>
      <c r="FL5069" s="2"/>
      <c r="FN5069" s="2"/>
    </row>
    <row r="5070" spans="153:170" x14ac:dyDescent="0.35">
      <c r="EW5070" s="48"/>
      <c r="FB5070" s="5"/>
      <c r="FI5070" s="5"/>
      <c r="FJ5070" s="164"/>
      <c r="FL5070" s="2"/>
      <c r="FN5070" s="2"/>
    </row>
    <row r="5071" spans="153:170" x14ac:dyDescent="0.35">
      <c r="EW5071" s="48"/>
      <c r="FB5071" s="5"/>
      <c r="FI5071" s="5"/>
      <c r="FJ5071" s="164"/>
      <c r="FL5071" s="2"/>
      <c r="FN5071" s="2"/>
    </row>
    <row r="5072" spans="153:170" x14ac:dyDescent="0.35">
      <c r="EW5072" s="48"/>
      <c r="FB5072" s="5"/>
      <c r="FI5072" s="5"/>
      <c r="FJ5072" s="164"/>
      <c r="FL5072" s="2"/>
      <c r="FN5072" s="2"/>
    </row>
    <row r="5073" spans="153:170" x14ac:dyDescent="0.35">
      <c r="EW5073" s="48"/>
      <c r="FB5073" s="5"/>
      <c r="FI5073" s="5"/>
      <c r="FJ5073" s="164"/>
      <c r="FL5073" s="2"/>
      <c r="FN5073" s="2"/>
    </row>
    <row r="5074" spans="153:170" x14ac:dyDescent="0.35">
      <c r="EW5074" s="48"/>
      <c r="FB5074" s="5"/>
      <c r="FI5074" s="5"/>
      <c r="FJ5074" s="164"/>
      <c r="FL5074" s="2"/>
      <c r="FN5074" s="2"/>
    </row>
    <row r="5075" spans="153:170" x14ac:dyDescent="0.35">
      <c r="EW5075" s="48"/>
      <c r="FB5075" s="5"/>
      <c r="FI5075" s="5"/>
      <c r="FJ5075" s="164"/>
      <c r="FL5075" s="2"/>
      <c r="FN5075" s="2"/>
    </row>
    <row r="5076" spans="153:170" x14ac:dyDescent="0.35">
      <c r="EW5076" s="48"/>
      <c r="FB5076" s="5"/>
      <c r="FI5076" s="5"/>
      <c r="FJ5076" s="164"/>
      <c r="FL5076" s="2"/>
      <c r="FN5076" s="2"/>
    </row>
    <row r="5077" spans="153:170" x14ac:dyDescent="0.35">
      <c r="EW5077" s="48"/>
      <c r="FB5077" s="5"/>
      <c r="FI5077" s="5"/>
      <c r="FJ5077" s="164"/>
      <c r="FL5077" s="2"/>
      <c r="FN5077" s="2"/>
    </row>
    <row r="5078" spans="153:170" x14ac:dyDescent="0.35">
      <c r="EW5078" s="48"/>
      <c r="FB5078" s="5"/>
      <c r="FI5078" s="5"/>
      <c r="FJ5078" s="164"/>
      <c r="FL5078" s="2"/>
      <c r="FN5078" s="2"/>
    </row>
    <row r="5079" spans="153:170" x14ac:dyDescent="0.35">
      <c r="EW5079" s="48"/>
      <c r="FB5079" s="5"/>
      <c r="FI5079" s="5"/>
      <c r="FJ5079" s="164"/>
      <c r="FL5079" s="2"/>
      <c r="FN5079" s="2"/>
    </row>
    <row r="5080" spans="153:170" x14ac:dyDescent="0.35">
      <c r="EW5080" s="48"/>
      <c r="FB5080" s="5"/>
      <c r="FI5080" s="5"/>
      <c r="FJ5080" s="164"/>
      <c r="FL5080" s="2"/>
      <c r="FN5080" s="2"/>
    </row>
    <row r="5081" spans="153:170" x14ac:dyDescent="0.35">
      <c r="EW5081" s="48"/>
      <c r="FB5081" s="5"/>
      <c r="FI5081" s="5"/>
      <c r="FJ5081" s="164"/>
      <c r="FL5081" s="2"/>
      <c r="FN5081" s="2"/>
    </row>
    <row r="5082" spans="153:170" x14ac:dyDescent="0.35">
      <c r="EW5082" s="48"/>
      <c r="FB5082" s="5"/>
      <c r="FI5082" s="5"/>
      <c r="FJ5082" s="164"/>
      <c r="FL5082" s="2"/>
      <c r="FN5082" s="2"/>
    </row>
    <row r="5083" spans="153:170" x14ac:dyDescent="0.35">
      <c r="EW5083" s="48"/>
      <c r="FB5083" s="5"/>
      <c r="FI5083" s="5"/>
      <c r="FJ5083" s="164"/>
      <c r="FL5083" s="2"/>
      <c r="FN5083" s="2"/>
    </row>
    <row r="5084" spans="153:170" x14ac:dyDescent="0.35">
      <c r="EW5084" s="48"/>
      <c r="FB5084" s="5"/>
      <c r="FI5084" s="5"/>
      <c r="FJ5084" s="164"/>
      <c r="FL5084" s="2"/>
      <c r="FN5084" s="2"/>
    </row>
    <row r="5085" spans="153:170" x14ac:dyDescent="0.35">
      <c r="EW5085" s="48"/>
      <c r="FB5085" s="5"/>
      <c r="FI5085" s="5"/>
      <c r="FJ5085" s="164"/>
      <c r="FL5085" s="2"/>
      <c r="FN5085" s="2"/>
    </row>
    <row r="5086" spans="153:170" x14ac:dyDescent="0.35">
      <c r="EW5086" s="48"/>
      <c r="FB5086" s="5"/>
      <c r="FI5086" s="5"/>
      <c r="FJ5086" s="164"/>
      <c r="FL5086" s="2"/>
      <c r="FN5086" s="2"/>
    </row>
    <row r="5087" spans="153:170" x14ac:dyDescent="0.35">
      <c r="EW5087" s="48"/>
      <c r="FB5087" s="5"/>
      <c r="FI5087" s="5"/>
      <c r="FJ5087" s="164"/>
      <c r="FL5087" s="2"/>
      <c r="FN5087" s="2"/>
    </row>
    <row r="5088" spans="153:170" x14ac:dyDescent="0.35">
      <c r="EW5088" s="48"/>
      <c r="FB5088" s="5"/>
      <c r="FI5088" s="5"/>
      <c r="FJ5088" s="164"/>
      <c r="FL5088" s="2"/>
      <c r="FN5088" s="2"/>
    </row>
    <row r="5089" spans="153:170" x14ac:dyDescent="0.35">
      <c r="EW5089" s="48"/>
      <c r="FB5089" s="5"/>
      <c r="FI5089" s="5"/>
      <c r="FJ5089" s="164"/>
      <c r="FL5089" s="2"/>
      <c r="FN5089" s="2"/>
    </row>
    <row r="5090" spans="153:170" x14ac:dyDescent="0.35">
      <c r="EW5090" s="48"/>
      <c r="FB5090" s="5"/>
      <c r="FI5090" s="5"/>
      <c r="FJ5090" s="164"/>
      <c r="FL5090" s="2"/>
      <c r="FN5090" s="2"/>
    </row>
    <row r="5091" spans="153:170" x14ac:dyDescent="0.35">
      <c r="EW5091" s="48"/>
      <c r="FB5091" s="5"/>
      <c r="FI5091" s="5"/>
      <c r="FJ5091" s="164"/>
      <c r="FL5091" s="2"/>
      <c r="FN5091" s="2"/>
    </row>
    <row r="5092" spans="153:170" x14ac:dyDescent="0.35">
      <c r="EW5092" s="48"/>
      <c r="FB5092" s="5"/>
      <c r="FI5092" s="5"/>
      <c r="FJ5092" s="164"/>
      <c r="FL5092" s="2"/>
      <c r="FN5092" s="2"/>
    </row>
    <row r="5093" spans="153:170" x14ac:dyDescent="0.35">
      <c r="EW5093" s="48"/>
      <c r="FB5093" s="5"/>
      <c r="FI5093" s="5"/>
      <c r="FJ5093" s="164"/>
      <c r="FL5093" s="2"/>
      <c r="FN5093" s="2"/>
    </row>
    <row r="5094" spans="153:170" x14ac:dyDescent="0.35">
      <c r="EW5094" s="48"/>
      <c r="FB5094" s="5"/>
      <c r="FI5094" s="5"/>
      <c r="FJ5094" s="164"/>
      <c r="FL5094" s="2"/>
      <c r="FN5094" s="2"/>
    </row>
    <row r="5095" spans="153:170" x14ac:dyDescent="0.35">
      <c r="EW5095" s="48"/>
      <c r="FB5095" s="5"/>
      <c r="FI5095" s="5"/>
      <c r="FJ5095" s="164"/>
      <c r="FL5095" s="2"/>
      <c r="FN5095" s="2"/>
    </row>
    <row r="5096" spans="153:170" x14ac:dyDescent="0.35">
      <c r="EW5096" s="48"/>
      <c r="FB5096" s="5"/>
      <c r="FI5096" s="5"/>
      <c r="FJ5096" s="164"/>
      <c r="FL5096" s="2"/>
      <c r="FN5096" s="2"/>
    </row>
    <row r="5097" spans="153:170" x14ac:dyDescent="0.35">
      <c r="EW5097" s="48"/>
      <c r="FB5097" s="5"/>
      <c r="FI5097" s="5"/>
      <c r="FJ5097" s="164"/>
      <c r="FL5097" s="2"/>
      <c r="FN5097" s="2"/>
    </row>
    <row r="5098" spans="153:170" x14ac:dyDescent="0.35">
      <c r="EW5098" s="48"/>
      <c r="FB5098" s="5"/>
      <c r="FI5098" s="5"/>
      <c r="FJ5098" s="164"/>
      <c r="FL5098" s="2"/>
      <c r="FN5098" s="2"/>
    </row>
    <row r="5099" spans="153:170" x14ac:dyDescent="0.35">
      <c r="EW5099" s="48"/>
      <c r="FB5099" s="5"/>
      <c r="FI5099" s="5"/>
      <c r="FJ5099" s="164"/>
      <c r="FL5099" s="2"/>
      <c r="FN5099" s="2"/>
    </row>
    <row r="5100" spans="153:170" x14ac:dyDescent="0.35">
      <c r="EW5100" s="48"/>
      <c r="FB5100" s="5"/>
      <c r="FI5100" s="5"/>
      <c r="FJ5100" s="164"/>
      <c r="FL5100" s="2"/>
      <c r="FN5100" s="2"/>
    </row>
    <row r="5101" spans="153:170" x14ac:dyDescent="0.35">
      <c r="EW5101" s="48"/>
      <c r="FB5101" s="5"/>
      <c r="FI5101" s="5"/>
      <c r="FJ5101" s="164"/>
      <c r="FL5101" s="2"/>
      <c r="FN5101" s="2"/>
    </row>
    <row r="5102" spans="153:170" x14ac:dyDescent="0.35">
      <c r="EW5102" s="48"/>
      <c r="FB5102" s="5"/>
      <c r="FI5102" s="5"/>
      <c r="FJ5102" s="164"/>
      <c r="FL5102" s="2"/>
      <c r="FN5102" s="2"/>
    </row>
    <row r="5103" spans="153:170" x14ac:dyDescent="0.35">
      <c r="EW5103" s="48"/>
      <c r="FB5103" s="5"/>
      <c r="FI5103" s="5"/>
      <c r="FJ5103" s="164"/>
      <c r="FL5103" s="2"/>
      <c r="FN5103" s="2"/>
    </row>
    <row r="5104" spans="153:170" x14ac:dyDescent="0.35">
      <c r="EW5104" s="48"/>
      <c r="FB5104" s="5"/>
      <c r="FI5104" s="5"/>
      <c r="FJ5104" s="164"/>
      <c r="FL5104" s="2"/>
      <c r="FN5104" s="2"/>
    </row>
    <row r="5105" spans="153:170" x14ac:dyDescent="0.35">
      <c r="EW5105" s="48"/>
      <c r="FB5105" s="5"/>
      <c r="FI5105" s="5"/>
      <c r="FJ5105" s="164"/>
      <c r="FL5105" s="2"/>
      <c r="FN5105" s="2"/>
    </row>
    <row r="5106" spans="153:170" x14ac:dyDescent="0.35">
      <c r="EW5106" s="48"/>
      <c r="FB5106" s="5"/>
      <c r="FI5106" s="5"/>
      <c r="FJ5106" s="164"/>
      <c r="FL5106" s="2"/>
      <c r="FN5106" s="2"/>
    </row>
    <row r="5107" spans="153:170" x14ac:dyDescent="0.35">
      <c r="EW5107" s="48"/>
      <c r="FB5107" s="5"/>
      <c r="FI5107" s="5"/>
      <c r="FJ5107" s="164"/>
      <c r="FL5107" s="2"/>
      <c r="FN5107" s="2"/>
    </row>
    <row r="5108" spans="153:170" x14ac:dyDescent="0.35">
      <c r="EW5108" s="48"/>
      <c r="FB5108" s="5"/>
      <c r="FI5108" s="5"/>
      <c r="FJ5108" s="164"/>
      <c r="FL5108" s="2"/>
      <c r="FN5108" s="2"/>
    </row>
    <row r="5109" spans="153:170" x14ac:dyDescent="0.35">
      <c r="EW5109" s="48"/>
      <c r="FB5109" s="5"/>
      <c r="FI5109" s="5"/>
      <c r="FJ5109" s="164"/>
      <c r="FL5109" s="2"/>
      <c r="FN5109" s="2"/>
    </row>
    <row r="5110" spans="153:170" x14ac:dyDescent="0.35">
      <c r="EW5110" s="48"/>
      <c r="FB5110" s="5"/>
      <c r="FI5110" s="5"/>
      <c r="FJ5110" s="164"/>
      <c r="FL5110" s="2"/>
      <c r="FN5110" s="2"/>
    </row>
    <row r="5111" spans="153:170" x14ac:dyDescent="0.35">
      <c r="EW5111" s="48"/>
      <c r="FB5111" s="5"/>
      <c r="FI5111" s="5"/>
      <c r="FJ5111" s="164"/>
      <c r="FL5111" s="2"/>
      <c r="FN5111" s="2"/>
    </row>
    <row r="5112" spans="153:170" x14ac:dyDescent="0.35">
      <c r="EW5112" s="48"/>
      <c r="FB5112" s="5"/>
      <c r="FI5112" s="5"/>
      <c r="FJ5112" s="164"/>
      <c r="FL5112" s="2"/>
      <c r="FN5112" s="2"/>
    </row>
    <row r="5113" spans="153:170" x14ac:dyDescent="0.35">
      <c r="EW5113" s="48"/>
      <c r="FB5113" s="5"/>
      <c r="FI5113" s="5"/>
      <c r="FJ5113" s="164"/>
      <c r="FL5113" s="2"/>
      <c r="FN5113" s="2"/>
    </row>
    <row r="5114" spans="153:170" x14ac:dyDescent="0.35">
      <c r="EW5114" s="48"/>
      <c r="FB5114" s="5"/>
      <c r="FI5114" s="5"/>
      <c r="FJ5114" s="164"/>
      <c r="FL5114" s="2"/>
      <c r="FN5114" s="2"/>
    </row>
    <row r="5115" spans="153:170" x14ac:dyDescent="0.35">
      <c r="EW5115" s="48"/>
      <c r="FB5115" s="5"/>
      <c r="FI5115" s="5"/>
      <c r="FJ5115" s="164"/>
      <c r="FL5115" s="2"/>
      <c r="FN5115" s="2"/>
    </row>
    <row r="5116" spans="153:170" x14ac:dyDescent="0.35">
      <c r="EW5116" s="48"/>
      <c r="FB5116" s="5"/>
      <c r="FI5116" s="5"/>
      <c r="FJ5116" s="164"/>
      <c r="FL5116" s="2"/>
      <c r="FN5116" s="2"/>
    </row>
    <row r="5117" spans="153:170" x14ac:dyDescent="0.35">
      <c r="EW5117" s="48"/>
      <c r="FB5117" s="5"/>
      <c r="FI5117" s="5"/>
      <c r="FJ5117" s="164"/>
      <c r="FL5117" s="2"/>
      <c r="FN5117" s="2"/>
    </row>
    <row r="5118" spans="153:170" x14ac:dyDescent="0.35">
      <c r="EW5118" s="48"/>
      <c r="FB5118" s="5"/>
      <c r="FI5118" s="5"/>
      <c r="FJ5118" s="164"/>
      <c r="FL5118" s="2"/>
      <c r="FN5118" s="2"/>
    </row>
    <row r="5119" spans="153:170" x14ac:dyDescent="0.35">
      <c r="EW5119" s="48"/>
      <c r="FB5119" s="5"/>
      <c r="FI5119" s="5"/>
      <c r="FJ5119" s="164"/>
      <c r="FL5119" s="2"/>
      <c r="FN5119" s="2"/>
    </row>
    <row r="5120" spans="153:170" x14ac:dyDescent="0.35">
      <c r="EW5120" s="48"/>
      <c r="FB5120" s="5"/>
      <c r="FI5120" s="5"/>
      <c r="FJ5120" s="164"/>
      <c r="FL5120" s="2"/>
      <c r="FN5120" s="2"/>
    </row>
    <row r="5121" spans="153:170" x14ac:dyDescent="0.35">
      <c r="EW5121" s="48"/>
      <c r="FB5121" s="5"/>
      <c r="FI5121" s="5"/>
      <c r="FJ5121" s="164"/>
      <c r="FL5121" s="2"/>
      <c r="FN5121" s="2"/>
    </row>
    <row r="5122" spans="153:170" x14ac:dyDescent="0.35">
      <c r="EW5122" s="48"/>
      <c r="FB5122" s="5"/>
      <c r="FI5122" s="5"/>
      <c r="FJ5122" s="164"/>
      <c r="FL5122" s="2"/>
      <c r="FN5122" s="2"/>
    </row>
    <row r="5123" spans="153:170" x14ac:dyDescent="0.35">
      <c r="EW5123" s="48"/>
      <c r="FB5123" s="5"/>
      <c r="FI5123" s="5"/>
      <c r="FJ5123" s="164"/>
      <c r="FL5123" s="2"/>
      <c r="FN5123" s="2"/>
    </row>
    <row r="5124" spans="153:170" x14ac:dyDescent="0.35">
      <c r="EW5124" s="48"/>
      <c r="FB5124" s="5"/>
      <c r="FI5124" s="5"/>
      <c r="FJ5124" s="164"/>
      <c r="FL5124" s="2"/>
      <c r="FN5124" s="2"/>
    </row>
    <row r="5125" spans="153:170" x14ac:dyDescent="0.35">
      <c r="EW5125" s="48"/>
      <c r="FB5125" s="5"/>
      <c r="FI5125" s="5"/>
      <c r="FJ5125" s="164"/>
      <c r="FL5125" s="2"/>
      <c r="FN5125" s="2"/>
    </row>
    <row r="5126" spans="153:170" x14ac:dyDescent="0.35">
      <c r="EW5126" s="48"/>
      <c r="FB5126" s="5"/>
      <c r="FI5126" s="5"/>
      <c r="FJ5126" s="164"/>
      <c r="FL5126" s="2"/>
      <c r="FN5126" s="2"/>
    </row>
    <row r="5127" spans="153:170" x14ac:dyDescent="0.35">
      <c r="EW5127" s="48"/>
      <c r="FB5127" s="5"/>
      <c r="FI5127" s="5"/>
      <c r="FJ5127" s="164"/>
      <c r="FL5127" s="2"/>
      <c r="FN5127" s="2"/>
    </row>
    <row r="5128" spans="153:170" x14ac:dyDescent="0.35">
      <c r="EW5128" s="48"/>
      <c r="FB5128" s="5"/>
      <c r="FI5128" s="5"/>
      <c r="FJ5128" s="164"/>
      <c r="FL5128" s="2"/>
      <c r="FN5128" s="2"/>
    </row>
    <row r="5129" spans="153:170" x14ac:dyDescent="0.35">
      <c r="EW5129" s="48"/>
      <c r="FB5129" s="5"/>
      <c r="FI5129" s="5"/>
      <c r="FJ5129" s="164"/>
      <c r="FL5129" s="2"/>
      <c r="FN5129" s="2"/>
    </row>
    <row r="5130" spans="153:170" x14ac:dyDescent="0.35">
      <c r="EW5130" s="48"/>
      <c r="FB5130" s="5"/>
      <c r="FI5130" s="5"/>
      <c r="FJ5130" s="164"/>
      <c r="FL5130" s="2"/>
      <c r="FN5130" s="2"/>
    </row>
    <row r="5131" spans="153:170" x14ac:dyDescent="0.35">
      <c r="EW5131" s="48"/>
      <c r="FB5131" s="5"/>
      <c r="FI5131" s="5"/>
      <c r="FJ5131" s="164"/>
      <c r="FL5131" s="2"/>
      <c r="FN5131" s="2"/>
    </row>
    <row r="5132" spans="153:170" x14ac:dyDescent="0.35">
      <c r="EW5132" s="48"/>
      <c r="FB5132" s="5"/>
      <c r="FI5132" s="5"/>
      <c r="FJ5132" s="164"/>
      <c r="FL5132" s="2"/>
      <c r="FN5132" s="2"/>
    </row>
    <row r="5133" spans="153:170" x14ac:dyDescent="0.35">
      <c r="EW5133" s="48"/>
      <c r="FB5133" s="5"/>
      <c r="FI5133" s="5"/>
      <c r="FJ5133" s="164"/>
      <c r="FL5133" s="2"/>
      <c r="FN5133" s="2"/>
    </row>
    <row r="5134" spans="153:170" x14ac:dyDescent="0.35">
      <c r="EW5134" s="48"/>
      <c r="FB5134" s="5"/>
      <c r="FI5134" s="5"/>
      <c r="FJ5134" s="164"/>
      <c r="FL5134" s="2"/>
      <c r="FN5134" s="2"/>
    </row>
    <row r="5135" spans="153:170" x14ac:dyDescent="0.35">
      <c r="EW5135" s="48"/>
      <c r="FB5135" s="5"/>
      <c r="FI5135" s="5"/>
      <c r="FJ5135" s="164"/>
      <c r="FL5135" s="2"/>
      <c r="FN5135" s="2"/>
    </row>
    <row r="5136" spans="153:170" x14ac:dyDescent="0.35">
      <c r="EW5136" s="48"/>
      <c r="FB5136" s="5"/>
      <c r="FI5136" s="5"/>
      <c r="FJ5136" s="164"/>
      <c r="FL5136" s="2"/>
      <c r="FN5136" s="2"/>
    </row>
    <row r="5137" spans="153:170" x14ac:dyDescent="0.35">
      <c r="EW5137" s="48"/>
      <c r="FB5137" s="5"/>
      <c r="FI5137" s="5"/>
      <c r="FJ5137" s="164"/>
      <c r="FL5137" s="2"/>
      <c r="FN5137" s="2"/>
    </row>
    <row r="5138" spans="153:170" x14ac:dyDescent="0.35">
      <c r="EW5138" s="48"/>
      <c r="FB5138" s="5"/>
      <c r="FI5138" s="5"/>
      <c r="FJ5138" s="164"/>
      <c r="FL5138" s="2"/>
      <c r="FN5138" s="2"/>
    </row>
    <row r="5139" spans="153:170" x14ac:dyDescent="0.35">
      <c r="EW5139" s="48"/>
      <c r="FB5139" s="5"/>
      <c r="FI5139" s="5"/>
      <c r="FJ5139" s="164"/>
      <c r="FL5139" s="2"/>
      <c r="FN5139" s="2"/>
    </row>
    <row r="5140" spans="153:170" x14ac:dyDescent="0.35">
      <c r="EW5140" s="48"/>
      <c r="FB5140" s="5"/>
      <c r="FI5140" s="5"/>
      <c r="FJ5140" s="164"/>
      <c r="FL5140" s="2"/>
      <c r="FN5140" s="2"/>
    </row>
    <row r="5141" spans="153:170" x14ac:dyDescent="0.35">
      <c r="EW5141" s="48"/>
      <c r="FB5141" s="5"/>
      <c r="FI5141" s="5"/>
      <c r="FJ5141" s="164"/>
      <c r="FL5141" s="2"/>
      <c r="FN5141" s="2"/>
    </row>
    <row r="5142" spans="153:170" x14ac:dyDescent="0.35">
      <c r="EW5142" s="48"/>
      <c r="FB5142" s="5"/>
      <c r="FI5142" s="5"/>
      <c r="FJ5142" s="164"/>
      <c r="FL5142" s="2"/>
      <c r="FN5142" s="2"/>
    </row>
    <row r="5143" spans="153:170" x14ac:dyDescent="0.35">
      <c r="EW5143" s="48"/>
      <c r="FB5143" s="5"/>
      <c r="FI5143" s="5"/>
      <c r="FJ5143" s="164"/>
      <c r="FL5143" s="2"/>
      <c r="FN5143" s="2"/>
    </row>
    <row r="5144" spans="153:170" x14ac:dyDescent="0.35">
      <c r="EW5144" s="48"/>
      <c r="FB5144" s="5"/>
      <c r="FI5144" s="5"/>
      <c r="FJ5144" s="164"/>
      <c r="FL5144" s="2"/>
      <c r="FN5144" s="2"/>
    </row>
    <row r="5145" spans="153:170" x14ac:dyDescent="0.35">
      <c r="EW5145" s="48"/>
      <c r="FB5145" s="5"/>
      <c r="FI5145" s="5"/>
      <c r="FJ5145" s="164"/>
      <c r="FL5145" s="2"/>
      <c r="FN5145" s="2"/>
    </row>
    <row r="5146" spans="153:170" x14ac:dyDescent="0.35">
      <c r="EW5146" s="48"/>
      <c r="FB5146" s="5"/>
      <c r="FI5146" s="5"/>
      <c r="FJ5146" s="164"/>
      <c r="FL5146" s="2"/>
      <c r="FN5146" s="2"/>
    </row>
    <row r="5147" spans="153:170" x14ac:dyDescent="0.35">
      <c r="EW5147" s="48"/>
      <c r="FB5147" s="5"/>
      <c r="FI5147" s="5"/>
      <c r="FJ5147" s="164"/>
      <c r="FL5147" s="2"/>
      <c r="FN5147" s="2"/>
    </row>
    <row r="5148" spans="153:170" x14ac:dyDescent="0.35">
      <c r="EW5148" s="48"/>
      <c r="FB5148" s="5"/>
      <c r="FI5148" s="5"/>
      <c r="FJ5148" s="164"/>
      <c r="FL5148" s="2"/>
      <c r="FN5148" s="2"/>
    </row>
    <row r="5149" spans="153:170" x14ac:dyDescent="0.35">
      <c r="EW5149" s="48"/>
      <c r="FB5149" s="5"/>
      <c r="FI5149" s="5"/>
      <c r="FJ5149" s="164"/>
      <c r="FL5149" s="2"/>
      <c r="FN5149" s="2"/>
    </row>
    <row r="5150" spans="153:170" x14ac:dyDescent="0.35">
      <c r="EW5150" s="48"/>
      <c r="FB5150" s="5"/>
      <c r="FI5150" s="5"/>
      <c r="FJ5150" s="164"/>
      <c r="FL5150" s="2"/>
      <c r="FN5150" s="2"/>
    </row>
    <row r="5151" spans="153:170" x14ac:dyDescent="0.35">
      <c r="EW5151" s="48"/>
      <c r="FB5151" s="5"/>
      <c r="FI5151" s="5"/>
      <c r="FJ5151" s="164"/>
      <c r="FL5151" s="2"/>
      <c r="FN5151" s="2"/>
    </row>
    <row r="5152" spans="153:170" x14ac:dyDescent="0.35">
      <c r="EW5152" s="48"/>
      <c r="FB5152" s="5"/>
      <c r="FI5152" s="5"/>
      <c r="FJ5152" s="164"/>
      <c r="FL5152" s="2"/>
      <c r="FN5152" s="2"/>
    </row>
    <row r="5153" spans="153:170" x14ac:dyDescent="0.35">
      <c r="EW5153" s="48"/>
      <c r="FB5153" s="5"/>
      <c r="FI5153" s="5"/>
      <c r="FJ5153" s="164"/>
      <c r="FL5153" s="2"/>
      <c r="FN5153" s="2"/>
    </row>
    <row r="5154" spans="153:170" x14ac:dyDescent="0.35">
      <c r="EW5154" s="48"/>
      <c r="FB5154" s="5"/>
      <c r="FI5154" s="5"/>
      <c r="FJ5154" s="164"/>
      <c r="FL5154" s="2"/>
      <c r="FN5154" s="2"/>
    </row>
    <row r="5155" spans="153:170" x14ac:dyDescent="0.35">
      <c r="EW5155" s="48"/>
      <c r="FB5155" s="5"/>
      <c r="FI5155" s="5"/>
      <c r="FJ5155" s="164"/>
      <c r="FL5155" s="2"/>
      <c r="FN5155" s="2"/>
    </row>
    <row r="5156" spans="153:170" x14ac:dyDescent="0.35">
      <c r="EW5156" s="48"/>
      <c r="FB5156" s="5"/>
      <c r="FI5156" s="5"/>
      <c r="FJ5156" s="164"/>
      <c r="FL5156" s="2"/>
      <c r="FN5156" s="2"/>
    </row>
    <row r="5157" spans="153:170" x14ac:dyDescent="0.35">
      <c r="EW5157" s="48"/>
      <c r="FB5157" s="5"/>
      <c r="FI5157" s="5"/>
      <c r="FJ5157" s="164"/>
      <c r="FL5157" s="2"/>
      <c r="FN5157" s="2"/>
    </row>
    <row r="5158" spans="153:170" x14ac:dyDescent="0.35">
      <c r="EW5158" s="48"/>
      <c r="FB5158" s="5"/>
      <c r="FI5158" s="5"/>
      <c r="FJ5158" s="164"/>
      <c r="FL5158" s="2"/>
      <c r="FN5158" s="2"/>
    </row>
    <row r="5159" spans="153:170" x14ac:dyDescent="0.35">
      <c r="EW5159" s="48"/>
      <c r="FB5159" s="5"/>
      <c r="FI5159" s="5"/>
      <c r="FJ5159" s="164"/>
      <c r="FL5159" s="2"/>
      <c r="FN5159" s="2"/>
    </row>
    <row r="5160" spans="153:170" x14ac:dyDescent="0.35">
      <c r="EW5160" s="48"/>
      <c r="FB5160" s="5"/>
      <c r="FI5160" s="5"/>
      <c r="FJ5160" s="164"/>
      <c r="FL5160" s="2"/>
      <c r="FN5160" s="2"/>
    </row>
    <row r="5161" spans="153:170" x14ac:dyDescent="0.35">
      <c r="EW5161" s="48"/>
      <c r="FB5161" s="5"/>
      <c r="FI5161" s="5"/>
      <c r="FJ5161" s="164"/>
      <c r="FL5161" s="2"/>
      <c r="FN5161" s="2"/>
    </row>
    <row r="5162" spans="153:170" x14ac:dyDescent="0.35">
      <c r="EW5162" s="48"/>
      <c r="FB5162" s="5"/>
      <c r="FI5162" s="5"/>
      <c r="FJ5162" s="164"/>
      <c r="FL5162" s="2"/>
      <c r="FN5162" s="2"/>
    </row>
    <row r="5163" spans="153:170" x14ac:dyDescent="0.35">
      <c r="EW5163" s="48"/>
      <c r="FB5163" s="5"/>
      <c r="FI5163" s="5"/>
      <c r="FJ5163" s="164"/>
      <c r="FL5163" s="2"/>
      <c r="FN5163" s="2"/>
    </row>
    <row r="5164" spans="153:170" x14ac:dyDescent="0.35">
      <c r="EW5164" s="48"/>
      <c r="FB5164" s="5"/>
      <c r="FI5164" s="5"/>
      <c r="FJ5164" s="164"/>
      <c r="FL5164" s="2"/>
      <c r="FN5164" s="2"/>
    </row>
    <row r="5165" spans="153:170" x14ac:dyDescent="0.35">
      <c r="EW5165" s="48"/>
      <c r="FB5165" s="5"/>
      <c r="FI5165" s="5"/>
      <c r="FJ5165" s="164"/>
      <c r="FL5165" s="2"/>
      <c r="FN5165" s="2"/>
    </row>
    <row r="5166" spans="153:170" x14ac:dyDescent="0.35">
      <c r="EW5166" s="48"/>
      <c r="FB5166" s="5"/>
      <c r="FI5166" s="5"/>
      <c r="FJ5166" s="164"/>
      <c r="FL5166" s="2"/>
      <c r="FN5166" s="2"/>
    </row>
    <row r="5167" spans="153:170" x14ac:dyDescent="0.35">
      <c r="EW5167" s="48"/>
      <c r="FB5167" s="5"/>
      <c r="FI5167" s="5"/>
      <c r="FJ5167" s="164"/>
      <c r="FL5167" s="2"/>
      <c r="FN5167" s="2"/>
    </row>
    <row r="5168" spans="153:170" x14ac:dyDescent="0.35">
      <c r="EW5168" s="48"/>
      <c r="FB5168" s="5"/>
      <c r="FI5168" s="5"/>
      <c r="FJ5168" s="164"/>
      <c r="FL5168" s="2"/>
      <c r="FN5168" s="2"/>
    </row>
    <row r="5169" spans="153:170" x14ac:dyDescent="0.35">
      <c r="EW5169" s="48"/>
      <c r="FB5169" s="5"/>
      <c r="FI5169" s="5"/>
      <c r="FJ5169" s="164"/>
      <c r="FL5169" s="2"/>
      <c r="FN5169" s="2"/>
    </row>
    <row r="5170" spans="153:170" x14ac:dyDescent="0.35">
      <c r="EW5170" s="48"/>
      <c r="FB5170" s="5"/>
      <c r="FI5170" s="5"/>
      <c r="FJ5170" s="164"/>
      <c r="FL5170" s="2"/>
      <c r="FN5170" s="2"/>
    </row>
    <row r="5171" spans="153:170" x14ac:dyDescent="0.35">
      <c r="EW5171" s="48"/>
      <c r="FB5171" s="5"/>
      <c r="FI5171" s="5"/>
      <c r="FJ5171" s="164"/>
      <c r="FL5171" s="2"/>
      <c r="FN5171" s="2"/>
    </row>
    <row r="5172" spans="153:170" x14ac:dyDescent="0.35">
      <c r="EW5172" s="48"/>
      <c r="FB5172" s="5"/>
      <c r="FI5172" s="5"/>
      <c r="FJ5172" s="164"/>
      <c r="FL5172" s="2"/>
      <c r="FN5172" s="2"/>
    </row>
    <row r="5173" spans="153:170" x14ac:dyDescent="0.35">
      <c r="EW5173" s="48"/>
      <c r="FB5173" s="5"/>
      <c r="FI5173" s="5"/>
      <c r="FJ5173" s="164"/>
      <c r="FL5173" s="2"/>
      <c r="FN5173" s="2"/>
    </row>
    <row r="5174" spans="153:170" x14ac:dyDescent="0.35">
      <c r="EW5174" s="48"/>
      <c r="FB5174" s="5"/>
      <c r="FI5174" s="5"/>
      <c r="FJ5174" s="164"/>
      <c r="FL5174" s="2"/>
      <c r="FN5174" s="2"/>
    </row>
    <row r="5175" spans="153:170" x14ac:dyDescent="0.35">
      <c r="EW5175" s="48"/>
      <c r="FB5175" s="5"/>
      <c r="FI5175" s="5"/>
      <c r="FJ5175" s="164"/>
      <c r="FL5175" s="2"/>
      <c r="FN5175" s="2"/>
    </row>
    <row r="5176" spans="153:170" x14ac:dyDescent="0.35">
      <c r="EW5176" s="48"/>
      <c r="FB5176" s="5"/>
      <c r="FI5176" s="5"/>
      <c r="FJ5176" s="164"/>
      <c r="FL5176" s="2"/>
      <c r="FN5176" s="2"/>
    </row>
    <row r="5177" spans="153:170" x14ac:dyDescent="0.35">
      <c r="EW5177" s="48"/>
      <c r="FB5177" s="5"/>
      <c r="FI5177" s="5"/>
      <c r="FJ5177" s="164"/>
      <c r="FL5177" s="2"/>
      <c r="FN5177" s="2"/>
    </row>
    <row r="5178" spans="153:170" x14ac:dyDescent="0.35">
      <c r="EW5178" s="48"/>
      <c r="FB5178" s="5"/>
      <c r="FI5178" s="5"/>
      <c r="FJ5178" s="164"/>
      <c r="FL5178" s="2"/>
      <c r="FN5178" s="2"/>
    </row>
    <row r="5179" spans="153:170" x14ac:dyDescent="0.35">
      <c r="EW5179" s="48"/>
      <c r="FB5179" s="5"/>
      <c r="FI5179" s="5"/>
      <c r="FJ5179" s="164"/>
      <c r="FL5179" s="2"/>
      <c r="FN5179" s="2"/>
    </row>
    <row r="5180" spans="153:170" x14ac:dyDescent="0.35">
      <c r="EW5180" s="48"/>
      <c r="FB5180" s="5"/>
      <c r="FI5180" s="5"/>
      <c r="FJ5180" s="164"/>
      <c r="FL5180" s="2"/>
      <c r="FN5180" s="2"/>
    </row>
    <row r="5181" spans="153:170" x14ac:dyDescent="0.35">
      <c r="EW5181" s="48"/>
      <c r="FB5181" s="5"/>
      <c r="FI5181" s="5"/>
      <c r="FJ5181" s="164"/>
      <c r="FL5181" s="2"/>
      <c r="FN5181" s="2"/>
    </row>
    <row r="5182" spans="153:170" x14ac:dyDescent="0.35">
      <c r="EW5182" s="48"/>
      <c r="FB5182" s="5"/>
      <c r="FI5182" s="5"/>
      <c r="FJ5182" s="164"/>
      <c r="FL5182" s="2"/>
      <c r="FN5182" s="2"/>
    </row>
    <row r="5183" spans="153:170" x14ac:dyDescent="0.35">
      <c r="EW5183" s="48"/>
      <c r="FB5183" s="5"/>
      <c r="FI5183" s="5"/>
      <c r="FJ5183" s="164"/>
      <c r="FL5183" s="2"/>
      <c r="FN5183" s="2"/>
    </row>
    <row r="5184" spans="153:170" x14ac:dyDescent="0.35">
      <c r="EW5184" s="48"/>
      <c r="FB5184" s="5"/>
      <c r="FI5184" s="5"/>
      <c r="FJ5184" s="164"/>
      <c r="FL5184" s="2"/>
      <c r="FN5184" s="2"/>
    </row>
    <row r="5185" spans="153:170" x14ac:dyDescent="0.35">
      <c r="EW5185" s="48"/>
      <c r="FB5185" s="5"/>
      <c r="FI5185" s="5"/>
      <c r="FJ5185" s="164"/>
      <c r="FL5185" s="2"/>
      <c r="FN5185" s="2"/>
    </row>
    <row r="5186" spans="153:170" x14ac:dyDescent="0.35">
      <c r="EW5186" s="48"/>
      <c r="FB5186" s="5"/>
      <c r="FI5186" s="5"/>
      <c r="FJ5186" s="164"/>
      <c r="FL5186" s="2"/>
      <c r="FN5186" s="2"/>
    </row>
    <row r="5187" spans="153:170" x14ac:dyDescent="0.35">
      <c r="EW5187" s="48"/>
      <c r="FB5187" s="5"/>
      <c r="FI5187" s="5"/>
      <c r="FJ5187" s="164"/>
      <c r="FL5187" s="2"/>
      <c r="FN5187" s="2"/>
    </row>
    <row r="5188" spans="153:170" x14ac:dyDescent="0.35">
      <c r="EW5188" s="48"/>
      <c r="FB5188" s="5"/>
      <c r="FI5188" s="5"/>
      <c r="FJ5188" s="164"/>
      <c r="FL5188" s="2"/>
      <c r="FN5188" s="2"/>
    </row>
    <row r="5189" spans="153:170" x14ac:dyDescent="0.35">
      <c r="EW5189" s="48"/>
      <c r="FB5189" s="5"/>
      <c r="FI5189" s="5"/>
      <c r="FJ5189" s="164"/>
      <c r="FL5189" s="2"/>
      <c r="FN5189" s="2"/>
    </row>
    <row r="5190" spans="153:170" x14ac:dyDescent="0.35">
      <c r="EW5190" s="48"/>
      <c r="FB5190" s="5"/>
      <c r="FI5190" s="5"/>
      <c r="FJ5190" s="164"/>
      <c r="FL5190" s="2"/>
      <c r="FN5190" s="2"/>
    </row>
    <row r="5191" spans="153:170" x14ac:dyDescent="0.35">
      <c r="EW5191" s="48"/>
      <c r="FB5191" s="5"/>
      <c r="FI5191" s="5"/>
      <c r="FJ5191" s="164"/>
      <c r="FL5191" s="2"/>
      <c r="FN5191" s="2"/>
    </row>
    <row r="5192" spans="153:170" x14ac:dyDescent="0.35">
      <c r="EW5192" s="48"/>
      <c r="FB5192" s="5"/>
      <c r="FI5192" s="5"/>
      <c r="FJ5192" s="164"/>
      <c r="FL5192" s="2"/>
      <c r="FN5192" s="2"/>
    </row>
    <row r="5193" spans="153:170" x14ac:dyDescent="0.35">
      <c r="EW5193" s="48"/>
      <c r="FB5193" s="5"/>
      <c r="FI5193" s="5"/>
      <c r="FJ5193" s="164"/>
      <c r="FL5193" s="2"/>
      <c r="FN5193" s="2"/>
    </row>
    <row r="5194" spans="153:170" x14ac:dyDescent="0.35">
      <c r="EW5194" s="48"/>
      <c r="FB5194" s="5"/>
      <c r="FI5194" s="5"/>
      <c r="FJ5194" s="164"/>
      <c r="FL5194" s="2"/>
      <c r="FN5194" s="2"/>
    </row>
    <row r="5195" spans="153:170" x14ac:dyDescent="0.35">
      <c r="EW5195" s="48"/>
      <c r="FB5195" s="5"/>
      <c r="FI5195" s="5"/>
      <c r="FJ5195" s="164"/>
      <c r="FL5195" s="2"/>
      <c r="FN5195" s="2"/>
    </row>
    <row r="5196" spans="153:170" x14ac:dyDescent="0.35">
      <c r="EW5196" s="48"/>
      <c r="FB5196" s="5"/>
      <c r="FI5196" s="5"/>
      <c r="FJ5196" s="164"/>
      <c r="FL5196" s="2"/>
      <c r="FN5196" s="2"/>
    </row>
    <row r="5197" spans="153:170" x14ac:dyDescent="0.35">
      <c r="EW5197" s="48"/>
      <c r="FB5197" s="5"/>
      <c r="FI5197" s="5"/>
      <c r="FJ5197" s="164"/>
      <c r="FL5197" s="2"/>
      <c r="FN5197" s="2"/>
    </row>
    <row r="5198" spans="153:170" x14ac:dyDescent="0.35">
      <c r="EW5198" s="48"/>
      <c r="FB5198" s="5"/>
      <c r="FI5198" s="5"/>
      <c r="FJ5198" s="164"/>
      <c r="FL5198" s="2"/>
      <c r="FN5198" s="2"/>
    </row>
    <row r="5199" spans="153:170" x14ac:dyDescent="0.35">
      <c r="EW5199" s="48"/>
      <c r="FB5199" s="5"/>
      <c r="FI5199" s="5"/>
      <c r="FJ5199" s="164"/>
      <c r="FL5199" s="2"/>
      <c r="FN5199" s="2"/>
    </row>
    <row r="5200" spans="153:170" x14ac:dyDescent="0.35">
      <c r="EW5200" s="48"/>
      <c r="FB5200" s="5"/>
      <c r="FI5200" s="5"/>
      <c r="FJ5200" s="164"/>
      <c r="FL5200" s="2"/>
      <c r="FN5200" s="2"/>
    </row>
    <row r="5201" spans="153:170" x14ac:dyDescent="0.35">
      <c r="EW5201" s="48"/>
      <c r="FB5201" s="5"/>
      <c r="FI5201" s="5"/>
      <c r="FJ5201" s="164"/>
      <c r="FL5201" s="2"/>
      <c r="FN5201" s="2"/>
    </row>
    <row r="5202" spans="153:170" x14ac:dyDescent="0.35">
      <c r="EW5202" s="48"/>
      <c r="FB5202" s="5"/>
      <c r="FI5202" s="5"/>
      <c r="FJ5202" s="164"/>
      <c r="FL5202" s="2"/>
      <c r="FN5202" s="2"/>
    </row>
    <row r="5203" spans="153:170" x14ac:dyDescent="0.35">
      <c r="EW5203" s="48"/>
      <c r="FB5203" s="5"/>
      <c r="FI5203" s="5"/>
      <c r="FJ5203" s="164"/>
      <c r="FL5203" s="2"/>
      <c r="FN5203" s="2"/>
    </row>
    <row r="5204" spans="153:170" x14ac:dyDescent="0.35">
      <c r="EW5204" s="48"/>
      <c r="FB5204" s="5"/>
      <c r="FI5204" s="5"/>
      <c r="FJ5204" s="164"/>
      <c r="FL5204" s="2"/>
      <c r="FN5204" s="2"/>
    </row>
    <row r="5205" spans="153:170" x14ac:dyDescent="0.35">
      <c r="EW5205" s="48"/>
      <c r="FB5205" s="5"/>
      <c r="FI5205" s="5"/>
      <c r="FJ5205" s="164"/>
      <c r="FL5205" s="2"/>
      <c r="FN5205" s="2"/>
    </row>
    <row r="5206" spans="153:170" x14ac:dyDescent="0.35">
      <c r="EW5206" s="48"/>
      <c r="FB5206" s="5"/>
      <c r="FI5206" s="5"/>
      <c r="FJ5206" s="164"/>
      <c r="FL5206" s="2"/>
      <c r="FN5206" s="2"/>
    </row>
    <row r="5207" spans="153:170" x14ac:dyDescent="0.35">
      <c r="EW5207" s="48"/>
      <c r="FB5207" s="5"/>
      <c r="FI5207" s="5"/>
      <c r="FJ5207" s="164"/>
      <c r="FL5207" s="2"/>
      <c r="FN5207" s="2"/>
    </row>
    <row r="5208" spans="153:170" x14ac:dyDescent="0.35">
      <c r="EW5208" s="48"/>
      <c r="FB5208" s="5"/>
      <c r="FI5208" s="5"/>
      <c r="FJ5208" s="164"/>
      <c r="FL5208" s="2"/>
      <c r="FN5208" s="2"/>
    </row>
    <row r="5209" spans="153:170" x14ac:dyDescent="0.35">
      <c r="EW5209" s="48"/>
      <c r="FB5209" s="5"/>
      <c r="FI5209" s="5"/>
      <c r="FJ5209" s="164"/>
      <c r="FL5209" s="2"/>
      <c r="FN5209" s="2"/>
    </row>
    <row r="5210" spans="153:170" x14ac:dyDescent="0.35">
      <c r="EW5210" s="48"/>
      <c r="FB5210" s="5"/>
      <c r="FI5210" s="5"/>
      <c r="FJ5210" s="164"/>
      <c r="FL5210" s="2"/>
      <c r="FN5210" s="2"/>
    </row>
    <row r="5211" spans="153:170" x14ac:dyDescent="0.35">
      <c r="EW5211" s="48"/>
      <c r="FB5211" s="5"/>
      <c r="FI5211" s="5"/>
      <c r="FJ5211" s="164"/>
      <c r="FL5211" s="2"/>
      <c r="FN5211" s="2"/>
    </row>
    <row r="5212" spans="153:170" x14ac:dyDescent="0.35">
      <c r="EW5212" s="48"/>
      <c r="FB5212" s="5"/>
      <c r="FI5212" s="5"/>
      <c r="FJ5212" s="164"/>
      <c r="FL5212" s="2"/>
      <c r="FN5212" s="2"/>
    </row>
    <row r="5213" spans="153:170" x14ac:dyDescent="0.35">
      <c r="EW5213" s="48"/>
      <c r="FB5213" s="5"/>
      <c r="FI5213" s="5"/>
      <c r="FJ5213" s="164"/>
      <c r="FL5213" s="2"/>
      <c r="FN5213" s="2"/>
    </row>
    <row r="5214" spans="153:170" x14ac:dyDescent="0.35">
      <c r="EW5214" s="48"/>
      <c r="FB5214" s="5"/>
      <c r="FI5214" s="5"/>
      <c r="FJ5214" s="164"/>
      <c r="FL5214" s="2"/>
      <c r="FN5214" s="2"/>
    </row>
    <row r="5215" spans="153:170" x14ac:dyDescent="0.35">
      <c r="EW5215" s="48"/>
      <c r="FB5215" s="5"/>
      <c r="FI5215" s="5"/>
      <c r="FJ5215" s="164"/>
      <c r="FL5215" s="2"/>
      <c r="FN5215" s="2"/>
    </row>
    <row r="5216" spans="153:170" x14ac:dyDescent="0.35">
      <c r="EW5216" s="48"/>
      <c r="FB5216" s="5"/>
      <c r="FI5216" s="5"/>
      <c r="FJ5216" s="164"/>
      <c r="FL5216" s="2"/>
      <c r="FN5216" s="2"/>
    </row>
    <row r="5217" spans="153:170" x14ac:dyDescent="0.35">
      <c r="EW5217" s="48"/>
      <c r="FB5217" s="5"/>
      <c r="FI5217" s="5"/>
      <c r="FJ5217" s="164"/>
      <c r="FL5217" s="2"/>
      <c r="FN5217" s="2"/>
    </row>
    <row r="5218" spans="153:170" x14ac:dyDescent="0.35">
      <c r="EW5218" s="48"/>
      <c r="FB5218" s="5"/>
      <c r="FI5218" s="5"/>
      <c r="FJ5218" s="164"/>
      <c r="FL5218" s="2"/>
      <c r="FN5218" s="2"/>
    </row>
    <row r="5219" spans="153:170" x14ac:dyDescent="0.35">
      <c r="EW5219" s="48"/>
      <c r="FB5219" s="5"/>
      <c r="FI5219" s="5"/>
      <c r="FJ5219" s="164"/>
      <c r="FL5219" s="2"/>
      <c r="FN5219" s="2"/>
    </row>
    <row r="5220" spans="153:170" x14ac:dyDescent="0.35">
      <c r="EW5220" s="48"/>
      <c r="FB5220" s="5"/>
      <c r="FI5220" s="5"/>
      <c r="FJ5220" s="164"/>
      <c r="FL5220" s="2"/>
      <c r="FN5220" s="2"/>
    </row>
    <row r="5221" spans="153:170" x14ac:dyDescent="0.35">
      <c r="EW5221" s="48"/>
      <c r="FB5221" s="5"/>
      <c r="FI5221" s="5"/>
      <c r="FJ5221" s="164"/>
      <c r="FL5221" s="2"/>
      <c r="FN5221" s="2"/>
    </row>
    <row r="5222" spans="153:170" x14ac:dyDescent="0.35">
      <c r="EW5222" s="48"/>
      <c r="FB5222" s="5"/>
      <c r="FI5222" s="5"/>
      <c r="FJ5222" s="164"/>
      <c r="FL5222" s="2"/>
      <c r="FN5222" s="2"/>
    </row>
    <row r="5223" spans="153:170" x14ac:dyDescent="0.35">
      <c r="EW5223" s="48"/>
      <c r="FB5223" s="5"/>
      <c r="FI5223" s="5"/>
      <c r="FJ5223" s="164"/>
      <c r="FL5223" s="2"/>
      <c r="FN5223" s="2"/>
    </row>
    <row r="5224" spans="153:170" x14ac:dyDescent="0.35">
      <c r="EW5224" s="48"/>
      <c r="FB5224" s="5"/>
      <c r="FI5224" s="5"/>
      <c r="FJ5224" s="164"/>
      <c r="FL5224" s="2"/>
      <c r="FN5224" s="2"/>
    </row>
    <row r="5225" spans="153:170" x14ac:dyDescent="0.35">
      <c r="EW5225" s="48"/>
      <c r="FB5225" s="5"/>
      <c r="FI5225" s="5"/>
      <c r="FJ5225" s="164"/>
      <c r="FL5225" s="2"/>
      <c r="FN5225" s="2"/>
    </row>
    <row r="5226" spans="153:170" x14ac:dyDescent="0.35">
      <c r="EW5226" s="48"/>
      <c r="FB5226" s="5"/>
      <c r="FI5226" s="5"/>
      <c r="FJ5226" s="164"/>
      <c r="FL5226" s="2"/>
      <c r="FN5226" s="2"/>
    </row>
    <row r="5227" spans="153:170" x14ac:dyDescent="0.35">
      <c r="EW5227" s="48"/>
      <c r="FB5227" s="5"/>
      <c r="FI5227" s="5"/>
      <c r="FJ5227" s="164"/>
      <c r="FL5227" s="2"/>
      <c r="FN5227" s="2"/>
    </row>
    <row r="5228" spans="153:170" x14ac:dyDescent="0.35">
      <c r="EW5228" s="48"/>
      <c r="FB5228" s="5"/>
      <c r="FI5228" s="5"/>
      <c r="FJ5228" s="164"/>
      <c r="FL5228" s="2"/>
      <c r="FN5228" s="2"/>
    </row>
    <row r="5229" spans="153:170" x14ac:dyDescent="0.35">
      <c r="EW5229" s="48"/>
      <c r="FB5229" s="5"/>
      <c r="FI5229" s="5"/>
      <c r="FJ5229" s="164"/>
      <c r="FL5229" s="2"/>
      <c r="FN5229" s="2"/>
    </row>
    <row r="5230" spans="153:170" x14ac:dyDescent="0.35">
      <c r="EW5230" s="48"/>
      <c r="FB5230" s="5"/>
      <c r="FI5230" s="5"/>
      <c r="FJ5230" s="164"/>
      <c r="FL5230" s="2"/>
      <c r="FN5230" s="2"/>
    </row>
    <row r="5231" spans="153:170" x14ac:dyDescent="0.35">
      <c r="EW5231" s="48"/>
      <c r="FB5231" s="5"/>
      <c r="FI5231" s="5"/>
      <c r="FJ5231" s="164"/>
      <c r="FL5231" s="2"/>
      <c r="FN5231" s="2"/>
    </row>
    <row r="5232" spans="153:170" x14ac:dyDescent="0.35">
      <c r="EW5232" s="48"/>
      <c r="FB5232" s="5"/>
      <c r="FI5232" s="5"/>
      <c r="FJ5232" s="164"/>
      <c r="FL5232" s="2"/>
      <c r="FN5232" s="2"/>
    </row>
    <row r="5233" spans="153:170" x14ac:dyDescent="0.35">
      <c r="EW5233" s="48"/>
      <c r="FB5233" s="5"/>
      <c r="FI5233" s="5"/>
      <c r="FJ5233" s="164"/>
      <c r="FL5233" s="2"/>
      <c r="FN5233" s="2"/>
    </row>
    <row r="5234" spans="153:170" x14ac:dyDescent="0.35">
      <c r="EW5234" s="48"/>
      <c r="FB5234" s="5"/>
      <c r="FI5234" s="5"/>
      <c r="FJ5234" s="164"/>
      <c r="FL5234" s="2"/>
      <c r="FN5234" s="2"/>
    </row>
    <row r="5235" spans="153:170" x14ac:dyDescent="0.35">
      <c r="EW5235" s="48"/>
      <c r="FB5235" s="5"/>
      <c r="FI5235" s="5"/>
      <c r="FJ5235" s="164"/>
      <c r="FL5235" s="2"/>
      <c r="FN5235" s="2"/>
    </row>
    <row r="5236" spans="153:170" x14ac:dyDescent="0.35">
      <c r="EW5236" s="48"/>
      <c r="FB5236" s="5"/>
      <c r="FI5236" s="5"/>
      <c r="FJ5236" s="164"/>
      <c r="FL5236" s="2"/>
      <c r="FN5236" s="2"/>
    </row>
    <row r="5237" spans="153:170" x14ac:dyDescent="0.35">
      <c r="EW5237" s="48"/>
      <c r="FB5237" s="5"/>
      <c r="FI5237" s="5"/>
      <c r="FJ5237" s="164"/>
      <c r="FL5237" s="2"/>
      <c r="FN5237" s="2"/>
    </row>
    <row r="5238" spans="153:170" x14ac:dyDescent="0.35">
      <c r="EW5238" s="48"/>
      <c r="FB5238" s="5"/>
      <c r="FI5238" s="5"/>
      <c r="FJ5238" s="164"/>
      <c r="FL5238" s="2"/>
      <c r="FN5238" s="2"/>
    </row>
    <row r="5239" spans="153:170" x14ac:dyDescent="0.35">
      <c r="EW5239" s="48"/>
      <c r="FB5239" s="5"/>
      <c r="FI5239" s="5"/>
      <c r="FJ5239" s="164"/>
      <c r="FL5239" s="2"/>
      <c r="FN5239" s="2"/>
    </row>
    <row r="5240" spans="153:170" x14ac:dyDescent="0.35">
      <c r="EW5240" s="48"/>
      <c r="FB5240" s="5"/>
      <c r="FI5240" s="5"/>
      <c r="FJ5240" s="164"/>
      <c r="FL5240" s="2"/>
      <c r="FN5240" s="2"/>
    </row>
    <row r="5241" spans="153:170" x14ac:dyDescent="0.35">
      <c r="EW5241" s="48"/>
      <c r="FB5241" s="5"/>
      <c r="FI5241" s="5"/>
      <c r="FJ5241" s="164"/>
      <c r="FL5241" s="2"/>
      <c r="FN5241" s="2"/>
    </row>
    <row r="5242" spans="153:170" x14ac:dyDescent="0.35">
      <c r="EW5242" s="48"/>
      <c r="FB5242" s="5"/>
      <c r="FI5242" s="5"/>
      <c r="FJ5242" s="164"/>
      <c r="FL5242" s="2"/>
      <c r="FN5242" s="2"/>
    </row>
    <row r="5243" spans="153:170" x14ac:dyDescent="0.35">
      <c r="EW5243" s="48"/>
      <c r="FB5243" s="5"/>
      <c r="FI5243" s="5"/>
      <c r="FJ5243" s="164"/>
      <c r="FL5243" s="2"/>
      <c r="FN5243" s="2"/>
    </row>
    <row r="5244" spans="153:170" x14ac:dyDescent="0.35">
      <c r="EW5244" s="48"/>
      <c r="FB5244" s="5"/>
      <c r="FI5244" s="5"/>
      <c r="FJ5244" s="164"/>
      <c r="FL5244" s="2"/>
      <c r="FN5244" s="2"/>
    </row>
    <row r="5245" spans="153:170" x14ac:dyDescent="0.35">
      <c r="EW5245" s="48"/>
      <c r="FB5245" s="5"/>
      <c r="FI5245" s="5"/>
      <c r="FJ5245" s="164"/>
      <c r="FL5245" s="2"/>
      <c r="FN5245" s="2"/>
    </row>
    <row r="5246" spans="153:170" x14ac:dyDescent="0.35">
      <c r="EW5246" s="48"/>
      <c r="FB5246" s="5"/>
      <c r="FI5246" s="5"/>
      <c r="FJ5246" s="164"/>
      <c r="FL5246" s="2"/>
      <c r="FN5246" s="2"/>
    </row>
    <row r="5247" spans="153:170" x14ac:dyDescent="0.35">
      <c r="EW5247" s="48"/>
      <c r="FB5247" s="5"/>
      <c r="FI5247" s="5"/>
      <c r="FJ5247" s="164"/>
      <c r="FL5247" s="2"/>
      <c r="FN5247" s="2"/>
    </row>
    <row r="5248" spans="153:170" x14ac:dyDescent="0.35">
      <c r="EW5248" s="48"/>
      <c r="FB5248" s="5"/>
      <c r="FI5248" s="5"/>
      <c r="FJ5248" s="164"/>
      <c r="FL5248" s="2"/>
      <c r="FN5248" s="2"/>
    </row>
    <row r="5249" spans="153:170" x14ac:dyDescent="0.35">
      <c r="EW5249" s="48"/>
      <c r="FB5249" s="5"/>
      <c r="FI5249" s="5"/>
      <c r="FJ5249" s="164"/>
      <c r="FL5249" s="2"/>
      <c r="FN5249" s="2"/>
    </row>
    <row r="5250" spans="153:170" x14ac:dyDescent="0.35">
      <c r="EW5250" s="48"/>
      <c r="FB5250" s="5"/>
      <c r="FI5250" s="5"/>
      <c r="FJ5250" s="164"/>
      <c r="FL5250" s="2"/>
      <c r="FN5250" s="2"/>
    </row>
    <row r="5251" spans="153:170" x14ac:dyDescent="0.35">
      <c r="EW5251" s="48"/>
      <c r="FB5251" s="5"/>
      <c r="FI5251" s="5"/>
      <c r="FJ5251" s="164"/>
      <c r="FL5251" s="2"/>
      <c r="FN5251" s="2"/>
    </row>
    <row r="5252" spans="153:170" x14ac:dyDescent="0.35">
      <c r="EW5252" s="48"/>
      <c r="FB5252" s="5"/>
      <c r="FI5252" s="5"/>
      <c r="FJ5252" s="164"/>
      <c r="FL5252" s="2"/>
      <c r="FN5252" s="2"/>
    </row>
    <row r="5253" spans="153:170" x14ac:dyDescent="0.35">
      <c r="EW5253" s="48"/>
      <c r="FB5253" s="5"/>
      <c r="FI5253" s="5"/>
      <c r="FJ5253" s="164"/>
      <c r="FL5253" s="2"/>
      <c r="FN5253" s="2"/>
    </row>
    <row r="5254" spans="153:170" x14ac:dyDescent="0.35">
      <c r="EW5254" s="48"/>
      <c r="FB5254" s="5"/>
      <c r="FI5254" s="5"/>
      <c r="FJ5254" s="164"/>
      <c r="FL5254" s="2"/>
      <c r="FN5254" s="2"/>
    </row>
    <row r="5255" spans="153:170" x14ac:dyDescent="0.35">
      <c r="EW5255" s="48"/>
      <c r="FB5255" s="5"/>
      <c r="FI5255" s="5"/>
      <c r="FJ5255" s="164"/>
      <c r="FL5255" s="2"/>
      <c r="FN5255" s="2"/>
    </row>
    <row r="5256" spans="153:170" x14ac:dyDescent="0.35">
      <c r="EW5256" s="48"/>
      <c r="FB5256" s="5"/>
      <c r="FI5256" s="5"/>
      <c r="FJ5256" s="164"/>
      <c r="FL5256" s="2"/>
      <c r="FN5256" s="2"/>
    </row>
    <row r="5257" spans="153:170" x14ac:dyDescent="0.35">
      <c r="EW5257" s="48"/>
      <c r="FB5257" s="5"/>
      <c r="FI5257" s="5"/>
      <c r="FJ5257" s="164"/>
      <c r="FL5257" s="2"/>
      <c r="FN5257" s="2"/>
    </row>
    <row r="5258" spans="153:170" x14ac:dyDescent="0.35">
      <c r="EW5258" s="48"/>
      <c r="FB5258" s="5"/>
      <c r="FI5258" s="5"/>
      <c r="FJ5258" s="164"/>
      <c r="FL5258" s="2"/>
      <c r="FN5258" s="2"/>
    </row>
    <row r="5259" spans="153:170" x14ac:dyDescent="0.35">
      <c r="EW5259" s="48"/>
      <c r="FB5259" s="5"/>
      <c r="FI5259" s="5"/>
      <c r="FJ5259" s="164"/>
      <c r="FL5259" s="2"/>
      <c r="FN5259" s="2"/>
    </row>
    <row r="5260" spans="153:170" x14ac:dyDescent="0.35">
      <c r="EW5260" s="48"/>
      <c r="FB5260" s="5"/>
      <c r="FI5260" s="5"/>
      <c r="FJ5260" s="164"/>
      <c r="FL5260" s="2"/>
      <c r="FN5260" s="2"/>
    </row>
    <row r="5261" spans="153:170" x14ac:dyDescent="0.35">
      <c r="EW5261" s="48"/>
      <c r="FB5261" s="5"/>
      <c r="FI5261" s="5"/>
      <c r="FJ5261" s="164"/>
      <c r="FL5261" s="2"/>
      <c r="FN5261" s="2"/>
    </row>
    <row r="5262" spans="153:170" x14ac:dyDescent="0.35">
      <c r="EW5262" s="48"/>
      <c r="FB5262" s="5"/>
      <c r="FI5262" s="5"/>
      <c r="FJ5262" s="164"/>
      <c r="FL5262" s="2"/>
      <c r="FN5262" s="2"/>
    </row>
    <row r="5263" spans="153:170" x14ac:dyDescent="0.35">
      <c r="EW5263" s="48"/>
      <c r="FB5263" s="5"/>
      <c r="FI5263" s="5"/>
      <c r="FJ5263" s="164"/>
      <c r="FL5263" s="2"/>
      <c r="FN5263" s="2"/>
    </row>
    <row r="5264" spans="153:170" x14ac:dyDescent="0.35">
      <c r="EW5264" s="48"/>
      <c r="FB5264" s="5"/>
      <c r="FI5264" s="5"/>
      <c r="FJ5264" s="164"/>
      <c r="FL5264" s="2"/>
      <c r="FN5264" s="2"/>
    </row>
    <row r="5265" spans="153:170" x14ac:dyDescent="0.35">
      <c r="EW5265" s="48"/>
      <c r="FB5265" s="5"/>
      <c r="FI5265" s="5"/>
      <c r="FJ5265" s="164"/>
      <c r="FL5265" s="2"/>
      <c r="FN5265" s="2"/>
    </row>
    <row r="5266" spans="153:170" x14ac:dyDescent="0.35">
      <c r="EW5266" s="48"/>
      <c r="FB5266" s="5"/>
      <c r="FI5266" s="5"/>
      <c r="FJ5266" s="164"/>
      <c r="FL5266" s="2"/>
      <c r="FN5266" s="2"/>
    </row>
    <row r="5267" spans="153:170" x14ac:dyDescent="0.35">
      <c r="EW5267" s="48"/>
      <c r="FB5267" s="5"/>
      <c r="FI5267" s="5"/>
      <c r="FJ5267" s="164"/>
      <c r="FL5267" s="2"/>
      <c r="FN5267" s="2"/>
    </row>
    <row r="5268" spans="153:170" x14ac:dyDescent="0.35">
      <c r="EW5268" s="48"/>
      <c r="FB5268" s="5"/>
      <c r="FI5268" s="5"/>
      <c r="FJ5268" s="164"/>
      <c r="FL5268" s="2"/>
      <c r="FN5268" s="2"/>
    </row>
    <row r="5269" spans="153:170" x14ac:dyDescent="0.35">
      <c r="EW5269" s="48"/>
      <c r="FB5269" s="5"/>
      <c r="FI5269" s="5"/>
      <c r="FJ5269" s="164"/>
      <c r="FL5269" s="2"/>
      <c r="FN5269" s="2"/>
    </row>
    <row r="5270" spans="153:170" x14ac:dyDescent="0.35">
      <c r="EW5270" s="48"/>
      <c r="FB5270" s="5"/>
      <c r="FI5270" s="5"/>
      <c r="FJ5270" s="164"/>
      <c r="FL5270" s="2"/>
      <c r="FN5270" s="2"/>
    </row>
    <row r="5271" spans="153:170" x14ac:dyDescent="0.35">
      <c r="EW5271" s="48"/>
      <c r="FB5271" s="5"/>
      <c r="FI5271" s="5"/>
      <c r="FJ5271" s="164"/>
      <c r="FL5271" s="2"/>
      <c r="FN5271" s="2"/>
    </row>
    <row r="5272" spans="153:170" x14ac:dyDescent="0.35">
      <c r="EW5272" s="48"/>
      <c r="FB5272" s="5"/>
      <c r="FI5272" s="5"/>
      <c r="FJ5272" s="164"/>
      <c r="FL5272" s="2"/>
      <c r="FN5272" s="2"/>
    </row>
    <row r="5273" spans="153:170" x14ac:dyDescent="0.35">
      <c r="EW5273" s="48"/>
      <c r="FB5273" s="5"/>
      <c r="FI5273" s="5"/>
      <c r="FJ5273" s="164"/>
      <c r="FL5273" s="2"/>
      <c r="FN5273" s="2"/>
    </row>
    <row r="5274" spans="153:170" x14ac:dyDescent="0.35">
      <c r="EW5274" s="48"/>
      <c r="FB5274" s="5"/>
      <c r="FI5274" s="5"/>
      <c r="FJ5274" s="164"/>
      <c r="FL5274" s="2"/>
      <c r="FN5274" s="2"/>
    </row>
    <row r="5275" spans="153:170" x14ac:dyDescent="0.35">
      <c r="EW5275" s="48"/>
      <c r="FB5275" s="5"/>
      <c r="FI5275" s="5"/>
      <c r="FJ5275" s="164"/>
      <c r="FL5275" s="2"/>
      <c r="FN5275" s="2"/>
    </row>
    <row r="5276" spans="153:170" x14ac:dyDescent="0.35">
      <c r="EW5276" s="48"/>
      <c r="FB5276" s="5"/>
      <c r="FI5276" s="5"/>
      <c r="FJ5276" s="164"/>
      <c r="FL5276" s="2"/>
      <c r="FN5276" s="2"/>
    </row>
    <row r="5277" spans="153:170" x14ac:dyDescent="0.35">
      <c r="EW5277" s="48"/>
      <c r="FB5277" s="5"/>
      <c r="FI5277" s="5"/>
      <c r="FJ5277" s="164"/>
      <c r="FL5277" s="2"/>
      <c r="FN5277" s="2"/>
    </row>
    <row r="5278" spans="153:170" x14ac:dyDescent="0.35">
      <c r="EW5278" s="48"/>
      <c r="FB5278" s="5"/>
      <c r="FI5278" s="5"/>
      <c r="FJ5278" s="164"/>
      <c r="FL5278" s="2"/>
      <c r="FN5278" s="2"/>
    </row>
    <row r="5279" spans="153:170" x14ac:dyDescent="0.35">
      <c r="EW5279" s="48"/>
      <c r="FB5279" s="5"/>
      <c r="FI5279" s="5"/>
      <c r="FJ5279" s="164"/>
      <c r="FL5279" s="2"/>
      <c r="FN5279" s="2"/>
    </row>
    <row r="5280" spans="153:170" x14ac:dyDescent="0.35">
      <c r="EW5280" s="48"/>
      <c r="FB5280" s="5"/>
      <c r="FI5280" s="5"/>
      <c r="FJ5280" s="164"/>
      <c r="FL5280" s="2"/>
      <c r="FN5280" s="2"/>
    </row>
    <row r="5281" spans="153:170" x14ac:dyDescent="0.35">
      <c r="EW5281" s="48"/>
      <c r="FB5281" s="5"/>
      <c r="FI5281" s="5"/>
      <c r="FJ5281" s="164"/>
      <c r="FL5281" s="2"/>
      <c r="FN5281" s="2"/>
    </row>
    <row r="5282" spans="153:170" x14ac:dyDescent="0.35">
      <c r="EW5282" s="48"/>
      <c r="FB5282" s="5"/>
      <c r="FI5282" s="5"/>
      <c r="FJ5282" s="164"/>
      <c r="FL5282" s="2"/>
      <c r="FN5282" s="2"/>
    </row>
    <row r="5283" spans="153:170" x14ac:dyDescent="0.35">
      <c r="EW5283" s="48"/>
      <c r="FB5283" s="5"/>
      <c r="FI5283" s="5"/>
      <c r="FJ5283" s="164"/>
      <c r="FL5283" s="2"/>
      <c r="FN5283" s="2"/>
    </row>
    <row r="5284" spans="153:170" x14ac:dyDescent="0.35">
      <c r="EW5284" s="48"/>
      <c r="FB5284" s="5"/>
      <c r="FI5284" s="5"/>
      <c r="FJ5284" s="164"/>
      <c r="FL5284" s="2"/>
      <c r="FN5284" s="2"/>
    </row>
    <row r="5285" spans="153:170" x14ac:dyDescent="0.35">
      <c r="EW5285" s="48"/>
      <c r="FB5285" s="5"/>
      <c r="FI5285" s="5"/>
      <c r="FJ5285" s="164"/>
      <c r="FL5285" s="2"/>
      <c r="FN5285" s="2"/>
    </row>
    <row r="5286" spans="153:170" x14ac:dyDescent="0.35">
      <c r="EW5286" s="48"/>
      <c r="FB5286" s="5"/>
      <c r="FI5286" s="5"/>
      <c r="FJ5286" s="164"/>
      <c r="FL5286" s="2"/>
      <c r="FN5286" s="2"/>
    </row>
    <row r="5287" spans="153:170" x14ac:dyDescent="0.35">
      <c r="EW5287" s="48"/>
      <c r="FB5287" s="5"/>
      <c r="FI5287" s="5"/>
      <c r="FJ5287" s="164"/>
      <c r="FL5287" s="2"/>
      <c r="FN5287" s="2"/>
    </row>
    <row r="5288" spans="153:170" x14ac:dyDescent="0.35">
      <c r="EW5288" s="48"/>
      <c r="FB5288" s="5"/>
      <c r="FI5288" s="5"/>
      <c r="FJ5288" s="164"/>
      <c r="FL5288" s="2"/>
      <c r="FN5288" s="2"/>
    </row>
    <row r="5289" spans="153:170" x14ac:dyDescent="0.35">
      <c r="EW5289" s="48"/>
      <c r="FB5289" s="5"/>
      <c r="FI5289" s="5"/>
      <c r="FJ5289" s="164"/>
      <c r="FL5289" s="2"/>
      <c r="FN5289" s="2"/>
    </row>
    <row r="5290" spans="153:170" x14ac:dyDescent="0.35">
      <c r="EW5290" s="48"/>
      <c r="FB5290" s="5"/>
      <c r="FI5290" s="5"/>
      <c r="FJ5290" s="164"/>
      <c r="FL5290" s="2"/>
      <c r="FN5290" s="2"/>
    </row>
    <row r="5291" spans="153:170" x14ac:dyDescent="0.35">
      <c r="EW5291" s="48"/>
      <c r="FB5291" s="5"/>
      <c r="FI5291" s="5"/>
      <c r="FJ5291" s="164"/>
      <c r="FL5291" s="2"/>
      <c r="FN5291" s="2"/>
    </row>
    <row r="5292" spans="153:170" x14ac:dyDescent="0.35">
      <c r="EW5292" s="48"/>
      <c r="FB5292" s="5"/>
      <c r="FI5292" s="5"/>
      <c r="FJ5292" s="164"/>
      <c r="FL5292" s="2"/>
      <c r="FN5292" s="2"/>
    </row>
    <row r="5293" spans="153:170" x14ac:dyDescent="0.35">
      <c r="EW5293" s="48"/>
      <c r="FB5293" s="5"/>
      <c r="FI5293" s="5"/>
      <c r="FJ5293" s="164"/>
      <c r="FL5293" s="2"/>
      <c r="FN5293" s="2"/>
    </row>
    <row r="5294" spans="153:170" x14ac:dyDescent="0.35">
      <c r="EW5294" s="48"/>
      <c r="FB5294" s="5"/>
      <c r="FI5294" s="5"/>
      <c r="FJ5294" s="164"/>
      <c r="FL5294" s="2"/>
      <c r="FN5294" s="2"/>
    </row>
    <row r="5295" spans="153:170" x14ac:dyDescent="0.35">
      <c r="EW5295" s="48"/>
      <c r="FB5295" s="5"/>
      <c r="FI5295" s="5"/>
      <c r="FJ5295" s="164"/>
      <c r="FL5295" s="2"/>
      <c r="FN5295" s="2"/>
    </row>
    <row r="5296" spans="153:170" x14ac:dyDescent="0.35">
      <c r="EW5296" s="48"/>
      <c r="FB5296" s="5"/>
      <c r="FI5296" s="5"/>
      <c r="FJ5296" s="164"/>
      <c r="FL5296" s="2"/>
      <c r="FN5296" s="2"/>
    </row>
    <row r="5297" spans="153:170" x14ac:dyDescent="0.35">
      <c r="EW5297" s="48"/>
      <c r="FB5297" s="5"/>
      <c r="FI5297" s="5"/>
      <c r="FJ5297" s="164"/>
      <c r="FL5297" s="2"/>
      <c r="FN5297" s="2"/>
    </row>
    <row r="5298" spans="153:170" x14ac:dyDescent="0.35">
      <c r="EW5298" s="48"/>
      <c r="FB5298" s="5"/>
      <c r="FI5298" s="5"/>
      <c r="FJ5298" s="164"/>
      <c r="FL5298" s="2"/>
      <c r="FN5298" s="2"/>
    </row>
    <row r="5299" spans="153:170" x14ac:dyDescent="0.35">
      <c r="EW5299" s="48"/>
      <c r="FB5299" s="5"/>
      <c r="FI5299" s="5"/>
      <c r="FJ5299" s="164"/>
      <c r="FL5299" s="2"/>
      <c r="FN5299" s="2"/>
    </row>
    <row r="5300" spans="153:170" x14ac:dyDescent="0.35">
      <c r="EW5300" s="48"/>
      <c r="FB5300" s="5"/>
      <c r="FI5300" s="5"/>
      <c r="FJ5300" s="164"/>
      <c r="FL5300" s="2"/>
      <c r="FN5300" s="2"/>
    </row>
    <row r="5301" spans="153:170" x14ac:dyDescent="0.35">
      <c r="EW5301" s="48"/>
      <c r="FB5301" s="5"/>
      <c r="FI5301" s="5"/>
      <c r="FJ5301" s="164"/>
      <c r="FL5301" s="2"/>
      <c r="FN5301" s="2"/>
    </row>
    <row r="5302" spans="153:170" x14ac:dyDescent="0.35">
      <c r="EW5302" s="48"/>
      <c r="FB5302" s="5"/>
      <c r="FI5302" s="5"/>
      <c r="FJ5302" s="164"/>
      <c r="FL5302" s="2"/>
      <c r="FN5302" s="2"/>
    </row>
    <row r="5303" spans="153:170" x14ac:dyDescent="0.35">
      <c r="EW5303" s="48"/>
      <c r="FB5303" s="5"/>
      <c r="FI5303" s="5"/>
      <c r="FJ5303" s="164"/>
      <c r="FL5303" s="2"/>
      <c r="FN5303" s="2"/>
    </row>
    <row r="5304" spans="153:170" x14ac:dyDescent="0.35">
      <c r="EW5304" s="48"/>
      <c r="FB5304" s="5"/>
      <c r="FI5304" s="5"/>
      <c r="FJ5304" s="164"/>
      <c r="FL5304" s="2"/>
      <c r="FN5304" s="2"/>
    </row>
    <row r="5305" spans="153:170" x14ac:dyDescent="0.35">
      <c r="EW5305" s="48"/>
      <c r="FB5305" s="5"/>
      <c r="FI5305" s="5"/>
      <c r="FJ5305" s="164"/>
      <c r="FL5305" s="2"/>
      <c r="FN5305" s="2"/>
    </row>
    <row r="5306" spans="153:170" x14ac:dyDescent="0.35">
      <c r="EW5306" s="48"/>
      <c r="FB5306" s="5"/>
      <c r="FI5306" s="5"/>
      <c r="FJ5306" s="164"/>
      <c r="FL5306" s="2"/>
      <c r="FN5306" s="2"/>
    </row>
    <row r="5307" spans="153:170" x14ac:dyDescent="0.35">
      <c r="EW5307" s="48"/>
      <c r="FB5307" s="5"/>
      <c r="FI5307" s="5"/>
      <c r="FJ5307" s="164"/>
      <c r="FL5307" s="2"/>
      <c r="FN5307" s="2"/>
    </row>
    <row r="5308" spans="153:170" x14ac:dyDescent="0.35">
      <c r="EW5308" s="48"/>
      <c r="FB5308" s="5"/>
      <c r="FI5308" s="5"/>
      <c r="FJ5308" s="164"/>
      <c r="FL5308" s="2"/>
      <c r="FN5308" s="2"/>
    </row>
    <row r="5309" spans="153:170" x14ac:dyDescent="0.35">
      <c r="EW5309" s="48"/>
      <c r="FB5309" s="5"/>
      <c r="FI5309" s="5"/>
      <c r="FJ5309" s="164"/>
      <c r="FL5309" s="2"/>
      <c r="FN5309" s="2"/>
    </row>
    <row r="5310" spans="153:170" x14ac:dyDescent="0.35">
      <c r="EW5310" s="48"/>
      <c r="FB5310" s="5"/>
      <c r="FI5310" s="5"/>
      <c r="FJ5310" s="164"/>
      <c r="FL5310" s="2"/>
      <c r="FN5310" s="2"/>
    </row>
    <row r="5311" spans="153:170" x14ac:dyDescent="0.35">
      <c r="EW5311" s="48"/>
      <c r="FB5311" s="5"/>
      <c r="FI5311" s="5"/>
      <c r="FJ5311" s="164"/>
      <c r="FL5311" s="2"/>
      <c r="FN5311" s="2"/>
    </row>
    <row r="5312" spans="153:170" x14ac:dyDescent="0.35">
      <c r="EW5312" s="48"/>
      <c r="FB5312" s="5"/>
      <c r="FI5312" s="5"/>
      <c r="FJ5312" s="164"/>
      <c r="FL5312" s="2"/>
      <c r="FN5312" s="2"/>
    </row>
    <row r="5313" spans="153:170" x14ac:dyDescent="0.35">
      <c r="EW5313" s="48"/>
      <c r="FB5313" s="5"/>
      <c r="FI5313" s="5"/>
      <c r="FJ5313" s="164"/>
      <c r="FL5313" s="2"/>
      <c r="FN5313" s="2"/>
    </row>
    <row r="5314" spans="153:170" x14ac:dyDescent="0.35">
      <c r="EW5314" s="48"/>
      <c r="FB5314" s="5"/>
      <c r="FI5314" s="5"/>
      <c r="FJ5314" s="164"/>
      <c r="FL5314" s="2"/>
      <c r="FN5314" s="2"/>
    </row>
    <row r="5315" spans="153:170" x14ac:dyDescent="0.35">
      <c r="EW5315" s="48"/>
      <c r="FB5315" s="5"/>
      <c r="FI5315" s="5"/>
      <c r="FJ5315" s="164"/>
      <c r="FL5315" s="2"/>
      <c r="FN5315" s="2"/>
    </row>
    <row r="5316" spans="153:170" x14ac:dyDescent="0.35">
      <c r="EW5316" s="48"/>
      <c r="FB5316" s="5"/>
      <c r="FI5316" s="5"/>
      <c r="FJ5316" s="164"/>
      <c r="FL5316" s="2"/>
      <c r="FN5316" s="2"/>
    </row>
    <row r="5317" spans="153:170" x14ac:dyDescent="0.35">
      <c r="EW5317" s="48"/>
      <c r="FB5317" s="5"/>
      <c r="FI5317" s="5"/>
      <c r="FJ5317" s="164"/>
      <c r="FL5317" s="2"/>
      <c r="FN5317" s="2"/>
    </row>
    <row r="5318" spans="153:170" x14ac:dyDescent="0.35">
      <c r="EW5318" s="48"/>
      <c r="FB5318" s="5"/>
      <c r="FI5318" s="5"/>
      <c r="FJ5318" s="164"/>
      <c r="FL5318" s="2"/>
      <c r="FN5318" s="2"/>
    </row>
    <row r="5319" spans="153:170" x14ac:dyDescent="0.35">
      <c r="EW5319" s="48"/>
      <c r="FB5319" s="5"/>
      <c r="FI5319" s="5"/>
      <c r="FJ5319" s="164"/>
      <c r="FL5319" s="2"/>
      <c r="FN5319" s="2"/>
    </row>
    <row r="5320" spans="153:170" x14ac:dyDescent="0.35">
      <c r="EW5320" s="48"/>
      <c r="FB5320" s="5"/>
      <c r="FI5320" s="5"/>
      <c r="FJ5320" s="164"/>
      <c r="FL5320" s="2"/>
      <c r="FN5320" s="2"/>
    </row>
    <row r="5321" spans="153:170" x14ac:dyDescent="0.35">
      <c r="EW5321" s="48"/>
      <c r="FB5321" s="5"/>
      <c r="FI5321" s="5"/>
      <c r="FJ5321" s="164"/>
      <c r="FL5321" s="2"/>
      <c r="FN5321" s="2"/>
    </row>
    <row r="5322" spans="153:170" x14ac:dyDescent="0.35">
      <c r="EW5322" s="48"/>
      <c r="FB5322" s="5"/>
      <c r="FI5322" s="5"/>
      <c r="FJ5322" s="164"/>
      <c r="FL5322" s="2"/>
      <c r="FN5322" s="2"/>
    </row>
    <row r="5323" spans="153:170" x14ac:dyDescent="0.35">
      <c r="EW5323" s="48"/>
      <c r="FB5323" s="5"/>
      <c r="FI5323" s="5"/>
      <c r="FJ5323" s="164"/>
      <c r="FL5323" s="2"/>
      <c r="FN5323" s="2"/>
    </row>
    <row r="5324" spans="153:170" x14ac:dyDescent="0.35">
      <c r="EW5324" s="48"/>
      <c r="FB5324" s="5"/>
      <c r="FI5324" s="5"/>
      <c r="FJ5324" s="164"/>
      <c r="FL5324" s="2"/>
      <c r="FN5324" s="2"/>
    </row>
    <row r="5325" spans="153:170" x14ac:dyDescent="0.35">
      <c r="EW5325" s="48"/>
      <c r="FB5325" s="5"/>
      <c r="FI5325" s="5"/>
      <c r="FJ5325" s="164"/>
      <c r="FL5325" s="2"/>
      <c r="FN5325" s="2"/>
    </row>
    <row r="5326" spans="153:170" x14ac:dyDescent="0.35">
      <c r="EW5326" s="48"/>
      <c r="FB5326" s="5"/>
      <c r="FI5326" s="5"/>
      <c r="FJ5326" s="164"/>
      <c r="FL5326" s="2"/>
      <c r="FN5326" s="2"/>
    </row>
    <row r="5327" spans="153:170" x14ac:dyDescent="0.35">
      <c r="EW5327" s="48"/>
      <c r="FB5327" s="5"/>
      <c r="FI5327" s="5"/>
      <c r="FJ5327" s="164"/>
      <c r="FL5327" s="2"/>
      <c r="FN5327" s="2"/>
    </row>
    <row r="5328" spans="153:170" x14ac:dyDescent="0.35">
      <c r="EW5328" s="48"/>
      <c r="FB5328" s="5"/>
      <c r="FI5328" s="5"/>
      <c r="FJ5328" s="164"/>
      <c r="FL5328" s="2"/>
      <c r="FN5328" s="2"/>
    </row>
    <row r="5329" spans="153:170" x14ac:dyDescent="0.35">
      <c r="EW5329" s="48"/>
      <c r="FB5329" s="5"/>
      <c r="FI5329" s="5"/>
      <c r="FJ5329" s="164"/>
      <c r="FL5329" s="2"/>
      <c r="FN5329" s="2"/>
    </row>
    <row r="5330" spans="153:170" x14ac:dyDescent="0.35">
      <c r="EW5330" s="48"/>
      <c r="FB5330" s="5"/>
      <c r="FI5330" s="5"/>
      <c r="FJ5330" s="164"/>
      <c r="FL5330" s="2"/>
      <c r="FN5330" s="2"/>
    </row>
    <row r="5331" spans="153:170" x14ac:dyDescent="0.35">
      <c r="EW5331" s="48"/>
      <c r="FB5331" s="5"/>
      <c r="FI5331" s="5"/>
      <c r="FJ5331" s="164"/>
      <c r="FL5331" s="2"/>
      <c r="FN5331" s="2"/>
    </row>
    <row r="5332" spans="153:170" x14ac:dyDescent="0.35">
      <c r="EW5332" s="48"/>
      <c r="FB5332" s="5"/>
      <c r="FI5332" s="5"/>
      <c r="FJ5332" s="164"/>
      <c r="FL5332" s="2"/>
      <c r="FN5332" s="2"/>
    </row>
    <row r="5333" spans="153:170" x14ac:dyDescent="0.35">
      <c r="EW5333" s="48"/>
      <c r="FB5333" s="5"/>
      <c r="FI5333" s="5"/>
      <c r="FJ5333" s="164"/>
      <c r="FL5333" s="2"/>
      <c r="FN5333" s="2"/>
    </row>
    <row r="5334" spans="153:170" x14ac:dyDescent="0.35">
      <c r="EW5334" s="48"/>
      <c r="FB5334" s="5"/>
      <c r="FI5334" s="5"/>
      <c r="FJ5334" s="164"/>
      <c r="FL5334" s="2"/>
      <c r="FN5334" s="2"/>
    </row>
    <row r="5335" spans="153:170" x14ac:dyDescent="0.35">
      <c r="EW5335" s="48"/>
      <c r="FB5335" s="5"/>
      <c r="FI5335" s="5"/>
      <c r="FJ5335" s="164"/>
      <c r="FL5335" s="2"/>
      <c r="FN5335" s="2"/>
    </row>
    <row r="5336" spans="153:170" x14ac:dyDescent="0.35">
      <c r="EW5336" s="48"/>
      <c r="FB5336" s="5"/>
      <c r="FI5336" s="5"/>
      <c r="FJ5336" s="164"/>
      <c r="FL5336" s="2"/>
      <c r="FN5336" s="2"/>
    </row>
    <row r="5337" spans="153:170" x14ac:dyDescent="0.35">
      <c r="EW5337" s="48"/>
      <c r="FB5337" s="5"/>
      <c r="FI5337" s="5"/>
      <c r="FJ5337" s="164"/>
      <c r="FL5337" s="2"/>
      <c r="FN5337" s="2"/>
    </row>
    <row r="5338" spans="153:170" x14ac:dyDescent="0.35">
      <c r="EW5338" s="48"/>
      <c r="FB5338" s="5"/>
      <c r="FI5338" s="5"/>
      <c r="FJ5338" s="164"/>
      <c r="FL5338" s="2"/>
      <c r="FN5338" s="2"/>
    </row>
    <row r="5339" spans="153:170" x14ac:dyDescent="0.35">
      <c r="EW5339" s="48"/>
      <c r="FB5339" s="5"/>
      <c r="FI5339" s="5"/>
      <c r="FJ5339" s="164"/>
      <c r="FL5339" s="2"/>
      <c r="FN5339" s="2"/>
    </row>
    <row r="5340" spans="153:170" x14ac:dyDescent="0.35">
      <c r="EW5340" s="48"/>
      <c r="FB5340" s="5"/>
      <c r="FI5340" s="5"/>
      <c r="FJ5340" s="164"/>
      <c r="FL5340" s="2"/>
      <c r="FN5340" s="2"/>
    </row>
    <row r="5341" spans="153:170" x14ac:dyDescent="0.35">
      <c r="EW5341" s="48"/>
      <c r="FB5341" s="5"/>
      <c r="FI5341" s="5"/>
      <c r="FJ5341" s="164"/>
      <c r="FL5341" s="2"/>
      <c r="FN5341" s="2"/>
    </row>
    <row r="5342" spans="153:170" x14ac:dyDescent="0.35">
      <c r="EW5342" s="48"/>
      <c r="FB5342" s="5"/>
      <c r="FI5342" s="5"/>
      <c r="FJ5342" s="164"/>
      <c r="FL5342" s="2"/>
      <c r="FN5342" s="2"/>
    </row>
    <row r="5343" spans="153:170" x14ac:dyDescent="0.35">
      <c r="EW5343" s="48"/>
      <c r="FB5343" s="5"/>
      <c r="FI5343" s="5"/>
      <c r="FJ5343" s="164"/>
      <c r="FL5343" s="2"/>
      <c r="FN5343" s="2"/>
    </row>
    <row r="5344" spans="153:170" x14ac:dyDescent="0.35">
      <c r="EW5344" s="48"/>
      <c r="FB5344" s="5"/>
      <c r="FI5344" s="5"/>
      <c r="FJ5344" s="164"/>
      <c r="FL5344" s="2"/>
      <c r="FN5344" s="2"/>
    </row>
    <row r="5345" spans="153:170" x14ac:dyDescent="0.35">
      <c r="EW5345" s="48"/>
      <c r="FB5345" s="5"/>
      <c r="FI5345" s="5"/>
      <c r="FJ5345" s="164"/>
      <c r="FL5345" s="2"/>
      <c r="FN5345" s="2"/>
    </row>
    <row r="5346" spans="153:170" x14ac:dyDescent="0.35">
      <c r="EW5346" s="48"/>
      <c r="FB5346" s="5"/>
      <c r="FI5346" s="5"/>
      <c r="FJ5346" s="164"/>
      <c r="FL5346" s="2"/>
      <c r="FN5346" s="2"/>
    </row>
    <row r="5347" spans="153:170" x14ac:dyDescent="0.35">
      <c r="EW5347" s="48"/>
      <c r="FB5347" s="5"/>
      <c r="FI5347" s="5"/>
      <c r="FJ5347" s="164"/>
      <c r="FL5347" s="2"/>
      <c r="FN5347" s="2"/>
    </row>
    <row r="5348" spans="153:170" x14ac:dyDescent="0.35">
      <c r="EW5348" s="48"/>
      <c r="FB5348" s="5"/>
      <c r="FI5348" s="5"/>
      <c r="FJ5348" s="164"/>
      <c r="FL5348" s="2"/>
      <c r="FN5348" s="2"/>
    </row>
    <row r="5349" spans="153:170" x14ac:dyDescent="0.35">
      <c r="EW5349" s="48"/>
      <c r="FB5349" s="5"/>
      <c r="FI5349" s="5"/>
      <c r="FJ5349" s="164"/>
      <c r="FL5349" s="2"/>
      <c r="FN5349" s="2"/>
    </row>
    <row r="5350" spans="153:170" x14ac:dyDescent="0.35">
      <c r="EW5350" s="48"/>
      <c r="FB5350" s="5"/>
      <c r="FI5350" s="5"/>
      <c r="FJ5350" s="164"/>
      <c r="FL5350" s="2"/>
      <c r="FN5350" s="2"/>
    </row>
    <row r="5351" spans="153:170" x14ac:dyDescent="0.35">
      <c r="EW5351" s="48"/>
      <c r="FB5351" s="5"/>
      <c r="FI5351" s="5"/>
      <c r="FJ5351" s="164"/>
      <c r="FL5351" s="2"/>
      <c r="FN5351" s="2"/>
    </row>
    <row r="5352" spans="153:170" x14ac:dyDescent="0.35">
      <c r="EW5352" s="48"/>
      <c r="FB5352" s="5"/>
      <c r="FI5352" s="5"/>
      <c r="FJ5352" s="164"/>
      <c r="FL5352" s="2"/>
      <c r="FN5352" s="2"/>
    </row>
    <row r="5353" spans="153:170" x14ac:dyDescent="0.35">
      <c r="EW5353" s="48"/>
      <c r="FB5353" s="5"/>
      <c r="FI5353" s="5"/>
      <c r="FJ5353" s="164"/>
      <c r="FL5353" s="2"/>
      <c r="FN5353" s="2"/>
    </row>
    <row r="5354" spans="153:170" x14ac:dyDescent="0.35">
      <c r="EW5354" s="48"/>
      <c r="FB5354" s="5"/>
      <c r="FI5354" s="5"/>
      <c r="FJ5354" s="164"/>
      <c r="FL5354" s="2"/>
      <c r="FN5354" s="2"/>
    </row>
    <row r="5355" spans="153:170" x14ac:dyDescent="0.35">
      <c r="EW5355" s="48"/>
      <c r="FB5355" s="5"/>
      <c r="FI5355" s="5"/>
      <c r="FJ5355" s="164"/>
      <c r="FL5355" s="2"/>
      <c r="FN5355" s="2"/>
    </row>
    <row r="5356" spans="153:170" x14ac:dyDescent="0.35">
      <c r="EW5356" s="48"/>
      <c r="FB5356" s="5"/>
      <c r="FI5356" s="5"/>
      <c r="FJ5356" s="164"/>
      <c r="FL5356" s="2"/>
      <c r="FN5356" s="2"/>
    </row>
    <row r="5357" spans="153:170" x14ac:dyDescent="0.35">
      <c r="EW5357" s="48"/>
      <c r="FB5357" s="5"/>
      <c r="FI5357" s="5"/>
      <c r="FJ5357" s="164"/>
      <c r="FL5357" s="2"/>
      <c r="FN5357" s="2"/>
    </row>
    <row r="5358" spans="153:170" x14ac:dyDescent="0.35">
      <c r="EW5358" s="48"/>
      <c r="FB5358" s="5"/>
      <c r="FI5358" s="5"/>
      <c r="FJ5358" s="164"/>
      <c r="FL5358" s="2"/>
      <c r="FN5358" s="2"/>
    </row>
    <row r="5359" spans="153:170" x14ac:dyDescent="0.35">
      <c r="EW5359" s="48"/>
      <c r="FB5359" s="5"/>
      <c r="FI5359" s="5"/>
      <c r="FJ5359" s="164"/>
      <c r="FL5359" s="2"/>
      <c r="FN5359" s="2"/>
    </row>
    <row r="5360" spans="153:170" x14ac:dyDescent="0.35">
      <c r="EW5360" s="48"/>
      <c r="FB5360" s="5"/>
      <c r="FI5360" s="5"/>
      <c r="FJ5360" s="164"/>
      <c r="FL5360" s="2"/>
      <c r="FN5360" s="2"/>
    </row>
    <row r="5361" spans="153:170" x14ac:dyDescent="0.35">
      <c r="EW5361" s="48"/>
      <c r="FB5361" s="5"/>
      <c r="FI5361" s="5"/>
      <c r="FJ5361" s="164"/>
      <c r="FL5361" s="2"/>
      <c r="FN5361" s="2"/>
    </row>
    <row r="5362" spans="153:170" x14ac:dyDescent="0.35">
      <c r="EW5362" s="48"/>
      <c r="FB5362" s="5"/>
      <c r="FI5362" s="5"/>
      <c r="FJ5362" s="164"/>
      <c r="FL5362" s="2"/>
      <c r="FN5362" s="2"/>
    </row>
    <row r="5363" spans="153:170" x14ac:dyDescent="0.35">
      <c r="EW5363" s="48"/>
      <c r="FB5363" s="5"/>
      <c r="FI5363" s="5"/>
      <c r="FJ5363" s="164"/>
      <c r="FL5363" s="2"/>
      <c r="FN5363" s="2"/>
    </row>
    <row r="5364" spans="153:170" x14ac:dyDescent="0.35">
      <c r="EW5364" s="48"/>
      <c r="FB5364" s="5"/>
      <c r="FI5364" s="5"/>
      <c r="FJ5364" s="164"/>
      <c r="FL5364" s="2"/>
      <c r="FN5364" s="2"/>
    </row>
    <row r="5365" spans="153:170" x14ac:dyDescent="0.35">
      <c r="EW5365" s="48"/>
      <c r="FB5365" s="5"/>
      <c r="FI5365" s="5"/>
      <c r="FJ5365" s="164"/>
      <c r="FL5365" s="2"/>
      <c r="FN5365" s="2"/>
    </row>
    <row r="5366" spans="153:170" x14ac:dyDescent="0.35">
      <c r="EW5366" s="48"/>
      <c r="FB5366" s="5"/>
      <c r="FI5366" s="5"/>
      <c r="FJ5366" s="164"/>
      <c r="FL5366" s="2"/>
      <c r="FN5366" s="2"/>
    </row>
    <row r="5367" spans="153:170" x14ac:dyDescent="0.35">
      <c r="EW5367" s="48"/>
      <c r="FB5367" s="5"/>
      <c r="FI5367" s="5"/>
      <c r="FJ5367" s="164"/>
      <c r="FL5367" s="2"/>
      <c r="FN5367" s="2"/>
    </row>
    <row r="5368" spans="153:170" x14ac:dyDescent="0.35">
      <c r="EW5368" s="48"/>
      <c r="FB5368" s="5"/>
      <c r="FI5368" s="5"/>
      <c r="FJ5368" s="164"/>
      <c r="FL5368" s="2"/>
      <c r="FN5368" s="2"/>
    </row>
    <row r="5369" spans="153:170" x14ac:dyDescent="0.35">
      <c r="EW5369" s="48"/>
      <c r="FB5369" s="5"/>
      <c r="FI5369" s="5"/>
      <c r="FJ5369" s="164"/>
      <c r="FL5369" s="2"/>
      <c r="FN5369" s="2"/>
    </row>
    <row r="5370" spans="153:170" x14ac:dyDescent="0.35">
      <c r="EW5370" s="48"/>
      <c r="FB5370" s="5"/>
      <c r="FI5370" s="5"/>
      <c r="FJ5370" s="164"/>
      <c r="FL5370" s="2"/>
      <c r="FN5370" s="2"/>
    </row>
    <row r="5371" spans="153:170" x14ac:dyDescent="0.35">
      <c r="EW5371" s="48"/>
      <c r="FB5371" s="5"/>
      <c r="FI5371" s="5"/>
      <c r="FJ5371" s="164"/>
      <c r="FL5371" s="2"/>
      <c r="FN5371" s="2"/>
    </row>
    <row r="5372" spans="153:170" x14ac:dyDescent="0.35">
      <c r="EW5372" s="48"/>
      <c r="FB5372" s="5"/>
      <c r="FI5372" s="5"/>
      <c r="FJ5372" s="164"/>
      <c r="FL5372" s="2"/>
      <c r="FN5372" s="2"/>
    </row>
    <row r="5373" spans="153:170" x14ac:dyDescent="0.35">
      <c r="EW5373" s="48"/>
      <c r="FB5373" s="5"/>
      <c r="FI5373" s="5"/>
      <c r="FJ5373" s="164"/>
      <c r="FL5373" s="2"/>
      <c r="FN5373" s="2"/>
    </row>
    <row r="5374" spans="153:170" x14ac:dyDescent="0.35">
      <c r="EW5374" s="48"/>
      <c r="FB5374" s="5"/>
      <c r="FI5374" s="5"/>
      <c r="FJ5374" s="164"/>
      <c r="FL5374" s="2"/>
      <c r="FN5374" s="2"/>
    </row>
    <row r="5375" spans="153:170" x14ac:dyDescent="0.35">
      <c r="EW5375" s="48"/>
      <c r="FB5375" s="5"/>
      <c r="FI5375" s="5"/>
      <c r="FJ5375" s="164"/>
      <c r="FL5375" s="2"/>
      <c r="FN5375" s="2"/>
    </row>
    <row r="5376" spans="153:170" x14ac:dyDescent="0.35">
      <c r="EW5376" s="48"/>
      <c r="FB5376" s="5"/>
      <c r="FI5376" s="5"/>
      <c r="FJ5376" s="164"/>
      <c r="FL5376" s="2"/>
      <c r="FN5376" s="2"/>
    </row>
    <row r="5377" spans="153:170" x14ac:dyDescent="0.35">
      <c r="EW5377" s="48"/>
      <c r="FB5377" s="5"/>
      <c r="FI5377" s="5"/>
      <c r="FJ5377" s="164"/>
      <c r="FL5377" s="2"/>
      <c r="FN5377" s="2"/>
    </row>
    <row r="5378" spans="153:170" x14ac:dyDescent="0.35">
      <c r="EW5378" s="48"/>
      <c r="FB5378" s="5"/>
      <c r="FI5378" s="5"/>
      <c r="FJ5378" s="164"/>
      <c r="FL5378" s="2"/>
      <c r="FN5378" s="2"/>
    </row>
    <row r="5379" spans="153:170" x14ac:dyDescent="0.35">
      <c r="EW5379" s="48"/>
      <c r="FB5379" s="5"/>
      <c r="FI5379" s="5"/>
      <c r="FJ5379" s="164"/>
      <c r="FL5379" s="2"/>
      <c r="FN5379" s="2"/>
    </row>
    <row r="5380" spans="153:170" x14ac:dyDescent="0.35">
      <c r="EW5380" s="48"/>
      <c r="FB5380" s="5"/>
      <c r="FI5380" s="5"/>
      <c r="FJ5380" s="164"/>
      <c r="FL5380" s="2"/>
      <c r="FN5380" s="2"/>
    </row>
    <row r="5381" spans="153:170" x14ac:dyDescent="0.35">
      <c r="EW5381" s="48"/>
      <c r="FB5381" s="5"/>
      <c r="FI5381" s="5"/>
      <c r="FJ5381" s="164"/>
      <c r="FL5381" s="2"/>
      <c r="FN5381" s="2"/>
    </row>
    <row r="5382" spans="153:170" x14ac:dyDescent="0.35">
      <c r="EW5382" s="48"/>
      <c r="FB5382" s="5"/>
      <c r="FI5382" s="5"/>
      <c r="FJ5382" s="164"/>
      <c r="FL5382" s="2"/>
      <c r="FN5382" s="2"/>
    </row>
    <row r="5383" spans="153:170" x14ac:dyDescent="0.35">
      <c r="EW5383" s="48"/>
      <c r="FB5383" s="5"/>
      <c r="FI5383" s="5"/>
      <c r="FJ5383" s="164"/>
      <c r="FL5383" s="2"/>
      <c r="FN5383" s="2"/>
    </row>
    <row r="5384" spans="153:170" x14ac:dyDescent="0.35">
      <c r="EW5384" s="48"/>
      <c r="FB5384" s="5"/>
      <c r="FI5384" s="5"/>
      <c r="FJ5384" s="164"/>
      <c r="FL5384" s="2"/>
      <c r="FN5384" s="2"/>
    </row>
    <row r="5385" spans="153:170" x14ac:dyDescent="0.35">
      <c r="EW5385" s="48"/>
      <c r="FB5385" s="5"/>
      <c r="FI5385" s="5"/>
      <c r="FJ5385" s="164"/>
      <c r="FL5385" s="2"/>
      <c r="FN5385" s="2"/>
    </row>
    <row r="5386" spans="153:170" x14ac:dyDescent="0.35">
      <c r="EW5386" s="48"/>
      <c r="FB5386" s="5"/>
      <c r="FI5386" s="5"/>
      <c r="FJ5386" s="164"/>
      <c r="FL5386" s="2"/>
      <c r="FN5386" s="2"/>
    </row>
    <row r="5387" spans="153:170" x14ac:dyDescent="0.35">
      <c r="EW5387" s="48"/>
      <c r="FB5387" s="5"/>
      <c r="FI5387" s="5"/>
      <c r="FJ5387" s="164"/>
      <c r="FL5387" s="2"/>
      <c r="FN5387" s="2"/>
    </row>
    <row r="5388" spans="153:170" x14ac:dyDescent="0.35">
      <c r="EW5388" s="48"/>
      <c r="FB5388" s="5"/>
      <c r="FI5388" s="5"/>
      <c r="FJ5388" s="164"/>
      <c r="FL5388" s="2"/>
      <c r="FN5388" s="2"/>
    </row>
    <row r="5389" spans="153:170" x14ac:dyDescent="0.35">
      <c r="EW5389" s="48"/>
      <c r="FB5389" s="5"/>
      <c r="FI5389" s="5"/>
      <c r="FJ5389" s="164"/>
      <c r="FL5389" s="2"/>
      <c r="FN5389" s="2"/>
    </row>
    <row r="5390" spans="153:170" x14ac:dyDescent="0.35">
      <c r="EW5390" s="48"/>
      <c r="FB5390" s="5"/>
      <c r="FI5390" s="5"/>
      <c r="FJ5390" s="164"/>
      <c r="FL5390" s="2"/>
      <c r="FN5390" s="2"/>
    </row>
    <row r="5391" spans="153:170" x14ac:dyDescent="0.35">
      <c r="EW5391" s="48"/>
      <c r="FB5391" s="5"/>
      <c r="FI5391" s="5"/>
      <c r="FJ5391" s="164"/>
      <c r="FL5391" s="2"/>
      <c r="FN5391" s="2"/>
    </row>
    <row r="5392" spans="153:170" x14ac:dyDescent="0.35">
      <c r="EW5392" s="48"/>
      <c r="FB5392" s="5"/>
      <c r="FI5392" s="5"/>
      <c r="FJ5392" s="164"/>
      <c r="FL5392" s="2"/>
      <c r="FN5392" s="2"/>
    </row>
    <row r="5393" spans="153:170" x14ac:dyDescent="0.35">
      <c r="EW5393" s="48"/>
      <c r="FB5393" s="5"/>
      <c r="FI5393" s="5"/>
      <c r="FJ5393" s="164"/>
      <c r="FL5393" s="2"/>
      <c r="FN5393" s="2"/>
    </row>
    <row r="5394" spans="153:170" x14ac:dyDescent="0.35">
      <c r="EW5394" s="48"/>
      <c r="FB5394" s="5"/>
      <c r="FI5394" s="5"/>
      <c r="FJ5394" s="164"/>
      <c r="FL5394" s="2"/>
      <c r="FN5394" s="2"/>
    </row>
    <row r="5395" spans="153:170" x14ac:dyDescent="0.35">
      <c r="EW5395" s="48"/>
      <c r="FB5395" s="5"/>
      <c r="FI5395" s="5"/>
      <c r="FJ5395" s="164"/>
      <c r="FL5395" s="2"/>
      <c r="FN5395" s="2"/>
    </row>
    <row r="5396" spans="153:170" x14ac:dyDescent="0.35">
      <c r="EW5396" s="48"/>
      <c r="FB5396" s="5"/>
      <c r="FI5396" s="5"/>
      <c r="FJ5396" s="164"/>
      <c r="FL5396" s="2"/>
      <c r="FN5396" s="2"/>
    </row>
    <row r="5397" spans="153:170" x14ac:dyDescent="0.35">
      <c r="EW5397" s="48"/>
      <c r="FB5397" s="5"/>
      <c r="FI5397" s="5"/>
      <c r="FJ5397" s="164"/>
      <c r="FL5397" s="2"/>
      <c r="FN5397" s="2"/>
    </row>
    <row r="5398" spans="153:170" x14ac:dyDescent="0.35">
      <c r="EW5398" s="48"/>
      <c r="FB5398" s="5"/>
      <c r="FI5398" s="5"/>
      <c r="FJ5398" s="164"/>
      <c r="FL5398" s="2"/>
      <c r="FN5398" s="2"/>
    </row>
    <row r="5399" spans="153:170" x14ac:dyDescent="0.35">
      <c r="EW5399" s="48"/>
      <c r="FB5399" s="5"/>
      <c r="FI5399" s="5"/>
      <c r="FJ5399" s="164"/>
      <c r="FL5399" s="2"/>
      <c r="FN5399" s="2"/>
    </row>
    <row r="5400" spans="153:170" x14ac:dyDescent="0.35">
      <c r="EW5400" s="48"/>
      <c r="FB5400" s="5"/>
      <c r="FI5400" s="5"/>
      <c r="FJ5400" s="164"/>
      <c r="FL5400" s="2"/>
      <c r="FN5400" s="2"/>
    </row>
    <row r="5401" spans="153:170" x14ac:dyDescent="0.35">
      <c r="EW5401" s="48"/>
      <c r="FB5401" s="5"/>
      <c r="FI5401" s="5"/>
      <c r="FJ5401" s="164"/>
      <c r="FL5401" s="2"/>
      <c r="FN5401" s="2"/>
    </row>
    <row r="5402" spans="153:170" x14ac:dyDescent="0.35">
      <c r="EW5402" s="48"/>
      <c r="FB5402" s="5"/>
      <c r="FI5402" s="5"/>
      <c r="FJ5402" s="164"/>
      <c r="FL5402" s="2"/>
      <c r="FN5402" s="2"/>
    </row>
    <row r="5403" spans="153:170" x14ac:dyDescent="0.35">
      <c r="EW5403" s="48"/>
      <c r="FB5403" s="5"/>
      <c r="FI5403" s="5"/>
      <c r="FJ5403" s="164"/>
      <c r="FL5403" s="2"/>
      <c r="FN5403" s="2"/>
    </row>
    <row r="5404" spans="153:170" x14ac:dyDescent="0.35">
      <c r="EW5404" s="48"/>
      <c r="FB5404" s="5"/>
      <c r="FI5404" s="5"/>
      <c r="FJ5404" s="164"/>
      <c r="FL5404" s="2"/>
      <c r="FN5404" s="2"/>
    </row>
    <row r="5405" spans="153:170" x14ac:dyDescent="0.35">
      <c r="EW5405" s="48"/>
      <c r="FB5405" s="5"/>
      <c r="FI5405" s="5"/>
      <c r="FJ5405" s="164"/>
      <c r="FL5405" s="2"/>
      <c r="FN5405" s="2"/>
    </row>
    <row r="5406" spans="153:170" x14ac:dyDescent="0.35">
      <c r="EW5406" s="48"/>
      <c r="FB5406" s="5"/>
      <c r="FI5406" s="5"/>
      <c r="FJ5406" s="164"/>
      <c r="FL5406" s="2"/>
      <c r="FN5406" s="2"/>
    </row>
    <row r="5407" spans="153:170" x14ac:dyDescent="0.35">
      <c r="EW5407" s="48"/>
      <c r="FB5407" s="5"/>
      <c r="FI5407" s="5"/>
      <c r="FJ5407" s="164"/>
      <c r="FL5407" s="2"/>
      <c r="FN5407" s="2"/>
    </row>
    <row r="5408" spans="153:170" x14ac:dyDescent="0.35">
      <c r="EW5408" s="48"/>
      <c r="FB5408" s="5"/>
      <c r="FI5408" s="5"/>
      <c r="FJ5408" s="164"/>
      <c r="FL5408" s="2"/>
      <c r="FN5408" s="2"/>
    </row>
    <row r="5409" spans="153:170" x14ac:dyDescent="0.35">
      <c r="EW5409" s="48"/>
      <c r="FB5409" s="5"/>
      <c r="FI5409" s="5"/>
      <c r="FJ5409" s="164"/>
      <c r="FL5409" s="2"/>
      <c r="FN5409" s="2"/>
    </row>
    <row r="5410" spans="153:170" x14ac:dyDescent="0.35">
      <c r="EW5410" s="48"/>
      <c r="FB5410" s="5"/>
      <c r="FI5410" s="5"/>
      <c r="FJ5410" s="164"/>
      <c r="FL5410" s="2"/>
      <c r="FN5410" s="2"/>
    </row>
    <row r="5411" spans="153:170" x14ac:dyDescent="0.35">
      <c r="EW5411" s="48"/>
      <c r="FB5411" s="5"/>
      <c r="FI5411" s="5"/>
      <c r="FJ5411" s="164"/>
      <c r="FL5411" s="2"/>
      <c r="FN5411" s="2"/>
    </row>
    <row r="5412" spans="153:170" x14ac:dyDescent="0.35">
      <c r="EW5412" s="48"/>
      <c r="FB5412" s="5"/>
      <c r="FI5412" s="5"/>
      <c r="FJ5412" s="164"/>
      <c r="FL5412" s="2"/>
      <c r="FN5412" s="2"/>
    </row>
    <row r="5413" spans="153:170" x14ac:dyDescent="0.35">
      <c r="EW5413" s="48"/>
      <c r="FB5413" s="5"/>
      <c r="FI5413" s="5"/>
      <c r="FJ5413" s="164"/>
      <c r="FL5413" s="2"/>
      <c r="FN5413" s="2"/>
    </row>
    <row r="5414" spans="153:170" x14ac:dyDescent="0.35">
      <c r="EW5414" s="48"/>
      <c r="FB5414" s="5"/>
      <c r="FI5414" s="5"/>
      <c r="FJ5414" s="164"/>
      <c r="FL5414" s="2"/>
      <c r="FN5414" s="2"/>
    </row>
    <row r="5415" spans="153:170" x14ac:dyDescent="0.35">
      <c r="EW5415" s="48"/>
      <c r="FB5415" s="5"/>
      <c r="FI5415" s="5"/>
      <c r="FJ5415" s="164"/>
      <c r="FL5415" s="2"/>
      <c r="FN5415" s="2"/>
    </row>
    <row r="5416" spans="153:170" x14ac:dyDescent="0.35">
      <c r="EW5416" s="48"/>
      <c r="FB5416" s="5"/>
      <c r="FI5416" s="5"/>
      <c r="FJ5416" s="164"/>
      <c r="FL5416" s="2"/>
      <c r="FN5416" s="2"/>
    </row>
    <row r="5417" spans="153:170" x14ac:dyDescent="0.35">
      <c r="EW5417" s="48"/>
      <c r="FB5417" s="5"/>
      <c r="FI5417" s="5"/>
      <c r="FJ5417" s="164"/>
      <c r="FL5417" s="2"/>
      <c r="FN5417" s="2"/>
    </row>
    <row r="5418" spans="153:170" x14ac:dyDescent="0.35">
      <c r="EW5418" s="48"/>
      <c r="FB5418" s="5"/>
      <c r="FI5418" s="5"/>
      <c r="FJ5418" s="164"/>
      <c r="FL5418" s="2"/>
      <c r="FN5418" s="2"/>
    </row>
    <row r="5419" spans="153:170" x14ac:dyDescent="0.35">
      <c r="EW5419" s="48"/>
      <c r="FB5419" s="5"/>
      <c r="FI5419" s="5"/>
      <c r="FJ5419" s="164"/>
      <c r="FL5419" s="2"/>
      <c r="FN5419" s="2"/>
    </row>
    <row r="5420" spans="153:170" x14ac:dyDescent="0.35">
      <c r="EW5420" s="48"/>
      <c r="FB5420" s="5"/>
      <c r="FI5420" s="5"/>
      <c r="FJ5420" s="164"/>
      <c r="FL5420" s="2"/>
      <c r="FN5420" s="2"/>
    </row>
    <row r="5421" spans="153:170" x14ac:dyDescent="0.35">
      <c r="EW5421" s="48"/>
      <c r="FB5421" s="5"/>
      <c r="FI5421" s="5"/>
      <c r="FJ5421" s="164"/>
      <c r="FL5421" s="2"/>
      <c r="FN5421" s="2"/>
    </row>
    <row r="5422" spans="153:170" x14ac:dyDescent="0.35">
      <c r="EW5422" s="48"/>
      <c r="FB5422" s="5"/>
      <c r="FI5422" s="5"/>
      <c r="FJ5422" s="164"/>
      <c r="FL5422" s="2"/>
      <c r="FN5422" s="2"/>
    </row>
    <row r="5423" spans="153:170" x14ac:dyDescent="0.35">
      <c r="EW5423" s="48"/>
      <c r="FB5423" s="5"/>
      <c r="FI5423" s="5"/>
      <c r="FJ5423" s="164"/>
      <c r="FL5423" s="2"/>
      <c r="FN5423" s="2"/>
    </row>
    <row r="5424" spans="153:170" x14ac:dyDescent="0.35">
      <c r="EW5424" s="48"/>
      <c r="FB5424" s="5"/>
      <c r="FI5424" s="5"/>
      <c r="FJ5424" s="164"/>
      <c r="FL5424" s="2"/>
      <c r="FN5424" s="2"/>
    </row>
    <row r="5425" spans="153:170" x14ac:dyDescent="0.35">
      <c r="EW5425" s="48"/>
      <c r="FB5425" s="5"/>
      <c r="FI5425" s="5"/>
      <c r="FJ5425" s="164"/>
      <c r="FL5425" s="2"/>
      <c r="FN5425" s="2"/>
    </row>
    <row r="5426" spans="153:170" x14ac:dyDescent="0.35">
      <c r="EW5426" s="48"/>
      <c r="FB5426" s="5"/>
      <c r="FI5426" s="5"/>
      <c r="FJ5426" s="164"/>
      <c r="FL5426" s="2"/>
      <c r="FN5426" s="2"/>
    </row>
    <row r="5427" spans="153:170" x14ac:dyDescent="0.35">
      <c r="EW5427" s="48"/>
      <c r="FB5427" s="5"/>
      <c r="FI5427" s="5"/>
      <c r="FJ5427" s="164"/>
      <c r="FL5427" s="2"/>
      <c r="FN5427" s="2"/>
    </row>
    <row r="5428" spans="153:170" x14ac:dyDescent="0.35">
      <c r="EW5428" s="48"/>
      <c r="FB5428" s="5"/>
      <c r="FI5428" s="5"/>
      <c r="FJ5428" s="164"/>
      <c r="FL5428" s="2"/>
      <c r="FN5428" s="2"/>
    </row>
    <row r="5429" spans="153:170" x14ac:dyDescent="0.35">
      <c r="EW5429" s="48"/>
      <c r="FB5429" s="5"/>
      <c r="FI5429" s="5"/>
      <c r="FJ5429" s="164"/>
      <c r="FL5429" s="2"/>
      <c r="FN5429" s="2"/>
    </row>
    <row r="5430" spans="153:170" x14ac:dyDescent="0.35">
      <c r="EW5430" s="48"/>
      <c r="FB5430" s="5"/>
      <c r="FI5430" s="5"/>
      <c r="FJ5430" s="164"/>
      <c r="FL5430" s="2"/>
      <c r="FN5430" s="2"/>
    </row>
    <row r="5431" spans="153:170" x14ac:dyDescent="0.35">
      <c r="EW5431" s="48"/>
      <c r="FB5431" s="5"/>
      <c r="FI5431" s="5"/>
      <c r="FJ5431" s="164"/>
      <c r="FL5431" s="2"/>
      <c r="FN5431" s="2"/>
    </row>
    <row r="5432" spans="153:170" x14ac:dyDescent="0.35">
      <c r="EW5432" s="48"/>
      <c r="FB5432" s="5"/>
      <c r="FI5432" s="5"/>
      <c r="FJ5432" s="164"/>
      <c r="FL5432" s="2"/>
      <c r="FN5432" s="2"/>
    </row>
    <row r="5433" spans="153:170" x14ac:dyDescent="0.35">
      <c r="EW5433" s="48"/>
      <c r="FB5433" s="5"/>
      <c r="FI5433" s="5"/>
      <c r="FJ5433" s="164"/>
      <c r="FL5433" s="2"/>
      <c r="FN5433" s="2"/>
    </row>
    <row r="5434" spans="153:170" x14ac:dyDescent="0.35">
      <c r="EW5434" s="48"/>
      <c r="FB5434" s="5"/>
      <c r="FI5434" s="5"/>
      <c r="FJ5434" s="164"/>
      <c r="FL5434" s="2"/>
      <c r="FN5434" s="2"/>
    </row>
    <row r="5435" spans="153:170" x14ac:dyDescent="0.35">
      <c r="EW5435" s="48"/>
      <c r="FB5435" s="5"/>
      <c r="FI5435" s="5"/>
      <c r="FJ5435" s="164"/>
      <c r="FL5435" s="2"/>
      <c r="FN5435" s="2"/>
    </row>
    <row r="5436" spans="153:170" x14ac:dyDescent="0.35">
      <c r="EW5436" s="48"/>
      <c r="FB5436" s="5"/>
      <c r="FI5436" s="5"/>
      <c r="FJ5436" s="164"/>
      <c r="FL5436" s="2"/>
      <c r="FN5436" s="2"/>
    </row>
    <row r="5437" spans="153:170" x14ac:dyDescent="0.35">
      <c r="EW5437" s="48"/>
      <c r="FB5437" s="5"/>
      <c r="FI5437" s="5"/>
      <c r="FJ5437" s="164"/>
      <c r="FL5437" s="2"/>
      <c r="FN5437" s="2"/>
    </row>
    <row r="5438" spans="153:170" x14ac:dyDescent="0.35">
      <c r="EW5438" s="48"/>
      <c r="FB5438" s="5"/>
      <c r="FI5438" s="5"/>
      <c r="FJ5438" s="164"/>
      <c r="FL5438" s="2"/>
      <c r="FN5438" s="2"/>
    </row>
    <row r="5439" spans="153:170" x14ac:dyDescent="0.35">
      <c r="EW5439" s="48"/>
      <c r="FB5439" s="5"/>
      <c r="FI5439" s="5"/>
      <c r="FJ5439" s="164"/>
      <c r="FL5439" s="2"/>
      <c r="FN5439" s="2"/>
    </row>
    <row r="5440" spans="153:170" x14ac:dyDescent="0.35">
      <c r="EW5440" s="48"/>
      <c r="FB5440" s="5"/>
      <c r="FI5440" s="5"/>
      <c r="FJ5440" s="164"/>
      <c r="FL5440" s="2"/>
      <c r="FN5440" s="2"/>
    </row>
    <row r="5441" spans="153:170" x14ac:dyDescent="0.35">
      <c r="EW5441" s="48"/>
      <c r="FB5441" s="5"/>
      <c r="FI5441" s="5"/>
      <c r="FJ5441" s="164"/>
      <c r="FL5441" s="2"/>
      <c r="FN5441" s="2"/>
    </row>
    <row r="5442" spans="153:170" x14ac:dyDescent="0.35">
      <c r="EW5442" s="48"/>
      <c r="FB5442" s="5"/>
      <c r="FI5442" s="5"/>
      <c r="FJ5442" s="164"/>
      <c r="FL5442" s="2"/>
      <c r="FN5442" s="2"/>
    </row>
    <row r="5443" spans="153:170" x14ac:dyDescent="0.35">
      <c r="EW5443" s="48"/>
      <c r="FB5443" s="5"/>
      <c r="FI5443" s="5"/>
      <c r="FJ5443" s="164"/>
      <c r="FL5443" s="2"/>
      <c r="FN5443" s="2"/>
    </row>
    <row r="5444" spans="153:170" x14ac:dyDescent="0.35">
      <c r="EW5444" s="48"/>
      <c r="FB5444" s="5"/>
      <c r="FI5444" s="5"/>
      <c r="FJ5444" s="164"/>
      <c r="FL5444" s="2"/>
      <c r="FN5444" s="2"/>
    </row>
    <row r="5445" spans="153:170" x14ac:dyDescent="0.35">
      <c r="EW5445" s="48"/>
      <c r="FB5445" s="5"/>
      <c r="FI5445" s="5"/>
      <c r="FJ5445" s="164"/>
      <c r="FL5445" s="2"/>
      <c r="FN5445" s="2"/>
    </row>
    <row r="5446" spans="153:170" x14ac:dyDescent="0.35">
      <c r="EW5446" s="48"/>
      <c r="FB5446" s="5"/>
      <c r="FI5446" s="5"/>
      <c r="FJ5446" s="164"/>
      <c r="FL5446" s="2"/>
      <c r="FN5446" s="2"/>
    </row>
    <row r="5447" spans="153:170" x14ac:dyDescent="0.35">
      <c r="EW5447" s="48"/>
      <c r="FB5447" s="5"/>
      <c r="FI5447" s="5"/>
      <c r="FJ5447" s="164"/>
      <c r="FL5447" s="2"/>
      <c r="FN5447" s="2"/>
    </row>
    <row r="5448" spans="153:170" x14ac:dyDescent="0.35">
      <c r="EW5448" s="48"/>
      <c r="FB5448" s="5"/>
      <c r="FI5448" s="5"/>
      <c r="FJ5448" s="164"/>
      <c r="FL5448" s="2"/>
      <c r="FN5448" s="2"/>
    </row>
    <row r="5449" spans="153:170" x14ac:dyDescent="0.35">
      <c r="EW5449" s="48"/>
      <c r="FB5449" s="5"/>
      <c r="FI5449" s="5"/>
      <c r="FJ5449" s="164"/>
      <c r="FL5449" s="2"/>
      <c r="FN5449" s="2"/>
    </row>
    <row r="5450" spans="153:170" x14ac:dyDescent="0.35">
      <c r="EW5450" s="48"/>
      <c r="FB5450" s="5"/>
      <c r="FI5450" s="5"/>
      <c r="FJ5450" s="164"/>
      <c r="FL5450" s="2"/>
      <c r="FN5450" s="2"/>
    </row>
    <row r="5451" spans="153:170" x14ac:dyDescent="0.35">
      <c r="EW5451" s="48"/>
      <c r="FB5451" s="5"/>
      <c r="FI5451" s="5"/>
      <c r="FJ5451" s="164"/>
      <c r="FL5451" s="2"/>
      <c r="FN5451" s="2"/>
    </row>
    <row r="5452" spans="153:170" x14ac:dyDescent="0.35">
      <c r="EW5452" s="48"/>
      <c r="FB5452" s="5"/>
      <c r="FI5452" s="5"/>
      <c r="FJ5452" s="164"/>
      <c r="FL5452" s="2"/>
      <c r="FN5452" s="2"/>
    </row>
    <row r="5453" spans="153:170" x14ac:dyDescent="0.35">
      <c r="EW5453" s="48"/>
      <c r="FB5453" s="5"/>
      <c r="FI5453" s="5"/>
      <c r="FJ5453" s="164"/>
      <c r="FL5453" s="2"/>
      <c r="FN5453" s="2"/>
    </row>
    <row r="5454" spans="153:170" x14ac:dyDescent="0.35">
      <c r="EW5454" s="48"/>
      <c r="FB5454" s="5"/>
      <c r="FI5454" s="5"/>
      <c r="FJ5454" s="164"/>
      <c r="FL5454" s="2"/>
      <c r="FN5454" s="2"/>
    </row>
    <row r="5455" spans="153:170" x14ac:dyDescent="0.35">
      <c r="EW5455" s="48"/>
      <c r="FB5455" s="5"/>
      <c r="FI5455" s="5"/>
      <c r="FJ5455" s="164"/>
      <c r="FL5455" s="2"/>
      <c r="FN5455" s="2"/>
    </row>
    <row r="5456" spans="153:170" x14ac:dyDescent="0.35">
      <c r="EW5456" s="48"/>
      <c r="FB5456" s="5"/>
      <c r="FI5456" s="5"/>
      <c r="FJ5456" s="164"/>
      <c r="FL5456" s="2"/>
      <c r="FN5456" s="2"/>
    </row>
    <row r="5457" spans="153:170" x14ac:dyDescent="0.35">
      <c r="EW5457" s="48"/>
      <c r="FB5457" s="5"/>
      <c r="FI5457" s="5"/>
      <c r="FJ5457" s="164"/>
      <c r="FL5457" s="2"/>
      <c r="FN5457" s="2"/>
    </row>
    <row r="5458" spans="153:170" x14ac:dyDescent="0.35">
      <c r="EW5458" s="48"/>
      <c r="FB5458" s="5"/>
      <c r="FI5458" s="5"/>
      <c r="FJ5458" s="164"/>
      <c r="FL5458" s="2"/>
      <c r="FN5458" s="2"/>
    </row>
    <row r="5459" spans="153:170" x14ac:dyDescent="0.35">
      <c r="EW5459" s="48"/>
      <c r="FB5459" s="5"/>
      <c r="FI5459" s="5"/>
      <c r="FJ5459" s="164"/>
      <c r="FL5459" s="2"/>
      <c r="FN5459" s="2"/>
    </row>
    <row r="5460" spans="153:170" x14ac:dyDescent="0.35">
      <c r="EW5460" s="48"/>
      <c r="FB5460" s="5"/>
      <c r="FI5460" s="5"/>
      <c r="FJ5460" s="164"/>
      <c r="FL5460" s="2"/>
      <c r="FN5460" s="2"/>
    </row>
    <row r="5461" spans="153:170" x14ac:dyDescent="0.35">
      <c r="EW5461" s="48"/>
      <c r="FB5461" s="5"/>
      <c r="FI5461" s="5"/>
      <c r="FJ5461" s="164"/>
      <c r="FL5461" s="2"/>
      <c r="FN5461" s="2"/>
    </row>
    <row r="5462" spans="153:170" x14ac:dyDescent="0.35">
      <c r="EW5462" s="48"/>
      <c r="FB5462" s="5"/>
      <c r="FI5462" s="5"/>
      <c r="FJ5462" s="164"/>
      <c r="FL5462" s="2"/>
      <c r="FN5462" s="2"/>
    </row>
    <row r="5463" spans="153:170" x14ac:dyDescent="0.35">
      <c r="EW5463" s="48"/>
      <c r="FB5463" s="5"/>
      <c r="FI5463" s="5"/>
      <c r="FJ5463" s="164"/>
      <c r="FL5463" s="2"/>
      <c r="FN5463" s="2"/>
    </row>
    <row r="5464" spans="153:170" x14ac:dyDescent="0.35">
      <c r="EW5464" s="48"/>
      <c r="FB5464" s="5"/>
      <c r="FI5464" s="5"/>
      <c r="FJ5464" s="164"/>
      <c r="FL5464" s="2"/>
      <c r="FN5464" s="2"/>
    </row>
    <row r="5465" spans="153:170" x14ac:dyDescent="0.35">
      <c r="EW5465" s="48"/>
      <c r="FB5465" s="5"/>
      <c r="FI5465" s="5"/>
      <c r="FJ5465" s="164"/>
      <c r="FL5465" s="2"/>
      <c r="FN5465" s="2"/>
    </row>
    <row r="5466" spans="153:170" x14ac:dyDescent="0.35">
      <c r="EW5466" s="48"/>
      <c r="FB5466" s="5"/>
      <c r="FI5466" s="5"/>
      <c r="FJ5466" s="164"/>
      <c r="FL5466" s="2"/>
      <c r="FN5466" s="2"/>
    </row>
    <row r="5467" spans="153:170" x14ac:dyDescent="0.35">
      <c r="EW5467" s="48"/>
      <c r="FB5467" s="5"/>
      <c r="FI5467" s="5"/>
      <c r="FJ5467" s="164"/>
      <c r="FL5467" s="2"/>
      <c r="FN5467" s="2"/>
    </row>
    <row r="5468" spans="153:170" x14ac:dyDescent="0.35">
      <c r="EW5468" s="48"/>
      <c r="FB5468" s="5"/>
      <c r="FI5468" s="5"/>
      <c r="FJ5468" s="164"/>
      <c r="FL5468" s="2"/>
      <c r="FN5468" s="2"/>
    </row>
    <row r="5469" spans="153:170" x14ac:dyDescent="0.35">
      <c r="EW5469" s="48"/>
      <c r="FB5469" s="5"/>
      <c r="FI5469" s="5"/>
      <c r="FJ5469" s="164"/>
      <c r="FL5469" s="2"/>
      <c r="FN5469" s="2"/>
    </row>
    <row r="5470" spans="153:170" x14ac:dyDescent="0.35">
      <c r="EW5470" s="48"/>
      <c r="FB5470" s="5"/>
      <c r="FI5470" s="5"/>
      <c r="FJ5470" s="164"/>
      <c r="FL5470" s="2"/>
      <c r="FN5470" s="2"/>
    </row>
    <row r="5471" spans="153:170" x14ac:dyDescent="0.35">
      <c r="EW5471" s="48"/>
      <c r="FB5471" s="5"/>
      <c r="FI5471" s="5"/>
      <c r="FJ5471" s="164"/>
      <c r="FL5471" s="2"/>
      <c r="FN5471" s="2"/>
    </row>
    <row r="5472" spans="153:170" x14ac:dyDescent="0.35">
      <c r="EW5472" s="48"/>
      <c r="FB5472" s="5"/>
      <c r="FI5472" s="5"/>
      <c r="FJ5472" s="164"/>
      <c r="FL5472" s="2"/>
      <c r="FN5472" s="2"/>
    </row>
    <row r="5473" spans="153:170" x14ac:dyDescent="0.35">
      <c r="EW5473" s="48"/>
      <c r="FB5473" s="5"/>
      <c r="FI5473" s="5"/>
      <c r="FJ5473" s="164"/>
      <c r="FL5473" s="2"/>
      <c r="FN5473" s="2"/>
    </row>
    <row r="5474" spans="153:170" x14ac:dyDescent="0.35">
      <c r="EW5474" s="48"/>
      <c r="FB5474" s="5"/>
      <c r="FI5474" s="5"/>
      <c r="FJ5474" s="164"/>
      <c r="FL5474" s="2"/>
      <c r="FN5474" s="2"/>
    </row>
    <row r="5475" spans="153:170" x14ac:dyDescent="0.35">
      <c r="EW5475" s="48"/>
      <c r="FB5475" s="5"/>
      <c r="FI5475" s="5"/>
      <c r="FJ5475" s="164"/>
      <c r="FL5475" s="2"/>
      <c r="FN5475" s="2"/>
    </row>
    <row r="5476" spans="153:170" x14ac:dyDescent="0.35">
      <c r="EW5476" s="48"/>
      <c r="FB5476" s="5"/>
      <c r="FI5476" s="5"/>
      <c r="FJ5476" s="164"/>
      <c r="FL5476" s="2"/>
      <c r="FN5476" s="2"/>
    </row>
    <row r="5477" spans="153:170" x14ac:dyDescent="0.35">
      <c r="EW5477" s="48"/>
      <c r="FB5477" s="5"/>
      <c r="FI5477" s="5"/>
      <c r="FJ5477" s="164"/>
      <c r="FL5477" s="2"/>
      <c r="FN5477" s="2"/>
    </row>
    <row r="5478" spans="153:170" x14ac:dyDescent="0.35">
      <c r="EW5478" s="48"/>
      <c r="FB5478" s="5"/>
      <c r="FI5478" s="5"/>
      <c r="FJ5478" s="164"/>
      <c r="FL5478" s="2"/>
      <c r="FN5478" s="2"/>
    </row>
    <row r="5479" spans="153:170" x14ac:dyDescent="0.35">
      <c r="EW5479" s="48"/>
      <c r="FB5479" s="5"/>
      <c r="FI5479" s="5"/>
      <c r="FJ5479" s="164"/>
      <c r="FL5479" s="2"/>
      <c r="FN5479" s="2"/>
    </row>
    <row r="5480" spans="153:170" x14ac:dyDescent="0.35">
      <c r="EW5480" s="48"/>
      <c r="FB5480" s="5"/>
      <c r="FI5480" s="5"/>
      <c r="FJ5480" s="164"/>
      <c r="FL5480" s="2"/>
      <c r="FN5480" s="2"/>
    </row>
    <row r="5481" spans="153:170" x14ac:dyDescent="0.35">
      <c r="EW5481" s="48"/>
      <c r="FB5481" s="5"/>
      <c r="FI5481" s="5"/>
      <c r="FJ5481" s="164"/>
      <c r="FL5481" s="2"/>
      <c r="FN5481" s="2"/>
    </row>
    <row r="5482" spans="153:170" x14ac:dyDescent="0.35">
      <c r="EW5482" s="48"/>
      <c r="FB5482" s="5"/>
      <c r="FI5482" s="5"/>
      <c r="FJ5482" s="164"/>
      <c r="FL5482" s="2"/>
      <c r="FN5482" s="2"/>
    </row>
    <row r="5483" spans="153:170" x14ac:dyDescent="0.35">
      <c r="EW5483" s="48"/>
      <c r="FB5483" s="5"/>
      <c r="FI5483" s="5"/>
      <c r="FJ5483" s="164"/>
      <c r="FL5483" s="2"/>
      <c r="FN5483" s="2"/>
    </row>
    <row r="5484" spans="153:170" x14ac:dyDescent="0.35">
      <c r="EW5484" s="48"/>
      <c r="FB5484" s="5"/>
      <c r="FI5484" s="5"/>
      <c r="FJ5484" s="164"/>
      <c r="FL5484" s="2"/>
      <c r="FN5484" s="2"/>
    </row>
    <row r="5485" spans="153:170" x14ac:dyDescent="0.35">
      <c r="EW5485" s="48"/>
      <c r="FB5485" s="5"/>
      <c r="FI5485" s="5"/>
      <c r="FJ5485" s="164"/>
      <c r="FL5485" s="2"/>
      <c r="FN5485" s="2"/>
    </row>
    <row r="5486" spans="153:170" x14ac:dyDescent="0.35">
      <c r="EW5486" s="48"/>
      <c r="FB5486" s="5"/>
      <c r="FI5486" s="5"/>
      <c r="FJ5486" s="164"/>
      <c r="FL5486" s="2"/>
      <c r="FN5486" s="2"/>
    </row>
    <row r="5487" spans="153:170" x14ac:dyDescent="0.35">
      <c r="EW5487" s="48"/>
      <c r="FB5487" s="5"/>
      <c r="FI5487" s="5"/>
      <c r="FJ5487" s="164"/>
      <c r="FL5487" s="2"/>
      <c r="FN5487" s="2"/>
    </row>
    <row r="5488" spans="153:170" x14ac:dyDescent="0.35">
      <c r="EW5488" s="48"/>
      <c r="FB5488" s="5"/>
      <c r="FI5488" s="5"/>
      <c r="FJ5488" s="164"/>
      <c r="FL5488" s="2"/>
      <c r="FN5488" s="2"/>
    </row>
    <row r="5489" spans="153:170" x14ac:dyDescent="0.35">
      <c r="EW5489" s="48"/>
      <c r="FB5489" s="5"/>
      <c r="FI5489" s="5"/>
      <c r="FJ5489" s="164"/>
      <c r="FL5489" s="2"/>
      <c r="FN5489" s="2"/>
    </row>
    <row r="5490" spans="153:170" x14ac:dyDescent="0.35">
      <c r="EW5490" s="48"/>
      <c r="FB5490" s="5"/>
      <c r="FI5490" s="5"/>
      <c r="FJ5490" s="164"/>
      <c r="FL5490" s="2"/>
      <c r="FN5490" s="2"/>
    </row>
    <row r="5491" spans="153:170" x14ac:dyDescent="0.35">
      <c r="EW5491" s="48"/>
      <c r="FB5491" s="5"/>
      <c r="FI5491" s="5"/>
      <c r="FJ5491" s="164"/>
      <c r="FL5491" s="2"/>
      <c r="FN5491" s="2"/>
    </row>
    <row r="5492" spans="153:170" x14ac:dyDescent="0.35">
      <c r="EW5492" s="48"/>
      <c r="FB5492" s="5"/>
      <c r="FI5492" s="5"/>
      <c r="FJ5492" s="164"/>
      <c r="FL5492" s="2"/>
      <c r="FN5492" s="2"/>
    </row>
    <row r="5493" spans="153:170" x14ac:dyDescent="0.35">
      <c r="EW5493" s="48"/>
      <c r="FB5493" s="5"/>
      <c r="FI5493" s="5"/>
      <c r="FJ5493" s="164"/>
      <c r="FL5493" s="2"/>
      <c r="FN5493" s="2"/>
    </row>
    <row r="5494" spans="153:170" x14ac:dyDescent="0.35">
      <c r="EW5494" s="48"/>
      <c r="FB5494" s="5"/>
      <c r="FI5494" s="5"/>
      <c r="FJ5494" s="164"/>
      <c r="FL5494" s="2"/>
      <c r="FN5494" s="2"/>
    </row>
    <row r="5495" spans="153:170" x14ac:dyDescent="0.35">
      <c r="EW5495" s="48"/>
      <c r="FB5495" s="5"/>
      <c r="FI5495" s="5"/>
      <c r="FJ5495" s="164"/>
      <c r="FL5495" s="2"/>
      <c r="FN5495" s="2"/>
    </row>
    <row r="5496" spans="153:170" x14ac:dyDescent="0.35">
      <c r="EW5496" s="48"/>
      <c r="FB5496" s="5"/>
      <c r="FI5496" s="5"/>
      <c r="FJ5496" s="164"/>
      <c r="FL5496" s="2"/>
      <c r="FN5496" s="2"/>
    </row>
    <row r="5497" spans="153:170" x14ac:dyDescent="0.35">
      <c r="EW5497" s="48"/>
      <c r="FB5497" s="5"/>
      <c r="FI5497" s="5"/>
      <c r="FJ5497" s="164"/>
      <c r="FL5497" s="2"/>
      <c r="FN5497" s="2"/>
    </row>
    <row r="5498" spans="153:170" x14ac:dyDescent="0.35">
      <c r="EW5498" s="48"/>
      <c r="FB5498" s="5"/>
      <c r="FI5498" s="5"/>
      <c r="FJ5498" s="164"/>
      <c r="FL5498" s="2"/>
      <c r="FN5498" s="2"/>
    </row>
    <row r="5499" spans="153:170" x14ac:dyDescent="0.35">
      <c r="EW5499" s="48"/>
      <c r="FB5499" s="5"/>
      <c r="FI5499" s="5"/>
      <c r="FJ5499" s="164"/>
      <c r="FL5499" s="2"/>
      <c r="FN5499" s="2"/>
    </row>
    <row r="5500" spans="153:170" x14ac:dyDescent="0.35">
      <c r="EW5500" s="48"/>
      <c r="FB5500" s="5"/>
      <c r="FI5500" s="5"/>
      <c r="FJ5500" s="164"/>
      <c r="FL5500" s="2"/>
      <c r="FN5500" s="2"/>
    </row>
    <row r="5501" spans="153:170" x14ac:dyDescent="0.35">
      <c r="EW5501" s="48"/>
      <c r="FB5501" s="5"/>
      <c r="FI5501" s="5"/>
      <c r="FJ5501" s="164"/>
      <c r="FL5501" s="2"/>
      <c r="FN5501" s="2"/>
    </row>
    <row r="5502" spans="153:170" x14ac:dyDescent="0.35">
      <c r="EW5502" s="48"/>
      <c r="FB5502" s="5"/>
      <c r="FI5502" s="5"/>
      <c r="FJ5502" s="164"/>
      <c r="FL5502" s="2"/>
      <c r="FN5502" s="2"/>
    </row>
    <row r="5503" spans="153:170" x14ac:dyDescent="0.35">
      <c r="EW5503" s="48"/>
      <c r="FB5503" s="5"/>
      <c r="FI5503" s="5"/>
      <c r="FJ5503" s="164"/>
      <c r="FL5503" s="2"/>
      <c r="FN5503" s="2"/>
    </row>
    <row r="5504" spans="153:170" x14ac:dyDescent="0.35">
      <c r="EW5504" s="48"/>
      <c r="FB5504" s="5"/>
      <c r="FI5504" s="5"/>
      <c r="FJ5504" s="164"/>
      <c r="FL5504" s="2"/>
      <c r="FN5504" s="2"/>
    </row>
    <row r="5505" spans="153:170" x14ac:dyDescent="0.35">
      <c r="EW5505" s="48"/>
      <c r="FB5505" s="5"/>
      <c r="FI5505" s="5"/>
      <c r="FJ5505" s="164"/>
      <c r="FL5505" s="2"/>
      <c r="FN5505" s="2"/>
    </row>
    <row r="5506" spans="153:170" x14ac:dyDescent="0.35">
      <c r="EW5506" s="48"/>
      <c r="FB5506" s="5"/>
      <c r="FI5506" s="5"/>
      <c r="FJ5506" s="164"/>
      <c r="FL5506" s="2"/>
      <c r="FN5506" s="2"/>
    </row>
    <row r="5507" spans="153:170" x14ac:dyDescent="0.35">
      <c r="EW5507" s="48"/>
      <c r="FB5507" s="5"/>
      <c r="FI5507" s="5"/>
      <c r="FJ5507" s="164"/>
      <c r="FL5507" s="2"/>
      <c r="FN5507" s="2"/>
    </row>
    <row r="5508" spans="153:170" x14ac:dyDescent="0.35">
      <c r="EW5508" s="48"/>
      <c r="FB5508" s="5"/>
      <c r="FI5508" s="5"/>
      <c r="FJ5508" s="164"/>
      <c r="FL5508" s="2"/>
      <c r="FN5508" s="2"/>
    </row>
    <row r="5509" spans="153:170" x14ac:dyDescent="0.35">
      <c r="EW5509" s="48"/>
      <c r="FB5509" s="5"/>
      <c r="FI5509" s="5"/>
      <c r="FJ5509" s="164"/>
      <c r="FL5509" s="2"/>
      <c r="FN5509" s="2"/>
    </row>
    <row r="5510" spans="153:170" x14ac:dyDescent="0.35">
      <c r="EW5510" s="48"/>
      <c r="FB5510" s="5"/>
      <c r="FI5510" s="5"/>
      <c r="FJ5510" s="164"/>
      <c r="FL5510" s="2"/>
      <c r="FN5510" s="2"/>
    </row>
    <row r="5511" spans="153:170" x14ac:dyDescent="0.35">
      <c r="EW5511" s="48"/>
      <c r="FB5511" s="5"/>
      <c r="FI5511" s="5"/>
      <c r="FJ5511" s="164"/>
      <c r="FL5511" s="2"/>
      <c r="FN5511" s="2"/>
    </row>
    <row r="5512" spans="153:170" x14ac:dyDescent="0.35">
      <c r="EW5512" s="48"/>
      <c r="FB5512" s="5"/>
      <c r="FI5512" s="5"/>
      <c r="FJ5512" s="164"/>
      <c r="FL5512" s="2"/>
      <c r="FN5512" s="2"/>
    </row>
    <row r="5513" spans="153:170" x14ac:dyDescent="0.35">
      <c r="EW5513" s="48"/>
      <c r="FB5513" s="5"/>
      <c r="FI5513" s="5"/>
      <c r="FJ5513" s="164"/>
      <c r="FL5513" s="2"/>
      <c r="FN5513" s="2"/>
    </row>
    <row r="5514" spans="153:170" x14ac:dyDescent="0.35">
      <c r="EW5514" s="48"/>
      <c r="FB5514" s="5"/>
      <c r="FI5514" s="5"/>
      <c r="FJ5514" s="164"/>
      <c r="FL5514" s="2"/>
      <c r="FN5514" s="2"/>
    </row>
    <row r="5515" spans="153:170" x14ac:dyDescent="0.35">
      <c r="EW5515" s="48"/>
      <c r="FB5515" s="5"/>
      <c r="FI5515" s="5"/>
      <c r="FJ5515" s="164"/>
      <c r="FL5515" s="2"/>
      <c r="FN5515" s="2"/>
    </row>
    <row r="5516" spans="153:170" x14ac:dyDescent="0.35">
      <c r="EW5516" s="48"/>
      <c r="FB5516" s="5"/>
      <c r="FI5516" s="5"/>
      <c r="FJ5516" s="164"/>
      <c r="FL5516" s="2"/>
      <c r="FN5516" s="2"/>
    </row>
    <row r="5517" spans="153:170" x14ac:dyDescent="0.35">
      <c r="EW5517" s="48"/>
      <c r="FB5517" s="5"/>
      <c r="FI5517" s="5"/>
      <c r="FJ5517" s="164"/>
      <c r="FL5517" s="2"/>
      <c r="FN5517" s="2"/>
    </row>
    <row r="5518" spans="153:170" x14ac:dyDescent="0.35">
      <c r="EW5518" s="48"/>
      <c r="FB5518" s="5"/>
      <c r="FI5518" s="5"/>
      <c r="FJ5518" s="164"/>
      <c r="FL5518" s="2"/>
      <c r="FN5518" s="2"/>
    </row>
    <row r="5519" spans="153:170" x14ac:dyDescent="0.35">
      <c r="EW5519" s="48"/>
      <c r="FB5519" s="5"/>
      <c r="FI5519" s="5"/>
      <c r="FJ5519" s="164"/>
      <c r="FL5519" s="2"/>
      <c r="FN5519" s="2"/>
    </row>
    <row r="5520" spans="153:170" x14ac:dyDescent="0.35">
      <c r="EW5520" s="48"/>
      <c r="FB5520" s="5"/>
      <c r="FI5520" s="5"/>
      <c r="FJ5520" s="164"/>
      <c r="FL5520" s="2"/>
      <c r="FN5520" s="2"/>
    </row>
    <row r="5521" spans="153:170" x14ac:dyDescent="0.35">
      <c r="EW5521" s="48"/>
      <c r="FB5521" s="5"/>
      <c r="FI5521" s="5"/>
      <c r="FJ5521" s="164"/>
      <c r="FL5521" s="2"/>
      <c r="FN5521" s="2"/>
    </row>
    <row r="5522" spans="153:170" x14ac:dyDescent="0.35">
      <c r="EW5522" s="48"/>
      <c r="FB5522" s="5"/>
      <c r="FI5522" s="5"/>
      <c r="FJ5522" s="164"/>
      <c r="FL5522" s="2"/>
      <c r="FN5522" s="2"/>
    </row>
    <row r="5523" spans="153:170" x14ac:dyDescent="0.35">
      <c r="EW5523" s="48"/>
      <c r="FB5523" s="5"/>
      <c r="FI5523" s="5"/>
      <c r="FJ5523" s="164"/>
      <c r="FL5523" s="2"/>
      <c r="FN5523" s="2"/>
    </row>
    <row r="5524" spans="153:170" x14ac:dyDescent="0.35">
      <c r="EW5524" s="48"/>
      <c r="FB5524" s="5"/>
      <c r="FI5524" s="5"/>
      <c r="FJ5524" s="164"/>
      <c r="FL5524" s="2"/>
      <c r="FN5524" s="2"/>
    </row>
    <row r="5525" spans="153:170" x14ac:dyDescent="0.35">
      <c r="EW5525" s="48"/>
      <c r="FB5525" s="5"/>
      <c r="FI5525" s="5"/>
      <c r="FJ5525" s="164"/>
      <c r="FL5525" s="2"/>
      <c r="FN5525" s="2"/>
    </row>
    <row r="5526" spans="153:170" x14ac:dyDescent="0.35">
      <c r="EW5526" s="48"/>
      <c r="FB5526" s="5"/>
      <c r="FI5526" s="5"/>
      <c r="FJ5526" s="164"/>
      <c r="FL5526" s="2"/>
      <c r="FN5526" s="2"/>
    </row>
    <row r="5527" spans="153:170" x14ac:dyDescent="0.35">
      <c r="EW5527" s="48"/>
      <c r="FB5527" s="5"/>
      <c r="FI5527" s="5"/>
      <c r="FJ5527" s="164"/>
      <c r="FL5527" s="2"/>
      <c r="FN5527" s="2"/>
    </row>
    <row r="5528" spans="153:170" x14ac:dyDescent="0.35">
      <c r="EW5528" s="48"/>
      <c r="FB5528" s="5"/>
      <c r="FI5528" s="5"/>
      <c r="FJ5528" s="164"/>
      <c r="FL5528" s="2"/>
      <c r="FN5528" s="2"/>
    </row>
    <row r="5529" spans="153:170" x14ac:dyDescent="0.35">
      <c r="EW5529" s="48"/>
      <c r="FB5529" s="5"/>
      <c r="FI5529" s="5"/>
      <c r="FJ5529" s="164"/>
      <c r="FL5529" s="2"/>
      <c r="FN5529" s="2"/>
    </row>
    <row r="5530" spans="153:170" x14ac:dyDescent="0.35">
      <c r="EW5530" s="48"/>
      <c r="FB5530" s="5"/>
      <c r="FI5530" s="5"/>
      <c r="FJ5530" s="164"/>
      <c r="FL5530" s="2"/>
      <c r="FN5530" s="2"/>
    </row>
    <row r="5531" spans="153:170" x14ac:dyDescent="0.35">
      <c r="EW5531" s="48"/>
      <c r="FB5531" s="5"/>
      <c r="FI5531" s="5"/>
      <c r="FJ5531" s="164"/>
      <c r="FL5531" s="2"/>
      <c r="FN5531" s="2"/>
    </row>
    <row r="5532" spans="153:170" x14ac:dyDescent="0.35">
      <c r="EW5532" s="48"/>
      <c r="FB5532" s="5"/>
      <c r="FI5532" s="5"/>
      <c r="FJ5532" s="164"/>
      <c r="FL5532" s="2"/>
      <c r="FN5532" s="2"/>
    </row>
    <row r="5533" spans="153:170" x14ac:dyDescent="0.35">
      <c r="EW5533" s="48"/>
      <c r="FB5533" s="5"/>
      <c r="FI5533" s="5"/>
      <c r="FJ5533" s="164"/>
      <c r="FL5533" s="2"/>
      <c r="FN5533" s="2"/>
    </row>
    <row r="5534" spans="153:170" x14ac:dyDescent="0.35">
      <c r="EW5534" s="48"/>
      <c r="FB5534" s="5"/>
      <c r="FI5534" s="5"/>
      <c r="FJ5534" s="164"/>
      <c r="FL5534" s="2"/>
      <c r="FN5534" s="2"/>
    </row>
    <row r="5535" spans="153:170" x14ac:dyDescent="0.35">
      <c r="EW5535" s="48"/>
      <c r="FB5535" s="5"/>
      <c r="FI5535" s="5"/>
      <c r="FJ5535" s="164"/>
      <c r="FL5535" s="2"/>
      <c r="FN5535" s="2"/>
    </row>
    <row r="5536" spans="153:170" x14ac:dyDescent="0.35">
      <c r="EW5536" s="48"/>
      <c r="FB5536" s="5"/>
      <c r="FI5536" s="5"/>
      <c r="FJ5536" s="164"/>
      <c r="FL5536" s="2"/>
      <c r="FN5536" s="2"/>
    </row>
    <row r="5537" spans="153:170" x14ac:dyDescent="0.35">
      <c r="EW5537" s="48"/>
      <c r="FB5537" s="5"/>
      <c r="FI5537" s="5"/>
      <c r="FJ5537" s="164"/>
      <c r="FL5537" s="2"/>
      <c r="FN5537" s="2"/>
    </row>
    <row r="5538" spans="153:170" x14ac:dyDescent="0.35">
      <c r="EW5538" s="48"/>
      <c r="FB5538" s="5"/>
      <c r="FI5538" s="5"/>
      <c r="FJ5538" s="164"/>
      <c r="FL5538" s="2"/>
      <c r="FN5538" s="2"/>
    </row>
    <row r="5539" spans="153:170" x14ac:dyDescent="0.35">
      <c r="EW5539" s="48"/>
      <c r="FB5539" s="5"/>
      <c r="FI5539" s="5"/>
      <c r="FJ5539" s="164"/>
      <c r="FL5539" s="2"/>
      <c r="FN5539" s="2"/>
    </row>
    <row r="5540" spans="153:170" x14ac:dyDescent="0.35">
      <c r="EW5540" s="48"/>
      <c r="FB5540" s="5"/>
      <c r="FI5540" s="5"/>
      <c r="FJ5540" s="164"/>
      <c r="FL5540" s="2"/>
      <c r="FN5540" s="2"/>
    </row>
    <row r="5541" spans="153:170" x14ac:dyDescent="0.35">
      <c r="EW5541" s="48"/>
      <c r="FB5541" s="5"/>
      <c r="FI5541" s="5"/>
      <c r="FJ5541" s="164"/>
      <c r="FL5541" s="2"/>
      <c r="FN5541" s="2"/>
    </row>
    <row r="5542" spans="153:170" x14ac:dyDescent="0.35">
      <c r="EW5542" s="48"/>
      <c r="FB5542" s="5"/>
      <c r="FI5542" s="5"/>
      <c r="FJ5542" s="164"/>
      <c r="FL5542" s="2"/>
      <c r="FN5542" s="2"/>
    </row>
    <row r="5543" spans="153:170" x14ac:dyDescent="0.35">
      <c r="EW5543" s="48"/>
      <c r="FB5543" s="5"/>
      <c r="FI5543" s="5"/>
      <c r="FJ5543" s="164"/>
      <c r="FL5543" s="2"/>
      <c r="FN5543" s="2"/>
    </row>
    <row r="5544" spans="153:170" x14ac:dyDescent="0.35">
      <c r="EW5544" s="48"/>
      <c r="FB5544" s="5"/>
      <c r="FI5544" s="5"/>
      <c r="FJ5544" s="164"/>
      <c r="FL5544" s="2"/>
      <c r="FN5544" s="2"/>
    </row>
    <row r="5545" spans="153:170" x14ac:dyDescent="0.35">
      <c r="EW5545" s="48"/>
      <c r="FB5545" s="5"/>
      <c r="FI5545" s="5"/>
      <c r="FJ5545" s="164"/>
      <c r="FL5545" s="2"/>
      <c r="FN5545" s="2"/>
    </row>
    <row r="5546" spans="153:170" x14ac:dyDescent="0.35">
      <c r="EW5546" s="48"/>
      <c r="FB5546" s="5"/>
      <c r="FI5546" s="5"/>
      <c r="FJ5546" s="164"/>
      <c r="FL5546" s="2"/>
      <c r="FN5546" s="2"/>
    </row>
    <row r="5547" spans="153:170" x14ac:dyDescent="0.35">
      <c r="EW5547" s="48"/>
      <c r="FB5547" s="5"/>
      <c r="FI5547" s="5"/>
      <c r="FJ5547" s="164"/>
      <c r="FL5547" s="2"/>
      <c r="FN5547" s="2"/>
    </row>
    <row r="5548" spans="153:170" x14ac:dyDescent="0.35">
      <c r="EW5548" s="48"/>
      <c r="FB5548" s="5"/>
      <c r="FI5548" s="5"/>
      <c r="FJ5548" s="164"/>
      <c r="FL5548" s="2"/>
      <c r="FN5548" s="2"/>
    </row>
    <row r="5549" spans="153:170" x14ac:dyDescent="0.35">
      <c r="EW5549" s="48"/>
      <c r="FB5549" s="5"/>
      <c r="FI5549" s="5"/>
      <c r="FJ5549" s="164"/>
      <c r="FL5549" s="2"/>
      <c r="FN5549" s="2"/>
    </row>
    <row r="5550" spans="153:170" x14ac:dyDescent="0.35">
      <c r="EW5550" s="48"/>
      <c r="FB5550" s="5"/>
      <c r="FI5550" s="5"/>
      <c r="FJ5550" s="164"/>
      <c r="FL5550" s="2"/>
      <c r="FN5550" s="2"/>
    </row>
    <row r="5551" spans="153:170" x14ac:dyDescent="0.35">
      <c r="EW5551" s="48"/>
      <c r="FB5551" s="5"/>
      <c r="FI5551" s="5"/>
      <c r="FJ5551" s="164"/>
      <c r="FL5551" s="2"/>
      <c r="FN5551" s="2"/>
    </row>
    <row r="5552" spans="153:170" x14ac:dyDescent="0.35">
      <c r="EW5552" s="48"/>
      <c r="FB5552" s="5"/>
      <c r="FI5552" s="5"/>
      <c r="FJ5552" s="164"/>
      <c r="FL5552" s="2"/>
      <c r="FN5552" s="2"/>
    </row>
    <row r="5553" spans="153:170" x14ac:dyDescent="0.35">
      <c r="EW5553" s="48"/>
      <c r="FB5553" s="5"/>
      <c r="FI5553" s="5"/>
      <c r="FJ5553" s="164"/>
      <c r="FL5553" s="2"/>
      <c r="FN5553" s="2"/>
    </row>
    <row r="5554" spans="153:170" x14ac:dyDescent="0.35">
      <c r="EW5554" s="48"/>
      <c r="FB5554" s="5"/>
      <c r="FI5554" s="5"/>
      <c r="FJ5554" s="164"/>
      <c r="FL5554" s="2"/>
      <c r="FN5554" s="2"/>
    </row>
    <row r="5555" spans="153:170" x14ac:dyDescent="0.35">
      <c r="EW5555" s="48"/>
      <c r="FB5555" s="5"/>
      <c r="FI5555" s="5"/>
      <c r="FJ5555" s="164"/>
      <c r="FL5555" s="2"/>
      <c r="FN5555" s="2"/>
    </row>
    <row r="5556" spans="153:170" x14ac:dyDescent="0.35">
      <c r="EW5556" s="48"/>
      <c r="FB5556" s="5"/>
      <c r="FI5556" s="5"/>
      <c r="FJ5556" s="164"/>
      <c r="FL5556" s="2"/>
      <c r="FN5556" s="2"/>
    </row>
    <row r="5557" spans="153:170" x14ac:dyDescent="0.35">
      <c r="EW5557" s="48"/>
      <c r="FB5557" s="5"/>
      <c r="FI5557" s="5"/>
      <c r="FJ5557" s="164"/>
      <c r="FL5557" s="2"/>
      <c r="FN5557" s="2"/>
    </row>
    <row r="5558" spans="153:170" x14ac:dyDescent="0.35">
      <c r="EW5558" s="48"/>
      <c r="FB5558" s="5"/>
      <c r="FI5558" s="5"/>
      <c r="FJ5558" s="164"/>
      <c r="FL5558" s="2"/>
      <c r="FN5558" s="2"/>
    </row>
    <row r="5559" spans="153:170" x14ac:dyDescent="0.35">
      <c r="EW5559" s="48"/>
      <c r="FB5559" s="5"/>
      <c r="FI5559" s="5"/>
      <c r="FJ5559" s="164"/>
      <c r="FL5559" s="2"/>
      <c r="FN5559" s="2"/>
    </row>
    <row r="5560" spans="153:170" x14ac:dyDescent="0.35">
      <c r="EW5560" s="48"/>
      <c r="FB5560" s="5"/>
      <c r="FI5560" s="5"/>
      <c r="FJ5560" s="164"/>
      <c r="FL5560" s="2"/>
      <c r="FN5560" s="2"/>
    </row>
    <row r="5561" spans="153:170" x14ac:dyDescent="0.35">
      <c r="EW5561" s="48"/>
      <c r="FB5561" s="5"/>
      <c r="FI5561" s="5"/>
      <c r="FJ5561" s="164"/>
      <c r="FL5561" s="2"/>
      <c r="FN5561" s="2"/>
    </row>
    <row r="5562" spans="153:170" x14ac:dyDescent="0.35">
      <c r="EW5562" s="48"/>
      <c r="FB5562" s="5"/>
      <c r="FI5562" s="5"/>
      <c r="FJ5562" s="164"/>
      <c r="FL5562" s="2"/>
      <c r="FN5562" s="2"/>
    </row>
    <row r="5563" spans="153:170" x14ac:dyDescent="0.35">
      <c r="EW5563" s="48"/>
      <c r="FB5563" s="5"/>
      <c r="FI5563" s="5"/>
      <c r="FJ5563" s="164"/>
      <c r="FL5563" s="2"/>
      <c r="FN5563" s="2"/>
    </row>
    <row r="5564" spans="153:170" x14ac:dyDescent="0.35">
      <c r="EW5564" s="48"/>
      <c r="FB5564" s="5"/>
      <c r="FI5564" s="5"/>
      <c r="FJ5564" s="164"/>
      <c r="FL5564" s="2"/>
      <c r="FN5564" s="2"/>
    </row>
    <row r="5565" spans="153:170" x14ac:dyDescent="0.35">
      <c r="EW5565" s="48"/>
      <c r="FB5565" s="5"/>
      <c r="FI5565" s="5"/>
      <c r="FJ5565" s="164"/>
      <c r="FL5565" s="2"/>
      <c r="FN5565" s="2"/>
    </row>
    <row r="5566" spans="153:170" x14ac:dyDescent="0.35">
      <c r="EW5566" s="48"/>
      <c r="FB5566" s="5"/>
      <c r="FI5566" s="5"/>
      <c r="FJ5566" s="164"/>
      <c r="FL5566" s="2"/>
      <c r="FN5566" s="2"/>
    </row>
    <row r="5567" spans="153:170" x14ac:dyDescent="0.35">
      <c r="EW5567" s="48"/>
      <c r="FB5567" s="5"/>
      <c r="FI5567" s="5"/>
      <c r="FJ5567" s="164"/>
      <c r="FL5567" s="2"/>
      <c r="FN5567" s="2"/>
    </row>
    <row r="5568" spans="153:170" x14ac:dyDescent="0.35">
      <c r="EW5568" s="48"/>
      <c r="FB5568" s="5"/>
      <c r="FI5568" s="5"/>
      <c r="FJ5568" s="164"/>
      <c r="FL5568" s="2"/>
      <c r="FN5568" s="2"/>
    </row>
    <row r="5569" spans="153:170" x14ac:dyDescent="0.35">
      <c r="EW5569" s="48"/>
      <c r="FB5569" s="5"/>
      <c r="FI5569" s="5"/>
      <c r="FJ5569" s="164"/>
      <c r="FL5569" s="2"/>
      <c r="FN5569" s="2"/>
    </row>
    <row r="5570" spans="153:170" x14ac:dyDescent="0.35">
      <c r="EW5570" s="48"/>
      <c r="FB5570" s="5"/>
      <c r="FI5570" s="5"/>
      <c r="FJ5570" s="164"/>
      <c r="FL5570" s="2"/>
      <c r="FN5570" s="2"/>
    </row>
    <row r="5571" spans="153:170" x14ac:dyDescent="0.35">
      <c r="EW5571" s="48"/>
      <c r="FB5571" s="5"/>
      <c r="FI5571" s="5"/>
      <c r="FJ5571" s="164"/>
      <c r="FL5571" s="2"/>
      <c r="FN5571" s="2"/>
    </row>
    <row r="5572" spans="153:170" x14ac:dyDescent="0.35">
      <c r="EW5572" s="48"/>
      <c r="FB5572" s="5"/>
      <c r="FI5572" s="5"/>
      <c r="FJ5572" s="164"/>
      <c r="FL5572" s="2"/>
      <c r="FN5572" s="2"/>
    </row>
    <row r="5573" spans="153:170" x14ac:dyDescent="0.35">
      <c r="EW5573" s="48"/>
      <c r="FB5573" s="5"/>
      <c r="FI5573" s="5"/>
      <c r="FJ5573" s="164"/>
      <c r="FL5573" s="2"/>
      <c r="FN5573" s="2"/>
    </row>
    <row r="5574" spans="153:170" x14ac:dyDescent="0.35">
      <c r="EW5574" s="48"/>
      <c r="FB5574" s="5"/>
      <c r="FI5574" s="5"/>
      <c r="FJ5574" s="164"/>
      <c r="FL5574" s="2"/>
      <c r="FN5574" s="2"/>
    </row>
    <row r="5575" spans="153:170" x14ac:dyDescent="0.35">
      <c r="EW5575" s="48"/>
      <c r="FB5575" s="5"/>
      <c r="FI5575" s="5"/>
      <c r="FJ5575" s="164"/>
      <c r="FL5575" s="2"/>
      <c r="FN5575" s="2"/>
    </row>
    <row r="5576" spans="153:170" x14ac:dyDescent="0.35">
      <c r="EW5576" s="48"/>
      <c r="FB5576" s="5"/>
      <c r="FI5576" s="5"/>
      <c r="FJ5576" s="164"/>
      <c r="FL5576" s="2"/>
      <c r="FN5576" s="2"/>
    </row>
    <row r="5577" spans="153:170" x14ac:dyDescent="0.35">
      <c r="EW5577" s="48"/>
      <c r="FB5577" s="5"/>
      <c r="FI5577" s="5"/>
      <c r="FJ5577" s="164"/>
      <c r="FL5577" s="2"/>
      <c r="FN5577" s="2"/>
    </row>
    <row r="5578" spans="153:170" x14ac:dyDescent="0.35">
      <c r="EW5578" s="48"/>
      <c r="FB5578" s="5"/>
      <c r="FI5578" s="5"/>
      <c r="FJ5578" s="164"/>
      <c r="FL5578" s="2"/>
      <c r="FN5578" s="2"/>
    </row>
    <row r="5579" spans="153:170" x14ac:dyDescent="0.35">
      <c r="EW5579" s="48"/>
      <c r="FB5579" s="5"/>
      <c r="FI5579" s="5"/>
      <c r="FJ5579" s="164"/>
      <c r="FL5579" s="2"/>
      <c r="FN5579" s="2"/>
    </row>
    <row r="5580" spans="153:170" x14ac:dyDescent="0.35">
      <c r="EW5580" s="48"/>
      <c r="FB5580" s="5"/>
      <c r="FI5580" s="5"/>
      <c r="FJ5580" s="164"/>
      <c r="FL5580" s="2"/>
      <c r="FN5580" s="2"/>
    </row>
    <row r="5581" spans="153:170" x14ac:dyDescent="0.35">
      <c r="EW5581" s="48"/>
      <c r="FB5581" s="5"/>
      <c r="FI5581" s="5"/>
      <c r="FJ5581" s="164"/>
      <c r="FL5581" s="2"/>
      <c r="FN5581" s="2"/>
    </row>
    <row r="5582" spans="153:170" x14ac:dyDescent="0.35">
      <c r="EW5582" s="48"/>
      <c r="FB5582" s="5"/>
      <c r="FI5582" s="5"/>
      <c r="FJ5582" s="164"/>
      <c r="FL5582" s="2"/>
      <c r="FN5582" s="2"/>
    </row>
    <row r="5583" spans="153:170" x14ac:dyDescent="0.35">
      <c r="EW5583" s="48"/>
      <c r="FB5583" s="5"/>
      <c r="FI5583" s="5"/>
      <c r="FJ5583" s="164"/>
      <c r="FL5583" s="2"/>
      <c r="FN5583" s="2"/>
    </row>
    <row r="5584" spans="153:170" x14ac:dyDescent="0.35">
      <c r="EW5584" s="48"/>
      <c r="FB5584" s="5"/>
      <c r="FI5584" s="5"/>
      <c r="FJ5584" s="164"/>
      <c r="FL5584" s="2"/>
      <c r="FN5584" s="2"/>
    </row>
    <row r="5585" spans="153:170" x14ac:dyDescent="0.35">
      <c r="EW5585" s="48"/>
      <c r="FB5585" s="5"/>
      <c r="FI5585" s="5"/>
      <c r="FJ5585" s="164"/>
      <c r="FL5585" s="2"/>
      <c r="FN5585" s="2"/>
    </row>
    <row r="5586" spans="153:170" x14ac:dyDescent="0.35">
      <c r="EW5586" s="48"/>
      <c r="FB5586" s="5"/>
      <c r="FI5586" s="5"/>
      <c r="FJ5586" s="164"/>
      <c r="FL5586" s="2"/>
      <c r="FN5586" s="2"/>
    </row>
    <row r="5587" spans="153:170" x14ac:dyDescent="0.35">
      <c r="EW5587" s="48"/>
      <c r="FB5587" s="5"/>
      <c r="FI5587" s="5"/>
      <c r="FJ5587" s="164"/>
      <c r="FL5587" s="2"/>
      <c r="FN5587" s="2"/>
    </row>
    <row r="5588" spans="153:170" x14ac:dyDescent="0.35">
      <c r="EW5588" s="48"/>
      <c r="FB5588" s="5"/>
      <c r="FI5588" s="5"/>
      <c r="FJ5588" s="164"/>
      <c r="FL5588" s="2"/>
      <c r="FN5588" s="2"/>
    </row>
    <row r="5589" spans="153:170" x14ac:dyDescent="0.35">
      <c r="EW5589" s="48"/>
      <c r="FB5589" s="5"/>
      <c r="FI5589" s="5"/>
      <c r="FJ5589" s="164"/>
      <c r="FL5589" s="2"/>
      <c r="FN5589" s="2"/>
    </row>
    <row r="5590" spans="153:170" x14ac:dyDescent="0.35">
      <c r="EW5590" s="48"/>
      <c r="FB5590" s="5"/>
      <c r="FI5590" s="5"/>
      <c r="FJ5590" s="164"/>
      <c r="FL5590" s="2"/>
      <c r="FN5590" s="2"/>
    </row>
    <row r="5591" spans="153:170" x14ac:dyDescent="0.35">
      <c r="EW5591" s="48"/>
      <c r="FB5591" s="5"/>
      <c r="FI5591" s="5"/>
      <c r="FJ5591" s="164"/>
      <c r="FL5591" s="2"/>
      <c r="FN5591" s="2"/>
    </row>
    <row r="5592" spans="153:170" x14ac:dyDescent="0.35">
      <c r="EW5592" s="48"/>
      <c r="FB5592" s="5"/>
      <c r="FI5592" s="5"/>
      <c r="FJ5592" s="164"/>
      <c r="FL5592" s="2"/>
      <c r="FN5592" s="2"/>
    </row>
    <row r="5593" spans="153:170" x14ac:dyDescent="0.35">
      <c r="EW5593" s="48"/>
      <c r="FB5593" s="5"/>
      <c r="FI5593" s="5"/>
      <c r="FJ5593" s="164"/>
      <c r="FL5593" s="2"/>
      <c r="FN5593" s="2"/>
    </row>
    <row r="5594" spans="153:170" x14ac:dyDescent="0.35">
      <c r="EW5594" s="48"/>
      <c r="FB5594" s="5"/>
      <c r="FI5594" s="5"/>
      <c r="FJ5594" s="164"/>
      <c r="FL5594" s="2"/>
      <c r="FN5594" s="2"/>
    </row>
    <row r="5595" spans="153:170" x14ac:dyDescent="0.35">
      <c r="EW5595" s="48"/>
      <c r="FB5595" s="5"/>
      <c r="FI5595" s="5"/>
      <c r="FJ5595" s="164"/>
      <c r="FL5595" s="2"/>
      <c r="FN5595" s="2"/>
    </row>
    <row r="5596" spans="153:170" x14ac:dyDescent="0.35">
      <c r="EW5596" s="48"/>
      <c r="FB5596" s="5"/>
      <c r="FI5596" s="5"/>
      <c r="FJ5596" s="164"/>
      <c r="FL5596" s="2"/>
      <c r="FN5596" s="2"/>
    </row>
    <row r="5597" spans="153:170" x14ac:dyDescent="0.35">
      <c r="EW5597" s="48"/>
      <c r="FB5597" s="5"/>
      <c r="FI5597" s="5"/>
      <c r="FJ5597" s="164"/>
      <c r="FL5597" s="2"/>
      <c r="FN5597" s="2"/>
    </row>
    <row r="5598" spans="153:170" x14ac:dyDescent="0.35">
      <c r="EW5598" s="48"/>
      <c r="FB5598" s="5"/>
      <c r="FI5598" s="5"/>
      <c r="FJ5598" s="164"/>
      <c r="FL5598" s="2"/>
      <c r="FN5598" s="2"/>
    </row>
    <row r="5599" spans="153:170" x14ac:dyDescent="0.35">
      <c r="EW5599" s="48"/>
      <c r="FB5599" s="5"/>
      <c r="FI5599" s="5"/>
      <c r="FJ5599" s="164"/>
      <c r="FL5599" s="2"/>
      <c r="FN5599" s="2"/>
    </row>
    <row r="5600" spans="153:170" x14ac:dyDescent="0.35">
      <c r="EW5600" s="48"/>
      <c r="FB5600" s="5"/>
      <c r="FI5600" s="5"/>
      <c r="FJ5600" s="164"/>
      <c r="FL5600" s="2"/>
      <c r="FN5600" s="2"/>
    </row>
    <row r="5601" spans="153:170" x14ac:dyDescent="0.35">
      <c r="EW5601" s="48"/>
      <c r="FB5601" s="5"/>
      <c r="FI5601" s="5"/>
      <c r="FJ5601" s="164"/>
      <c r="FL5601" s="2"/>
      <c r="FN5601" s="2"/>
    </row>
    <row r="5602" spans="153:170" x14ac:dyDescent="0.35">
      <c r="EW5602" s="48"/>
      <c r="FB5602" s="5"/>
      <c r="FI5602" s="5"/>
      <c r="FJ5602" s="164"/>
      <c r="FL5602" s="2"/>
      <c r="FN5602" s="2"/>
    </row>
    <row r="5603" spans="153:170" x14ac:dyDescent="0.35">
      <c r="EW5603" s="48"/>
      <c r="FB5603" s="5"/>
      <c r="FI5603" s="5"/>
      <c r="FJ5603" s="164"/>
      <c r="FL5603" s="2"/>
      <c r="FN5603" s="2"/>
    </row>
    <row r="5604" spans="153:170" x14ac:dyDescent="0.35">
      <c r="EW5604" s="48"/>
      <c r="FB5604" s="5"/>
      <c r="FI5604" s="5"/>
      <c r="FJ5604" s="164"/>
      <c r="FL5604" s="2"/>
      <c r="FN5604" s="2"/>
    </row>
    <row r="5605" spans="153:170" x14ac:dyDescent="0.35">
      <c r="EW5605" s="48"/>
      <c r="FB5605" s="5"/>
      <c r="FI5605" s="5"/>
      <c r="FJ5605" s="164"/>
      <c r="FL5605" s="2"/>
      <c r="FN5605" s="2"/>
    </row>
    <row r="5606" spans="153:170" x14ac:dyDescent="0.35">
      <c r="EW5606" s="48"/>
      <c r="FB5606" s="5"/>
      <c r="FI5606" s="5"/>
      <c r="FJ5606" s="164"/>
      <c r="FL5606" s="2"/>
      <c r="FN5606" s="2"/>
    </row>
    <row r="5607" spans="153:170" x14ac:dyDescent="0.35">
      <c r="EW5607" s="48"/>
      <c r="FB5607" s="5"/>
      <c r="FI5607" s="5"/>
      <c r="FJ5607" s="164"/>
      <c r="FL5607" s="2"/>
      <c r="FN5607" s="2"/>
    </row>
    <row r="5608" spans="153:170" x14ac:dyDescent="0.35">
      <c r="EW5608" s="48"/>
      <c r="FB5608" s="5"/>
      <c r="FI5608" s="5"/>
      <c r="FJ5608" s="164"/>
      <c r="FL5608" s="2"/>
      <c r="FN5608" s="2"/>
    </row>
    <row r="5609" spans="153:170" x14ac:dyDescent="0.35">
      <c r="EW5609" s="48"/>
      <c r="FB5609" s="5"/>
      <c r="FI5609" s="5"/>
      <c r="FJ5609" s="164"/>
      <c r="FL5609" s="2"/>
      <c r="FN5609" s="2"/>
    </row>
    <row r="5610" spans="153:170" x14ac:dyDescent="0.35">
      <c r="EW5610" s="48"/>
      <c r="FB5610" s="5"/>
      <c r="FI5610" s="5"/>
      <c r="FJ5610" s="164"/>
      <c r="FL5610" s="2"/>
      <c r="FN5610" s="2"/>
    </row>
    <row r="5611" spans="153:170" x14ac:dyDescent="0.35">
      <c r="EW5611" s="48"/>
      <c r="FB5611" s="5"/>
      <c r="FI5611" s="5"/>
      <c r="FJ5611" s="164"/>
      <c r="FL5611" s="2"/>
      <c r="FN5611" s="2"/>
    </row>
    <row r="5612" spans="153:170" x14ac:dyDescent="0.35">
      <c r="EW5612" s="48"/>
      <c r="FB5612" s="5"/>
      <c r="FI5612" s="5"/>
      <c r="FJ5612" s="164"/>
      <c r="FL5612" s="2"/>
      <c r="FN5612" s="2"/>
    </row>
    <row r="5613" spans="153:170" x14ac:dyDescent="0.35">
      <c r="EW5613" s="48"/>
      <c r="FB5613" s="5"/>
      <c r="FI5613" s="5"/>
      <c r="FJ5613" s="164"/>
      <c r="FL5613" s="2"/>
      <c r="FN5613" s="2"/>
    </row>
    <row r="5614" spans="153:170" x14ac:dyDescent="0.35">
      <c r="EW5614" s="48"/>
      <c r="FB5614" s="5"/>
      <c r="FI5614" s="5"/>
      <c r="FJ5614" s="164"/>
      <c r="FL5614" s="2"/>
      <c r="FN5614" s="2"/>
    </row>
    <row r="5615" spans="153:170" x14ac:dyDescent="0.35">
      <c r="EW5615" s="48"/>
      <c r="FB5615" s="5"/>
      <c r="FI5615" s="5"/>
      <c r="FJ5615" s="164"/>
      <c r="FL5615" s="2"/>
      <c r="FN5615" s="2"/>
    </row>
    <row r="5616" spans="153:170" x14ac:dyDescent="0.35">
      <c r="EW5616" s="48"/>
      <c r="FB5616" s="5"/>
      <c r="FI5616" s="5"/>
      <c r="FJ5616" s="164"/>
      <c r="FL5616" s="2"/>
      <c r="FN5616" s="2"/>
    </row>
    <row r="5617" spans="153:170" x14ac:dyDescent="0.35">
      <c r="EW5617" s="48"/>
      <c r="FB5617" s="5"/>
      <c r="FI5617" s="5"/>
      <c r="FJ5617" s="164"/>
      <c r="FL5617" s="2"/>
      <c r="FN5617" s="2"/>
    </row>
    <row r="5618" spans="153:170" x14ac:dyDescent="0.35">
      <c r="EW5618" s="48"/>
      <c r="FB5618" s="5"/>
      <c r="FI5618" s="5"/>
      <c r="FJ5618" s="164"/>
      <c r="FL5618" s="2"/>
      <c r="FN5618" s="2"/>
    </row>
    <row r="5619" spans="153:170" x14ac:dyDescent="0.35">
      <c r="EW5619" s="48"/>
      <c r="FB5619" s="5"/>
      <c r="FI5619" s="5"/>
      <c r="FJ5619" s="164"/>
      <c r="FL5619" s="2"/>
      <c r="FN5619" s="2"/>
    </row>
    <row r="5620" spans="153:170" x14ac:dyDescent="0.35">
      <c r="EW5620" s="48"/>
      <c r="FB5620" s="5"/>
      <c r="FI5620" s="5"/>
      <c r="FJ5620" s="164"/>
      <c r="FL5620" s="2"/>
      <c r="FN5620" s="2"/>
    </row>
    <row r="5621" spans="153:170" x14ac:dyDescent="0.35">
      <c r="EW5621" s="48"/>
      <c r="FB5621" s="5"/>
      <c r="FI5621" s="5"/>
      <c r="FJ5621" s="164"/>
      <c r="FL5621" s="2"/>
      <c r="FN5621" s="2"/>
    </row>
    <row r="5622" spans="153:170" x14ac:dyDescent="0.35">
      <c r="EW5622" s="48"/>
      <c r="FB5622" s="5"/>
      <c r="FI5622" s="5"/>
      <c r="FJ5622" s="164"/>
      <c r="FL5622" s="2"/>
      <c r="FN5622" s="2"/>
    </row>
    <row r="5623" spans="153:170" x14ac:dyDescent="0.35">
      <c r="EW5623" s="48"/>
      <c r="FB5623" s="5"/>
      <c r="FI5623" s="5"/>
      <c r="FJ5623" s="164"/>
      <c r="FL5623" s="2"/>
      <c r="FN5623" s="2"/>
    </row>
    <row r="5624" spans="153:170" x14ac:dyDescent="0.35">
      <c r="EW5624" s="48"/>
      <c r="FB5624" s="5"/>
      <c r="FI5624" s="5"/>
      <c r="FJ5624" s="164"/>
      <c r="FL5624" s="2"/>
      <c r="FN5624" s="2"/>
    </row>
    <row r="5625" spans="153:170" x14ac:dyDescent="0.35">
      <c r="EW5625" s="48"/>
      <c r="FB5625" s="5"/>
      <c r="FI5625" s="5"/>
      <c r="FJ5625" s="164"/>
      <c r="FL5625" s="2"/>
      <c r="FN5625" s="2"/>
    </row>
    <row r="5626" spans="153:170" x14ac:dyDescent="0.35">
      <c r="EW5626" s="48"/>
      <c r="FB5626" s="5"/>
      <c r="FI5626" s="5"/>
      <c r="FJ5626" s="164"/>
      <c r="FL5626" s="2"/>
      <c r="FN5626" s="2"/>
    </row>
    <row r="5627" spans="153:170" x14ac:dyDescent="0.35">
      <c r="EW5627" s="48"/>
      <c r="FB5627" s="5"/>
      <c r="FI5627" s="5"/>
      <c r="FJ5627" s="164"/>
      <c r="FL5627" s="2"/>
      <c r="FN5627" s="2"/>
    </row>
    <row r="5628" spans="153:170" x14ac:dyDescent="0.35">
      <c r="EW5628" s="48"/>
      <c r="FB5628" s="5"/>
      <c r="FI5628" s="5"/>
      <c r="FJ5628" s="164"/>
      <c r="FL5628" s="2"/>
      <c r="FN5628" s="2"/>
    </row>
    <row r="5629" spans="153:170" x14ac:dyDescent="0.35">
      <c r="EW5629" s="48"/>
      <c r="FB5629" s="5"/>
      <c r="FI5629" s="5"/>
      <c r="FJ5629" s="164"/>
      <c r="FL5629" s="2"/>
      <c r="FN5629" s="2"/>
    </row>
    <row r="5630" spans="153:170" x14ac:dyDescent="0.35">
      <c r="EW5630" s="48"/>
      <c r="FB5630" s="5"/>
      <c r="FI5630" s="5"/>
      <c r="FJ5630" s="164"/>
      <c r="FL5630" s="2"/>
      <c r="FN5630" s="2"/>
    </row>
    <row r="5631" spans="153:170" x14ac:dyDescent="0.35">
      <c r="EW5631" s="48"/>
      <c r="FB5631" s="5"/>
      <c r="FI5631" s="5"/>
      <c r="FJ5631" s="164"/>
      <c r="FL5631" s="2"/>
      <c r="FN5631" s="2"/>
    </row>
    <row r="5632" spans="153:170" x14ac:dyDescent="0.35">
      <c r="EW5632" s="48"/>
      <c r="FB5632" s="5"/>
      <c r="FI5632" s="5"/>
      <c r="FJ5632" s="164"/>
      <c r="FL5632" s="2"/>
      <c r="FN5632" s="2"/>
    </row>
    <row r="5633" spans="153:170" x14ac:dyDescent="0.35">
      <c r="EW5633" s="48"/>
      <c r="FB5633" s="5"/>
      <c r="FI5633" s="5"/>
      <c r="FJ5633" s="164"/>
      <c r="FL5633" s="2"/>
      <c r="FN5633" s="2"/>
    </row>
    <row r="5634" spans="153:170" x14ac:dyDescent="0.35">
      <c r="EW5634" s="48"/>
      <c r="FB5634" s="5"/>
      <c r="FI5634" s="5"/>
      <c r="FJ5634" s="164"/>
      <c r="FL5634" s="2"/>
      <c r="FN5634" s="2"/>
    </row>
    <row r="5635" spans="153:170" x14ac:dyDescent="0.35">
      <c r="EW5635" s="48"/>
      <c r="FB5635" s="5"/>
      <c r="FI5635" s="5"/>
      <c r="FJ5635" s="164"/>
      <c r="FL5635" s="2"/>
      <c r="FN5635" s="2"/>
    </row>
    <row r="5636" spans="153:170" x14ac:dyDescent="0.35">
      <c r="EW5636" s="48"/>
      <c r="FB5636" s="5"/>
      <c r="FI5636" s="5"/>
      <c r="FJ5636" s="164"/>
      <c r="FL5636" s="2"/>
      <c r="FN5636" s="2"/>
    </row>
    <row r="5637" spans="153:170" x14ac:dyDescent="0.35">
      <c r="EW5637" s="48"/>
      <c r="FB5637" s="5"/>
      <c r="FI5637" s="5"/>
      <c r="FJ5637" s="164"/>
      <c r="FL5637" s="2"/>
      <c r="FN5637" s="2"/>
    </row>
    <row r="5638" spans="153:170" x14ac:dyDescent="0.35">
      <c r="EW5638" s="48"/>
      <c r="FB5638" s="5"/>
      <c r="FI5638" s="5"/>
      <c r="FJ5638" s="164"/>
      <c r="FL5638" s="2"/>
      <c r="FN5638" s="2"/>
    </row>
    <row r="5639" spans="153:170" x14ac:dyDescent="0.35">
      <c r="EW5639" s="48"/>
      <c r="FB5639" s="5"/>
      <c r="FI5639" s="5"/>
      <c r="FJ5639" s="164"/>
      <c r="FL5639" s="2"/>
      <c r="FN5639" s="2"/>
    </row>
    <row r="5640" spans="153:170" x14ac:dyDescent="0.35">
      <c r="EW5640" s="48"/>
      <c r="FB5640" s="5"/>
      <c r="FI5640" s="5"/>
      <c r="FJ5640" s="164"/>
      <c r="FL5640" s="2"/>
      <c r="FN5640" s="2"/>
    </row>
    <row r="5641" spans="153:170" x14ac:dyDescent="0.35">
      <c r="EW5641" s="48"/>
      <c r="FB5641" s="5"/>
      <c r="FI5641" s="5"/>
      <c r="FJ5641" s="164"/>
      <c r="FL5641" s="2"/>
      <c r="FN5641" s="2"/>
    </row>
    <row r="5642" spans="153:170" x14ac:dyDescent="0.35">
      <c r="EW5642" s="48"/>
      <c r="FB5642" s="5"/>
      <c r="FI5642" s="5"/>
      <c r="FJ5642" s="164"/>
      <c r="FL5642" s="2"/>
      <c r="FN5642" s="2"/>
    </row>
    <row r="5643" spans="153:170" x14ac:dyDescent="0.35">
      <c r="EW5643" s="48"/>
      <c r="FB5643" s="5"/>
      <c r="FI5643" s="5"/>
      <c r="FJ5643" s="164"/>
      <c r="FL5643" s="2"/>
      <c r="FN5643" s="2"/>
    </row>
    <row r="5644" spans="153:170" x14ac:dyDescent="0.35">
      <c r="EW5644" s="48"/>
      <c r="FB5644" s="5"/>
      <c r="FI5644" s="5"/>
      <c r="FJ5644" s="164"/>
      <c r="FL5644" s="2"/>
      <c r="FN5644" s="2"/>
    </row>
    <row r="5645" spans="153:170" x14ac:dyDescent="0.35">
      <c r="EW5645" s="48"/>
      <c r="FB5645" s="5"/>
      <c r="FI5645" s="5"/>
      <c r="FJ5645" s="164"/>
      <c r="FL5645" s="2"/>
      <c r="FN5645" s="2"/>
    </row>
    <row r="5646" spans="153:170" x14ac:dyDescent="0.35">
      <c r="EW5646" s="48"/>
      <c r="FB5646" s="5"/>
      <c r="FI5646" s="5"/>
      <c r="FJ5646" s="164"/>
      <c r="FL5646" s="2"/>
      <c r="FN5646" s="2"/>
    </row>
    <row r="5647" spans="153:170" x14ac:dyDescent="0.35">
      <c r="EW5647" s="48"/>
      <c r="FB5647" s="5"/>
      <c r="FI5647" s="5"/>
      <c r="FJ5647" s="164"/>
      <c r="FL5647" s="2"/>
      <c r="FN5647" s="2"/>
    </row>
    <row r="5648" spans="153:170" x14ac:dyDescent="0.35">
      <c r="EW5648" s="48"/>
      <c r="FB5648" s="5"/>
      <c r="FI5648" s="5"/>
      <c r="FJ5648" s="164"/>
      <c r="FL5648" s="2"/>
      <c r="FN5648" s="2"/>
    </row>
    <row r="5649" spans="153:170" x14ac:dyDescent="0.35">
      <c r="EW5649" s="48"/>
      <c r="FB5649" s="5"/>
      <c r="FI5649" s="5"/>
      <c r="FJ5649" s="164"/>
      <c r="FL5649" s="2"/>
      <c r="FN5649" s="2"/>
    </row>
    <row r="5650" spans="153:170" x14ac:dyDescent="0.35">
      <c r="EW5650" s="48"/>
      <c r="FB5650" s="5"/>
      <c r="FI5650" s="5"/>
      <c r="FJ5650" s="164"/>
      <c r="FL5650" s="2"/>
      <c r="FN5650" s="2"/>
    </row>
    <row r="5651" spans="153:170" x14ac:dyDescent="0.35">
      <c r="EW5651" s="48"/>
      <c r="FB5651" s="5"/>
      <c r="FI5651" s="5"/>
      <c r="FJ5651" s="164"/>
      <c r="FL5651" s="2"/>
      <c r="FN5651" s="2"/>
    </row>
    <row r="5652" spans="153:170" x14ac:dyDescent="0.35">
      <c r="EW5652" s="48"/>
      <c r="FB5652" s="5"/>
      <c r="FI5652" s="5"/>
      <c r="FJ5652" s="164"/>
      <c r="FL5652" s="2"/>
      <c r="FN5652" s="2"/>
    </row>
    <row r="5653" spans="153:170" x14ac:dyDescent="0.35">
      <c r="EW5653" s="48"/>
      <c r="FB5653" s="5"/>
      <c r="FI5653" s="5"/>
      <c r="FJ5653" s="164"/>
      <c r="FL5653" s="2"/>
      <c r="FN5653" s="2"/>
    </row>
    <row r="5654" spans="153:170" x14ac:dyDescent="0.35">
      <c r="EW5654" s="48"/>
      <c r="FB5654" s="5"/>
      <c r="FI5654" s="5"/>
      <c r="FJ5654" s="164"/>
      <c r="FL5654" s="2"/>
      <c r="FN5654" s="2"/>
    </row>
    <row r="5655" spans="153:170" x14ac:dyDescent="0.35">
      <c r="EW5655" s="48"/>
      <c r="FB5655" s="5"/>
      <c r="FI5655" s="5"/>
      <c r="FJ5655" s="164"/>
      <c r="FL5655" s="2"/>
      <c r="FN5655" s="2"/>
    </row>
    <row r="5656" spans="153:170" x14ac:dyDescent="0.35">
      <c r="EW5656" s="48"/>
      <c r="FB5656" s="5"/>
      <c r="FI5656" s="5"/>
      <c r="FJ5656" s="164"/>
      <c r="FL5656" s="2"/>
      <c r="FN5656" s="2"/>
    </row>
    <row r="5657" spans="153:170" x14ac:dyDescent="0.35">
      <c r="EW5657" s="48"/>
      <c r="FB5657" s="5"/>
      <c r="FI5657" s="5"/>
      <c r="FJ5657" s="164"/>
      <c r="FL5657" s="2"/>
      <c r="FN5657" s="2"/>
    </row>
    <row r="5658" spans="153:170" x14ac:dyDescent="0.35">
      <c r="EW5658" s="48"/>
      <c r="FB5658" s="5"/>
      <c r="FI5658" s="5"/>
      <c r="FJ5658" s="164"/>
      <c r="FL5658" s="2"/>
      <c r="FN5658" s="2"/>
    </row>
    <row r="5659" spans="153:170" x14ac:dyDescent="0.35">
      <c r="EW5659" s="48"/>
      <c r="FB5659" s="5"/>
      <c r="FI5659" s="5"/>
      <c r="FJ5659" s="164"/>
      <c r="FL5659" s="2"/>
      <c r="FN5659" s="2"/>
    </row>
    <row r="5660" spans="153:170" x14ac:dyDescent="0.35">
      <c r="EW5660" s="48"/>
      <c r="FB5660" s="5"/>
      <c r="FI5660" s="5"/>
      <c r="FJ5660" s="164"/>
      <c r="FL5660" s="2"/>
      <c r="FN5660" s="2"/>
    </row>
    <row r="5661" spans="153:170" x14ac:dyDescent="0.35">
      <c r="EW5661" s="48"/>
      <c r="FB5661" s="5"/>
      <c r="FI5661" s="5"/>
      <c r="FJ5661" s="164"/>
      <c r="FL5661" s="2"/>
      <c r="FN5661" s="2"/>
    </row>
    <row r="5662" spans="153:170" x14ac:dyDescent="0.35">
      <c r="EW5662" s="48"/>
      <c r="FB5662" s="5"/>
      <c r="FI5662" s="5"/>
      <c r="FJ5662" s="164"/>
      <c r="FL5662" s="2"/>
      <c r="FN5662" s="2"/>
    </row>
    <row r="5663" spans="153:170" x14ac:dyDescent="0.35">
      <c r="EW5663" s="48"/>
      <c r="FB5663" s="5"/>
      <c r="FI5663" s="5"/>
      <c r="FJ5663" s="164"/>
      <c r="FL5663" s="2"/>
      <c r="FN5663" s="2"/>
    </row>
    <row r="5664" spans="153:170" x14ac:dyDescent="0.35">
      <c r="EW5664" s="48"/>
      <c r="FB5664" s="5"/>
      <c r="FI5664" s="5"/>
      <c r="FJ5664" s="164"/>
      <c r="FL5664" s="2"/>
      <c r="FN5664" s="2"/>
    </row>
    <row r="5665" spans="153:170" x14ac:dyDescent="0.35">
      <c r="EW5665" s="48"/>
      <c r="FB5665" s="5"/>
      <c r="FI5665" s="5"/>
      <c r="FJ5665" s="164"/>
      <c r="FL5665" s="2"/>
      <c r="FN5665" s="2"/>
    </row>
    <row r="5666" spans="153:170" x14ac:dyDescent="0.35">
      <c r="EW5666" s="48"/>
      <c r="FB5666" s="5"/>
      <c r="FI5666" s="5"/>
      <c r="FJ5666" s="164"/>
      <c r="FL5666" s="2"/>
      <c r="FN5666" s="2"/>
    </row>
    <row r="5667" spans="153:170" x14ac:dyDescent="0.35">
      <c r="EW5667" s="48"/>
      <c r="FB5667" s="5"/>
      <c r="FI5667" s="5"/>
      <c r="FJ5667" s="164"/>
      <c r="FL5667" s="2"/>
      <c r="FN5667" s="2"/>
    </row>
    <row r="5668" spans="153:170" x14ac:dyDescent="0.35">
      <c r="EW5668" s="48"/>
      <c r="FB5668" s="5"/>
      <c r="FI5668" s="5"/>
      <c r="FJ5668" s="164"/>
      <c r="FL5668" s="2"/>
      <c r="FN5668" s="2"/>
    </row>
    <row r="5669" spans="153:170" x14ac:dyDescent="0.35">
      <c r="EW5669" s="48"/>
      <c r="FB5669" s="5"/>
      <c r="FI5669" s="5"/>
      <c r="FJ5669" s="164"/>
      <c r="FL5669" s="2"/>
      <c r="FN5669" s="2"/>
    </row>
    <row r="5670" spans="153:170" x14ac:dyDescent="0.35">
      <c r="EW5670" s="48"/>
      <c r="FB5670" s="5"/>
      <c r="FI5670" s="5"/>
      <c r="FJ5670" s="164"/>
      <c r="FL5670" s="2"/>
      <c r="FN5670" s="2"/>
    </row>
    <row r="5671" spans="153:170" x14ac:dyDescent="0.35">
      <c r="EW5671" s="48"/>
      <c r="FB5671" s="5"/>
      <c r="FI5671" s="5"/>
      <c r="FJ5671" s="164"/>
      <c r="FL5671" s="2"/>
      <c r="FN5671" s="2"/>
    </row>
    <row r="5672" spans="153:170" x14ac:dyDescent="0.35">
      <c r="EW5672" s="48"/>
      <c r="FB5672" s="5"/>
      <c r="FI5672" s="5"/>
      <c r="FJ5672" s="164"/>
      <c r="FL5672" s="2"/>
      <c r="FN5672" s="2"/>
    </row>
    <row r="5673" spans="153:170" x14ac:dyDescent="0.35">
      <c r="EW5673" s="48"/>
      <c r="FB5673" s="5"/>
      <c r="FI5673" s="5"/>
      <c r="FJ5673" s="164"/>
      <c r="FL5673" s="2"/>
      <c r="FN5673" s="2"/>
    </row>
    <row r="5674" spans="153:170" x14ac:dyDescent="0.35">
      <c r="EW5674" s="48"/>
      <c r="FB5674" s="5"/>
      <c r="FI5674" s="5"/>
      <c r="FJ5674" s="164"/>
      <c r="FL5674" s="2"/>
      <c r="FN5674" s="2"/>
    </row>
    <row r="5675" spans="153:170" x14ac:dyDescent="0.35">
      <c r="EW5675" s="48"/>
      <c r="FB5675" s="5"/>
      <c r="FI5675" s="5"/>
      <c r="FJ5675" s="164"/>
      <c r="FL5675" s="2"/>
      <c r="FN5675" s="2"/>
    </row>
    <row r="5676" spans="153:170" x14ac:dyDescent="0.35">
      <c r="EW5676" s="48"/>
      <c r="FB5676" s="5"/>
      <c r="FI5676" s="5"/>
      <c r="FJ5676" s="164"/>
      <c r="FL5676" s="2"/>
      <c r="FN5676" s="2"/>
    </row>
    <row r="5677" spans="153:170" x14ac:dyDescent="0.35">
      <c r="EW5677" s="48"/>
      <c r="FB5677" s="5"/>
      <c r="FI5677" s="5"/>
      <c r="FJ5677" s="164"/>
      <c r="FL5677" s="2"/>
      <c r="FN5677" s="2"/>
    </row>
    <row r="5678" spans="153:170" x14ac:dyDescent="0.35">
      <c r="EW5678" s="48"/>
      <c r="FB5678" s="5"/>
      <c r="FI5678" s="5"/>
      <c r="FJ5678" s="164"/>
      <c r="FL5678" s="2"/>
      <c r="FN5678" s="2"/>
    </row>
    <row r="5679" spans="153:170" x14ac:dyDescent="0.35">
      <c r="EW5679" s="48"/>
      <c r="FB5679" s="5"/>
      <c r="FI5679" s="5"/>
      <c r="FJ5679" s="164"/>
      <c r="FL5679" s="2"/>
      <c r="FN5679" s="2"/>
    </row>
    <row r="5680" spans="153:170" x14ac:dyDescent="0.35">
      <c r="EW5680" s="48"/>
      <c r="FB5680" s="5"/>
      <c r="FI5680" s="5"/>
      <c r="FJ5680" s="164"/>
      <c r="FL5680" s="2"/>
      <c r="FN5680" s="2"/>
    </row>
    <row r="5681" spans="153:170" x14ac:dyDescent="0.35">
      <c r="EW5681" s="48"/>
      <c r="FB5681" s="5"/>
      <c r="FI5681" s="5"/>
      <c r="FJ5681" s="164"/>
      <c r="FL5681" s="2"/>
      <c r="FN5681" s="2"/>
    </row>
    <row r="5682" spans="153:170" x14ac:dyDescent="0.35">
      <c r="EW5682" s="48"/>
      <c r="FB5682" s="5"/>
      <c r="FI5682" s="5"/>
      <c r="FJ5682" s="164"/>
      <c r="FL5682" s="2"/>
      <c r="FN5682" s="2"/>
    </row>
    <row r="5683" spans="153:170" x14ac:dyDescent="0.35">
      <c r="EW5683" s="48"/>
      <c r="FB5683" s="5"/>
      <c r="FI5683" s="5"/>
      <c r="FJ5683" s="164"/>
      <c r="FL5683" s="2"/>
      <c r="FN5683" s="2"/>
    </row>
    <row r="5684" spans="153:170" x14ac:dyDescent="0.35">
      <c r="EW5684" s="48"/>
      <c r="FB5684" s="5"/>
      <c r="FI5684" s="5"/>
      <c r="FJ5684" s="164"/>
      <c r="FL5684" s="2"/>
      <c r="FN5684" s="2"/>
    </row>
    <row r="5685" spans="153:170" x14ac:dyDescent="0.35">
      <c r="EW5685" s="48"/>
      <c r="FB5685" s="5"/>
      <c r="FI5685" s="5"/>
      <c r="FJ5685" s="164"/>
      <c r="FL5685" s="2"/>
      <c r="FN5685" s="2"/>
    </row>
    <row r="5686" spans="153:170" x14ac:dyDescent="0.35">
      <c r="EW5686" s="48"/>
      <c r="FB5686" s="5"/>
      <c r="FI5686" s="5"/>
      <c r="FJ5686" s="164"/>
      <c r="FL5686" s="2"/>
      <c r="FN5686" s="2"/>
    </row>
    <row r="5687" spans="153:170" x14ac:dyDescent="0.35">
      <c r="EW5687" s="48"/>
      <c r="FB5687" s="5"/>
      <c r="FI5687" s="5"/>
      <c r="FJ5687" s="164"/>
      <c r="FL5687" s="2"/>
      <c r="FN5687" s="2"/>
    </row>
    <row r="5688" spans="153:170" x14ac:dyDescent="0.35">
      <c r="EW5688" s="48"/>
      <c r="FB5688" s="5"/>
      <c r="FI5688" s="5"/>
      <c r="FJ5688" s="164"/>
      <c r="FL5688" s="2"/>
      <c r="FN5688" s="2"/>
    </row>
    <row r="5689" spans="153:170" x14ac:dyDescent="0.35">
      <c r="EW5689" s="48"/>
      <c r="FB5689" s="5"/>
      <c r="FI5689" s="5"/>
      <c r="FJ5689" s="164"/>
      <c r="FL5689" s="2"/>
      <c r="FN5689" s="2"/>
    </row>
    <row r="5690" spans="153:170" x14ac:dyDescent="0.35">
      <c r="EW5690" s="48"/>
      <c r="FB5690" s="5"/>
      <c r="FI5690" s="5"/>
      <c r="FJ5690" s="164"/>
      <c r="FL5690" s="2"/>
      <c r="FN5690" s="2"/>
    </row>
    <row r="5691" spans="153:170" x14ac:dyDescent="0.35">
      <c r="EW5691" s="48"/>
      <c r="FB5691" s="5"/>
      <c r="FI5691" s="5"/>
      <c r="FJ5691" s="164"/>
      <c r="FL5691" s="2"/>
      <c r="FN5691" s="2"/>
    </row>
    <row r="5692" spans="153:170" x14ac:dyDescent="0.35">
      <c r="EW5692" s="48"/>
      <c r="FB5692" s="5"/>
      <c r="FI5692" s="5"/>
      <c r="FJ5692" s="164"/>
      <c r="FL5692" s="2"/>
      <c r="FN5692" s="2"/>
    </row>
    <row r="5693" spans="153:170" x14ac:dyDescent="0.35">
      <c r="EW5693" s="48"/>
      <c r="FB5693" s="5"/>
      <c r="FI5693" s="5"/>
      <c r="FJ5693" s="164"/>
      <c r="FL5693" s="2"/>
      <c r="FN5693" s="2"/>
    </row>
    <row r="5694" spans="153:170" x14ac:dyDescent="0.35">
      <c r="EW5694" s="48"/>
      <c r="FB5694" s="5"/>
      <c r="FI5694" s="5"/>
      <c r="FJ5694" s="164"/>
      <c r="FL5694" s="2"/>
      <c r="FN5694" s="2"/>
    </row>
    <row r="5695" spans="153:170" x14ac:dyDescent="0.35">
      <c r="EW5695" s="48"/>
      <c r="FB5695" s="5"/>
      <c r="FI5695" s="5"/>
      <c r="FJ5695" s="164"/>
      <c r="FL5695" s="2"/>
      <c r="FN5695" s="2"/>
    </row>
    <row r="5696" spans="153:170" x14ac:dyDescent="0.35">
      <c r="EW5696" s="48"/>
      <c r="FB5696" s="5"/>
      <c r="FI5696" s="5"/>
      <c r="FJ5696" s="164"/>
      <c r="FL5696" s="2"/>
      <c r="FN5696" s="2"/>
    </row>
    <row r="5697" spans="153:170" x14ac:dyDescent="0.35">
      <c r="EW5697" s="48"/>
      <c r="FB5697" s="5"/>
      <c r="FI5697" s="5"/>
      <c r="FJ5697" s="164"/>
      <c r="FL5697" s="2"/>
      <c r="FN5697" s="2"/>
    </row>
    <row r="5698" spans="153:170" x14ac:dyDescent="0.35">
      <c r="EW5698" s="48"/>
      <c r="FB5698" s="5"/>
      <c r="FI5698" s="5"/>
      <c r="FJ5698" s="164"/>
      <c r="FL5698" s="2"/>
      <c r="FN5698" s="2"/>
    </row>
    <row r="5699" spans="153:170" x14ac:dyDescent="0.35">
      <c r="EW5699" s="48"/>
      <c r="FB5699" s="5"/>
      <c r="FI5699" s="5"/>
      <c r="FJ5699" s="164"/>
      <c r="FL5699" s="2"/>
      <c r="FN5699" s="2"/>
    </row>
    <row r="5700" spans="153:170" x14ac:dyDescent="0.35">
      <c r="EW5700" s="48"/>
      <c r="FB5700" s="5"/>
      <c r="FI5700" s="5"/>
      <c r="FJ5700" s="164"/>
      <c r="FL5700" s="2"/>
      <c r="FN5700" s="2"/>
    </row>
    <row r="5701" spans="153:170" x14ac:dyDescent="0.35">
      <c r="EW5701" s="48"/>
      <c r="FB5701" s="5"/>
      <c r="FI5701" s="5"/>
      <c r="FJ5701" s="164"/>
      <c r="FL5701" s="2"/>
      <c r="FN5701" s="2"/>
    </row>
    <row r="5702" spans="153:170" x14ac:dyDescent="0.35">
      <c r="EW5702" s="48"/>
      <c r="FB5702" s="5"/>
      <c r="FI5702" s="5"/>
      <c r="FJ5702" s="164"/>
      <c r="FL5702" s="2"/>
      <c r="FN5702" s="2"/>
    </row>
    <row r="5703" spans="153:170" x14ac:dyDescent="0.35">
      <c r="EW5703" s="48"/>
      <c r="FB5703" s="5"/>
      <c r="FI5703" s="5"/>
      <c r="FJ5703" s="164"/>
      <c r="FL5703" s="2"/>
      <c r="FN5703" s="2"/>
    </row>
    <row r="5704" spans="153:170" x14ac:dyDescent="0.35">
      <c r="EW5704" s="48"/>
      <c r="FB5704" s="5"/>
      <c r="FI5704" s="5"/>
      <c r="FJ5704" s="164"/>
      <c r="FL5704" s="2"/>
      <c r="FN5704" s="2"/>
    </row>
    <row r="5705" spans="153:170" x14ac:dyDescent="0.35">
      <c r="EW5705" s="48"/>
      <c r="FB5705" s="5"/>
      <c r="FI5705" s="5"/>
      <c r="FJ5705" s="164"/>
      <c r="FL5705" s="2"/>
      <c r="FN5705" s="2"/>
    </row>
    <row r="5706" spans="153:170" x14ac:dyDescent="0.35">
      <c r="EW5706" s="48"/>
      <c r="FB5706" s="5"/>
      <c r="FI5706" s="5"/>
      <c r="FJ5706" s="164"/>
      <c r="FL5706" s="2"/>
      <c r="FN5706" s="2"/>
    </row>
    <row r="5707" spans="153:170" x14ac:dyDescent="0.35">
      <c r="EW5707" s="48"/>
      <c r="FB5707" s="5"/>
      <c r="FI5707" s="5"/>
      <c r="FJ5707" s="164"/>
      <c r="FL5707" s="2"/>
      <c r="FN5707" s="2"/>
    </row>
    <row r="5708" spans="153:170" x14ac:dyDescent="0.35">
      <c r="EW5708" s="48"/>
      <c r="FB5708" s="5"/>
      <c r="FI5708" s="5"/>
      <c r="FJ5708" s="164"/>
      <c r="FL5708" s="2"/>
      <c r="FN5708" s="2"/>
    </row>
    <row r="5709" spans="153:170" x14ac:dyDescent="0.35">
      <c r="EW5709" s="48"/>
      <c r="FB5709" s="5"/>
      <c r="FI5709" s="5"/>
      <c r="FJ5709" s="164"/>
      <c r="FL5709" s="2"/>
      <c r="FN5709" s="2"/>
    </row>
    <row r="5710" spans="153:170" x14ac:dyDescent="0.35">
      <c r="EW5710" s="48"/>
      <c r="FB5710" s="5"/>
      <c r="FI5710" s="5"/>
      <c r="FJ5710" s="164"/>
      <c r="FL5710" s="2"/>
      <c r="FN5710" s="2"/>
    </row>
    <row r="5711" spans="153:170" x14ac:dyDescent="0.35">
      <c r="EW5711" s="48"/>
      <c r="FB5711" s="5"/>
      <c r="FI5711" s="5"/>
      <c r="FJ5711" s="164"/>
      <c r="FL5711" s="2"/>
      <c r="FN5711" s="2"/>
    </row>
    <row r="5712" spans="153:170" x14ac:dyDescent="0.35">
      <c r="EW5712" s="48"/>
      <c r="FB5712" s="5"/>
      <c r="FI5712" s="5"/>
      <c r="FJ5712" s="164"/>
      <c r="FL5712" s="2"/>
      <c r="FN5712" s="2"/>
    </row>
    <row r="5713" spans="153:170" x14ac:dyDescent="0.35">
      <c r="EW5713" s="48"/>
      <c r="FB5713" s="5"/>
      <c r="FI5713" s="5"/>
      <c r="FJ5713" s="164"/>
      <c r="FL5713" s="2"/>
      <c r="FN5713" s="2"/>
    </row>
    <row r="5714" spans="153:170" x14ac:dyDescent="0.35">
      <c r="EW5714" s="48"/>
      <c r="FB5714" s="5"/>
      <c r="FI5714" s="5"/>
      <c r="FJ5714" s="164"/>
      <c r="FL5714" s="2"/>
      <c r="FN5714" s="2"/>
    </row>
    <row r="5715" spans="153:170" x14ac:dyDescent="0.35">
      <c r="EW5715" s="48"/>
      <c r="FB5715" s="5"/>
      <c r="FI5715" s="5"/>
      <c r="FJ5715" s="164"/>
      <c r="FL5715" s="2"/>
      <c r="FN5715" s="2"/>
    </row>
    <row r="5716" spans="153:170" x14ac:dyDescent="0.35">
      <c r="EW5716" s="48"/>
      <c r="FB5716" s="5"/>
      <c r="FI5716" s="5"/>
      <c r="FJ5716" s="164"/>
      <c r="FL5716" s="2"/>
      <c r="FN5716" s="2"/>
    </row>
    <row r="5717" spans="153:170" x14ac:dyDescent="0.35">
      <c r="EW5717" s="48"/>
      <c r="FB5717" s="5"/>
      <c r="FI5717" s="5"/>
      <c r="FJ5717" s="164"/>
      <c r="FL5717" s="2"/>
      <c r="FN5717" s="2"/>
    </row>
    <row r="5718" spans="153:170" x14ac:dyDescent="0.35">
      <c r="EW5718" s="48"/>
      <c r="FB5718" s="5"/>
      <c r="FI5718" s="5"/>
      <c r="FJ5718" s="164"/>
      <c r="FL5718" s="2"/>
      <c r="FN5718" s="2"/>
    </row>
    <row r="5719" spans="153:170" x14ac:dyDescent="0.35">
      <c r="EW5719" s="48"/>
      <c r="FB5719" s="5"/>
      <c r="FI5719" s="5"/>
      <c r="FJ5719" s="164"/>
      <c r="FL5719" s="2"/>
      <c r="FN5719" s="2"/>
    </row>
    <row r="5720" spans="153:170" x14ac:dyDescent="0.35">
      <c r="EW5720" s="48"/>
      <c r="FB5720" s="5"/>
      <c r="FI5720" s="5"/>
      <c r="FJ5720" s="164"/>
      <c r="FL5720" s="2"/>
      <c r="FN5720" s="2"/>
    </row>
    <row r="5721" spans="153:170" x14ac:dyDescent="0.35">
      <c r="EW5721" s="48"/>
      <c r="FB5721" s="5"/>
      <c r="FI5721" s="5"/>
      <c r="FJ5721" s="164"/>
      <c r="FL5721" s="2"/>
      <c r="FN5721" s="2"/>
    </row>
    <row r="5722" spans="153:170" x14ac:dyDescent="0.35">
      <c r="EW5722" s="48"/>
      <c r="FB5722" s="5"/>
      <c r="FI5722" s="5"/>
      <c r="FJ5722" s="164"/>
      <c r="FL5722" s="2"/>
      <c r="FN5722" s="2"/>
    </row>
    <row r="5723" spans="153:170" x14ac:dyDescent="0.35">
      <c r="EW5723" s="48"/>
      <c r="FB5723" s="5"/>
      <c r="FI5723" s="5"/>
      <c r="FJ5723" s="164"/>
      <c r="FL5723" s="2"/>
      <c r="FN5723" s="2"/>
    </row>
    <row r="5724" spans="153:170" x14ac:dyDescent="0.35">
      <c r="EW5724" s="48"/>
      <c r="FB5724" s="5"/>
      <c r="FI5724" s="5"/>
      <c r="FJ5724" s="164"/>
      <c r="FL5724" s="2"/>
      <c r="FN5724" s="2"/>
    </row>
    <row r="5725" spans="153:170" x14ac:dyDescent="0.35">
      <c r="EW5725" s="48"/>
      <c r="FB5725" s="5"/>
      <c r="FI5725" s="5"/>
      <c r="FJ5725" s="164"/>
      <c r="FL5725" s="2"/>
      <c r="FN5725" s="2"/>
    </row>
    <row r="5726" spans="153:170" x14ac:dyDescent="0.35">
      <c r="EW5726" s="48"/>
      <c r="FB5726" s="5"/>
      <c r="FI5726" s="5"/>
      <c r="FJ5726" s="164"/>
      <c r="FL5726" s="2"/>
      <c r="FN5726" s="2"/>
    </row>
    <row r="5727" spans="153:170" x14ac:dyDescent="0.35">
      <c r="EW5727" s="48"/>
      <c r="FB5727" s="5"/>
      <c r="FI5727" s="5"/>
      <c r="FJ5727" s="164"/>
      <c r="FL5727" s="2"/>
      <c r="FN5727" s="2"/>
    </row>
    <row r="5728" spans="153:170" x14ac:dyDescent="0.35">
      <c r="EW5728" s="48"/>
      <c r="FB5728" s="5"/>
      <c r="FI5728" s="5"/>
      <c r="FJ5728" s="164"/>
      <c r="FL5728" s="2"/>
      <c r="FN5728" s="2"/>
    </row>
    <row r="5729" spans="153:170" x14ac:dyDescent="0.35">
      <c r="EW5729" s="48"/>
      <c r="FB5729" s="5"/>
      <c r="FI5729" s="5"/>
      <c r="FJ5729" s="164"/>
      <c r="FL5729" s="2"/>
      <c r="FN5729" s="2"/>
    </row>
    <row r="5730" spans="153:170" x14ac:dyDescent="0.35">
      <c r="EW5730" s="48"/>
      <c r="FB5730" s="5"/>
      <c r="FI5730" s="5"/>
      <c r="FJ5730" s="164"/>
      <c r="FL5730" s="2"/>
      <c r="FN5730" s="2"/>
    </row>
    <row r="5731" spans="153:170" x14ac:dyDescent="0.35">
      <c r="EW5731" s="48"/>
      <c r="FB5731" s="5"/>
      <c r="FI5731" s="5"/>
      <c r="FJ5731" s="164"/>
      <c r="FL5731" s="2"/>
      <c r="FN5731" s="2"/>
    </row>
    <row r="5732" spans="153:170" x14ac:dyDescent="0.35">
      <c r="EW5732" s="48"/>
      <c r="FB5732" s="5"/>
      <c r="FI5732" s="5"/>
      <c r="FJ5732" s="164"/>
      <c r="FL5732" s="2"/>
      <c r="FN5732" s="2"/>
    </row>
    <row r="5733" spans="153:170" x14ac:dyDescent="0.35">
      <c r="EW5733" s="48"/>
      <c r="FB5733" s="5"/>
      <c r="FI5733" s="5"/>
      <c r="FJ5733" s="164"/>
      <c r="FL5733" s="2"/>
      <c r="FN5733" s="2"/>
    </row>
    <row r="5734" spans="153:170" x14ac:dyDescent="0.35">
      <c r="EW5734" s="48"/>
      <c r="FB5734" s="5"/>
      <c r="FI5734" s="5"/>
      <c r="FJ5734" s="164"/>
      <c r="FL5734" s="2"/>
      <c r="FN5734" s="2"/>
    </row>
    <row r="5735" spans="153:170" x14ac:dyDescent="0.35">
      <c r="EW5735" s="48"/>
      <c r="FB5735" s="5"/>
      <c r="FI5735" s="5"/>
      <c r="FJ5735" s="164"/>
      <c r="FL5735" s="2"/>
      <c r="FN5735" s="2"/>
    </row>
    <row r="5736" spans="153:170" x14ac:dyDescent="0.35">
      <c r="EW5736" s="48"/>
      <c r="FB5736" s="5"/>
      <c r="FI5736" s="5"/>
      <c r="FJ5736" s="164"/>
      <c r="FL5736" s="2"/>
      <c r="FN5736" s="2"/>
    </row>
    <row r="5737" spans="153:170" x14ac:dyDescent="0.35">
      <c r="EW5737" s="48"/>
      <c r="FB5737" s="5"/>
      <c r="FI5737" s="5"/>
      <c r="FJ5737" s="164"/>
      <c r="FL5737" s="2"/>
      <c r="FN5737" s="2"/>
    </row>
    <row r="5738" spans="153:170" x14ac:dyDescent="0.35">
      <c r="EW5738" s="48"/>
      <c r="FB5738" s="5"/>
      <c r="FI5738" s="5"/>
      <c r="FJ5738" s="164"/>
      <c r="FL5738" s="2"/>
      <c r="FN5738" s="2"/>
    </row>
    <row r="5739" spans="153:170" x14ac:dyDescent="0.35">
      <c r="EW5739" s="48"/>
      <c r="FB5739" s="5"/>
      <c r="FI5739" s="5"/>
      <c r="FJ5739" s="164"/>
      <c r="FL5739" s="2"/>
      <c r="FN5739" s="2"/>
    </row>
    <row r="5740" spans="153:170" x14ac:dyDescent="0.35">
      <c r="EW5740" s="48"/>
      <c r="FB5740" s="5"/>
      <c r="FI5740" s="5"/>
      <c r="FJ5740" s="164"/>
      <c r="FL5740" s="2"/>
      <c r="FN5740" s="2"/>
    </row>
    <row r="5741" spans="153:170" x14ac:dyDescent="0.35">
      <c r="EW5741" s="48"/>
      <c r="FB5741" s="5"/>
      <c r="FI5741" s="5"/>
      <c r="FJ5741" s="164"/>
      <c r="FL5741" s="2"/>
      <c r="FN5741" s="2"/>
    </row>
    <row r="5742" spans="153:170" x14ac:dyDescent="0.35">
      <c r="EW5742" s="48"/>
      <c r="FB5742" s="5"/>
      <c r="FI5742" s="5"/>
      <c r="FJ5742" s="164"/>
      <c r="FL5742" s="2"/>
      <c r="FN5742" s="2"/>
    </row>
    <row r="5743" spans="153:170" x14ac:dyDescent="0.35">
      <c r="EW5743" s="48"/>
      <c r="FB5743" s="5"/>
      <c r="FI5743" s="5"/>
      <c r="FJ5743" s="164"/>
      <c r="FL5743" s="2"/>
      <c r="FN5743" s="2"/>
    </row>
    <row r="5744" spans="153:170" x14ac:dyDescent="0.35">
      <c r="EW5744" s="48"/>
      <c r="FB5744" s="5"/>
      <c r="FI5744" s="5"/>
      <c r="FJ5744" s="164"/>
      <c r="FL5744" s="2"/>
      <c r="FN5744" s="2"/>
    </row>
    <row r="5745" spans="153:170" x14ac:dyDescent="0.35">
      <c r="EW5745" s="48"/>
      <c r="FB5745" s="5"/>
      <c r="FI5745" s="5"/>
      <c r="FJ5745" s="164"/>
      <c r="FL5745" s="2"/>
      <c r="FN5745" s="2"/>
    </row>
    <row r="5746" spans="153:170" x14ac:dyDescent="0.35">
      <c r="EW5746" s="48"/>
      <c r="FB5746" s="5"/>
      <c r="FI5746" s="5"/>
      <c r="FJ5746" s="164"/>
      <c r="FL5746" s="2"/>
      <c r="FN5746" s="2"/>
    </row>
    <row r="5747" spans="153:170" x14ac:dyDescent="0.35">
      <c r="EW5747" s="48"/>
      <c r="FB5747" s="5"/>
      <c r="FI5747" s="5"/>
      <c r="FJ5747" s="164"/>
      <c r="FL5747" s="2"/>
      <c r="FN5747" s="2"/>
    </row>
    <row r="5748" spans="153:170" x14ac:dyDescent="0.35">
      <c r="EW5748" s="48"/>
      <c r="FB5748" s="5"/>
      <c r="FI5748" s="5"/>
      <c r="FJ5748" s="164"/>
      <c r="FL5748" s="2"/>
      <c r="FN5748" s="2"/>
    </row>
    <row r="5749" spans="153:170" x14ac:dyDescent="0.35">
      <c r="EW5749" s="48"/>
      <c r="FB5749" s="5"/>
      <c r="FI5749" s="5"/>
      <c r="FJ5749" s="164"/>
      <c r="FL5749" s="2"/>
      <c r="FN5749" s="2"/>
    </row>
    <row r="5750" spans="153:170" x14ac:dyDescent="0.35">
      <c r="EW5750" s="48"/>
      <c r="FB5750" s="5"/>
      <c r="FI5750" s="5"/>
      <c r="FJ5750" s="164"/>
      <c r="FL5750" s="2"/>
      <c r="FN5750" s="2"/>
    </row>
    <row r="5751" spans="153:170" x14ac:dyDescent="0.35">
      <c r="EW5751" s="48"/>
      <c r="FB5751" s="5"/>
      <c r="FI5751" s="5"/>
      <c r="FJ5751" s="164"/>
      <c r="FL5751" s="2"/>
      <c r="FN5751" s="2"/>
    </row>
    <row r="5752" spans="153:170" x14ac:dyDescent="0.35">
      <c r="EW5752" s="48"/>
      <c r="FB5752" s="5"/>
      <c r="FI5752" s="5"/>
      <c r="FJ5752" s="164"/>
      <c r="FL5752" s="2"/>
      <c r="FN5752" s="2"/>
    </row>
    <row r="5753" spans="153:170" x14ac:dyDescent="0.35">
      <c r="EW5753" s="48"/>
      <c r="FB5753" s="5"/>
      <c r="FI5753" s="5"/>
      <c r="FJ5753" s="164"/>
      <c r="FL5753" s="2"/>
      <c r="FN5753" s="2"/>
    </row>
    <row r="5754" spans="153:170" x14ac:dyDescent="0.35">
      <c r="EW5754" s="48"/>
      <c r="FB5754" s="5"/>
      <c r="FI5754" s="5"/>
      <c r="FJ5754" s="164"/>
      <c r="FL5754" s="2"/>
      <c r="FN5754" s="2"/>
    </row>
    <row r="5755" spans="153:170" x14ac:dyDescent="0.35">
      <c r="EW5755" s="48"/>
      <c r="FB5755" s="5"/>
      <c r="FI5755" s="5"/>
      <c r="FJ5755" s="164"/>
      <c r="FL5755" s="2"/>
      <c r="FN5755" s="2"/>
    </row>
    <row r="5756" spans="153:170" x14ac:dyDescent="0.35">
      <c r="EW5756" s="48"/>
      <c r="FB5756" s="5"/>
      <c r="FI5756" s="5"/>
      <c r="FJ5756" s="164"/>
      <c r="FL5756" s="2"/>
      <c r="FN5756" s="2"/>
    </row>
    <row r="5757" spans="153:170" x14ac:dyDescent="0.35">
      <c r="EW5757" s="48"/>
      <c r="FB5757" s="5"/>
      <c r="FI5757" s="5"/>
      <c r="FJ5757" s="164"/>
      <c r="FL5757" s="2"/>
      <c r="FN5757" s="2"/>
    </row>
    <row r="5758" spans="153:170" x14ac:dyDescent="0.35">
      <c r="EW5758" s="48"/>
      <c r="FB5758" s="5"/>
      <c r="FI5758" s="5"/>
      <c r="FJ5758" s="164"/>
      <c r="FL5758" s="2"/>
      <c r="FN5758" s="2"/>
    </row>
    <row r="5759" spans="153:170" x14ac:dyDescent="0.35">
      <c r="EW5759" s="48"/>
      <c r="FB5759" s="5"/>
      <c r="FI5759" s="5"/>
      <c r="FJ5759" s="164"/>
      <c r="FL5759" s="2"/>
      <c r="FN5759" s="2"/>
    </row>
    <row r="5760" spans="153:170" x14ac:dyDescent="0.35">
      <c r="EW5760" s="48"/>
      <c r="FB5760" s="5"/>
      <c r="FI5760" s="5"/>
      <c r="FJ5760" s="164"/>
      <c r="FL5760" s="2"/>
      <c r="FN5760" s="2"/>
    </row>
    <row r="5761" spans="153:170" x14ac:dyDescent="0.35">
      <c r="EW5761" s="48"/>
      <c r="FB5761" s="5"/>
      <c r="FI5761" s="5"/>
      <c r="FJ5761" s="164"/>
      <c r="FL5761" s="2"/>
      <c r="FN5761" s="2"/>
    </row>
    <row r="5762" spans="153:170" x14ac:dyDescent="0.35">
      <c r="EW5762" s="48"/>
      <c r="FB5762" s="5"/>
      <c r="FI5762" s="5"/>
      <c r="FJ5762" s="164"/>
      <c r="FL5762" s="2"/>
      <c r="FN5762" s="2"/>
    </row>
    <row r="5763" spans="153:170" x14ac:dyDescent="0.35">
      <c r="EW5763" s="48"/>
      <c r="FB5763" s="5"/>
      <c r="FI5763" s="5"/>
      <c r="FJ5763" s="164"/>
      <c r="FL5763" s="2"/>
      <c r="FN5763" s="2"/>
    </row>
    <row r="5764" spans="153:170" x14ac:dyDescent="0.35">
      <c r="EW5764" s="48"/>
      <c r="FB5764" s="5"/>
      <c r="FI5764" s="5"/>
      <c r="FJ5764" s="164"/>
      <c r="FL5764" s="2"/>
      <c r="FN5764" s="2"/>
    </row>
    <row r="5765" spans="153:170" x14ac:dyDescent="0.35">
      <c r="EW5765" s="48"/>
      <c r="FB5765" s="5"/>
      <c r="FI5765" s="5"/>
      <c r="FJ5765" s="164"/>
      <c r="FL5765" s="2"/>
      <c r="FN5765" s="2"/>
    </row>
    <row r="5766" spans="153:170" x14ac:dyDescent="0.35">
      <c r="EW5766" s="48"/>
      <c r="FB5766" s="5"/>
      <c r="FI5766" s="5"/>
      <c r="FJ5766" s="164"/>
      <c r="FL5766" s="2"/>
      <c r="FN5766" s="2"/>
    </row>
    <row r="5767" spans="153:170" x14ac:dyDescent="0.35">
      <c r="EW5767" s="48"/>
      <c r="FB5767" s="5"/>
      <c r="FI5767" s="5"/>
      <c r="FJ5767" s="164"/>
      <c r="FL5767" s="2"/>
      <c r="FN5767" s="2"/>
    </row>
    <row r="5768" spans="153:170" x14ac:dyDescent="0.35">
      <c r="EW5768" s="48"/>
      <c r="FB5768" s="5"/>
      <c r="FI5768" s="5"/>
      <c r="FJ5768" s="164"/>
      <c r="FL5768" s="2"/>
      <c r="FN5768" s="2"/>
    </row>
    <row r="5769" spans="153:170" x14ac:dyDescent="0.35">
      <c r="EW5769" s="48"/>
      <c r="FB5769" s="5"/>
      <c r="FI5769" s="5"/>
      <c r="FJ5769" s="164"/>
      <c r="FL5769" s="2"/>
      <c r="FN5769" s="2"/>
    </row>
    <row r="5770" spans="153:170" x14ac:dyDescent="0.35">
      <c r="EW5770" s="48"/>
      <c r="FB5770" s="5"/>
      <c r="FI5770" s="5"/>
      <c r="FJ5770" s="164"/>
      <c r="FL5770" s="2"/>
      <c r="FN5770" s="2"/>
    </row>
    <row r="5771" spans="153:170" x14ac:dyDescent="0.35">
      <c r="EW5771" s="48"/>
      <c r="FB5771" s="5"/>
      <c r="FI5771" s="5"/>
      <c r="FJ5771" s="164"/>
      <c r="FL5771" s="2"/>
      <c r="FN5771" s="2"/>
    </row>
    <row r="5772" spans="153:170" x14ac:dyDescent="0.35">
      <c r="EW5772" s="48"/>
      <c r="FB5772" s="5"/>
      <c r="FI5772" s="5"/>
      <c r="FJ5772" s="164"/>
      <c r="FL5772" s="2"/>
      <c r="FN5772" s="2"/>
    </row>
    <row r="5773" spans="153:170" x14ac:dyDescent="0.35">
      <c r="EW5773" s="48"/>
      <c r="FB5773" s="5"/>
      <c r="FI5773" s="5"/>
      <c r="FJ5773" s="164"/>
      <c r="FL5773" s="2"/>
      <c r="FN5773" s="2"/>
    </row>
    <row r="5774" spans="153:170" x14ac:dyDescent="0.35">
      <c r="EW5774" s="48"/>
      <c r="FB5774" s="5"/>
      <c r="FI5774" s="5"/>
      <c r="FJ5774" s="164"/>
      <c r="FL5774" s="2"/>
      <c r="FN5774" s="2"/>
    </row>
    <row r="5775" spans="153:170" x14ac:dyDescent="0.35">
      <c r="EW5775" s="48"/>
      <c r="FB5775" s="5"/>
      <c r="FI5775" s="5"/>
      <c r="FJ5775" s="164"/>
      <c r="FL5775" s="2"/>
      <c r="FN5775" s="2"/>
    </row>
    <row r="5776" spans="153:170" x14ac:dyDescent="0.35">
      <c r="EW5776" s="48"/>
      <c r="FB5776" s="5"/>
      <c r="FI5776" s="5"/>
      <c r="FJ5776" s="164"/>
      <c r="FL5776" s="2"/>
      <c r="FN5776" s="2"/>
    </row>
    <row r="5777" spans="153:170" x14ac:dyDescent="0.35">
      <c r="EW5777" s="48"/>
      <c r="FB5777" s="5"/>
      <c r="FI5777" s="5"/>
      <c r="FJ5777" s="164"/>
      <c r="FL5777" s="2"/>
      <c r="FN5777" s="2"/>
    </row>
    <row r="5778" spans="153:170" x14ac:dyDescent="0.35">
      <c r="EW5778" s="48"/>
      <c r="FB5778" s="5"/>
      <c r="FI5778" s="5"/>
      <c r="FJ5778" s="164"/>
      <c r="FL5778" s="2"/>
      <c r="FN5778" s="2"/>
    </row>
    <row r="5779" spans="153:170" x14ac:dyDescent="0.35">
      <c r="EW5779" s="48"/>
      <c r="FB5779" s="5"/>
      <c r="FI5779" s="5"/>
      <c r="FJ5779" s="164"/>
      <c r="FL5779" s="2"/>
      <c r="FN5779" s="2"/>
    </row>
    <row r="5780" spans="153:170" x14ac:dyDescent="0.35">
      <c r="EW5780" s="48"/>
      <c r="FB5780" s="5"/>
      <c r="FI5780" s="5"/>
      <c r="FJ5780" s="164"/>
      <c r="FL5780" s="2"/>
      <c r="FN5780" s="2"/>
    </row>
    <row r="5781" spans="153:170" x14ac:dyDescent="0.35">
      <c r="EW5781" s="48"/>
      <c r="FB5781" s="5"/>
      <c r="FI5781" s="5"/>
      <c r="FJ5781" s="164"/>
      <c r="FL5781" s="2"/>
      <c r="FN5781" s="2"/>
    </row>
    <row r="5782" spans="153:170" x14ac:dyDescent="0.35">
      <c r="EW5782" s="48"/>
      <c r="FB5782" s="5"/>
      <c r="FI5782" s="5"/>
      <c r="FJ5782" s="164"/>
      <c r="FL5782" s="2"/>
      <c r="FN5782" s="2"/>
    </row>
    <row r="5783" spans="153:170" x14ac:dyDescent="0.35">
      <c r="EW5783" s="48"/>
      <c r="FB5783" s="5"/>
      <c r="FI5783" s="5"/>
      <c r="FJ5783" s="164"/>
      <c r="FL5783" s="2"/>
      <c r="FN5783" s="2"/>
    </row>
    <row r="5784" spans="153:170" x14ac:dyDescent="0.35">
      <c r="EW5784" s="48"/>
      <c r="FB5784" s="5"/>
      <c r="FI5784" s="5"/>
      <c r="FJ5784" s="164"/>
      <c r="FL5784" s="2"/>
      <c r="FN5784" s="2"/>
    </row>
    <row r="5785" spans="153:170" x14ac:dyDescent="0.35">
      <c r="EW5785" s="48"/>
      <c r="FB5785" s="5"/>
      <c r="FI5785" s="5"/>
      <c r="FJ5785" s="164"/>
      <c r="FL5785" s="2"/>
      <c r="FN5785" s="2"/>
    </row>
    <row r="5786" spans="153:170" x14ac:dyDescent="0.35">
      <c r="EW5786" s="48"/>
      <c r="FB5786" s="5"/>
      <c r="FI5786" s="5"/>
      <c r="FJ5786" s="164"/>
      <c r="FL5786" s="2"/>
      <c r="FN5786" s="2"/>
    </row>
    <row r="5787" spans="153:170" x14ac:dyDescent="0.35">
      <c r="EW5787" s="48"/>
      <c r="FB5787" s="5"/>
      <c r="FI5787" s="5"/>
      <c r="FJ5787" s="164"/>
      <c r="FL5787" s="2"/>
      <c r="FN5787" s="2"/>
    </row>
    <row r="5788" spans="153:170" x14ac:dyDescent="0.35">
      <c r="EW5788" s="48"/>
      <c r="FB5788" s="5"/>
      <c r="FI5788" s="5"/>
      <c r="FJ5788" s="164"/>
      <c r="FL5788" s="2"/>
      <c r="FN5788" s="2"/>
    </row>
    <row r="5789" spans="153:170" x14ac:dyDescent="0.35">
      <c r="EW5789" s="48"/>
      <c r="FB5789" s="5"/>
      <c r="FI5789" s="5"/>
      <c r="FJ5789" s="164"/>
      <c r="FL5789" s="2"/>
      <c r="FN5789" s="2"/>
    </row>
    <row r="5790" spans="153:170" x14ac:dyDescent="0.35">
      <c r="EW5790" s="48"/>
      <c r="FB5790" s="5"/>
      <c r="FI5790" s="5"/>
      <c r="FJ5790" s="164"/>
      <c r="FL5790" s="2"/>
      <c r="FN5790" s="2"/>
    </row>
    <row r="5791" spans="153:170" x14ac:dyDescent="0.35">
      <c r="EW5791" s="48"/>
      <c r="FB5791" s="5"/>
      <c r="FI5791" s="5"/>
      <c r="FJ5791" s="164"/>
      <c r="FL5791" s="2"/>
      <c r="FN5791" s="2"/>
    </row>
    <row r="5792" spans="153:170" x14ac:dyDescent="0.35">
      <c r="EW5792" s="48"/>
      <c r="FB5792" s="5"/>
      <c r="FI5792" s="5"/>
      <c r="FJ5792" s="164"/>
      <c r="FL5792" s="2"/>
      <c r="FN5792" s="2"/>
    </row>
    <row r="5793" spans="153:170" x14ac:dyDescent="0.35">
      <c r="EW5793" s="48"/>
      <c r="FB5793" s="5"/>
      <c r="FI5793" s="5"/>
      <c r="FJ5793" s="164"/>
      <c r="FL5793" s="2"/>
      <c r="FN5793" s="2"/>
    </row>
    <row r="5794" spans="153:170" x14ac:dyDescent="0.35">
      <c r="EW5794" s="48"/>
      <c r="FB5794" s="5"/>
      <c r="FI5794" s="5"/>
      <c r="FJ5794" s="164"/>
      <c r="FL5794" s="2"/>
      <c r="FN5794" s="2"/>
    </row>
    <row r="5795" spans="153:170" x14ac:dyDescent="0.35">
      <c r="EW5795" s="48"/>
      <c r="FB5795" s="5"/>
      <c r="FI5795" s="5"/>
      <c r="FJ5795" s="164"/>
      <c r="FL5795" s="2"/>
      <c r="FN5795" s="2"/>
    </row>
    <row r="5796" spans="153:170" x14ac:dyDescent="0.35">
      <c r="EW5796" s="48"/>
      <c r="FB5796" s="5"/>
      <c r="FI5796" s="5"/>
      <c r="FJ5796" s="164"/>
      <c r="FL5796" s="2"/>
      <c r="FN5796" s="2"/>
    </row>
    <row r="5797" spans="153:170" x14ac:dyDescent="0.35">
      <c r="EW5797" s="48"/>
      <c r="FB5797" s="5"/>
      <c r="FI5797" s="5"/>
      <c r="FJ5797" s="164"/>
      <c r="FL5797" s="2"/>
      <c r="FN5797" s="2"/>
    </row>
    <row r="5798" spans="153:170" x14ac:dyDescent="0.35">
      <c r="EW5798" s="48"/>
      <c r="FB5798" s="5"/>
      <c r="FI5798" s="5"/>
      <c r="FJ5798" s="164"/>
      <c r="FL5798" s="2"/>
      <c r="FN5798" s="2"/>
    </row>
    <row r="5799" spans="153:170" x14ac:dyDescent="0.35">
      <c r="EW5799" s="48"/>
      <c r="FB5799" s="5"/>
      <c r="FI5799" s="5"/>
      <c r="FJ5799" s="164"/>
      <c r="FL5799" s="2"/>
      <c r="FN5799" s="2"/>
    </row>
    <row r="5800" spans="153:170" x14ac:dyDescent="0.35">
      <c r="EW5800" s="48"/>
      <c r="FB5800" s="5"/>
      <c r="FI5800" s="5"/>
      <c r="FJ5800" s="164"/>
      <c r="FL5800" s="2"/>
      <c r="FN5800" s="2"/>
    </row>
    <row r="5801" spans="153:170" x14ac:dyDescent="0.35">
      <c r="EW5801" s="48"/>
      <c r="FB5801" s="5"/>
      <c r="FI5801" s="5"/>
      <c r="FJ5801" s="164"/>
      <c r="FL5801" s="2"/>
      <c r="FN5801" s="2"/>
    </row>
    <row r="5802" spans="153:170" x14ac:dyDescent="0.35">
      <c r="EW5802" s="48"/>
      <c r="FB5802" s="5"/>
      <c r="FI5802" s="5"/>
      <c r="FJ5802" s="164"/>
      <c r="FL5802" s="2"/>
      <c r="FN5802" s="2"/>
    </row>
    <row r="5803" spans="153:170" x14ac:dyDescent="0.35">
      <c r="EW5803" s="48"/>
      <c r="FB5803" s="5"/>
      <c r="FI5803" s="5"/>
      <c r="FJ5803" s="164"/>
      <c r="FL5803" s="2"/>
      <c r="FN5803" s="2"/>
    </row>
    <row r="5804" spans="153:170" x14ac:dyDescent="0.35">
      <c r="EW5804" s="48"/>
      <c r="FB5804" s="5"/>
      <c r="FI5804" s="5"/>
      <c r="FJ5804" s="164"/>
      <c r="FL5804" s="2"/>
      <c r="FN5804" s="2"/>
    </row>
    <row r="5805" spans="153:170" x14ac:dyDescent="0.35">
      <c r="EW5805" s="48"/>
      <c r="FB5805" s="5"/>
      <c r="FI5805" s="5"/>
      <c r="FJ5805" s="164"/>
      <c r="FL5805" s="2"/>
      <c r="FN5805" s="2"/>
    </row>
    <row r="5806" spans="153:170" x14ac:dyDescent="0.35">
      <c r="EW5806" s="48"/>
      <c r="FB5806" s="5"/>
      <c r="FI5806" s="5"/>
      <c r="FJ5806" s="164"/>
      <c r="FL5806" s="2"/>
      <c r="FN5806" s="2"/>
    </row>
    <row r="5807" spans="153:170" x14ac:dyDescent="0.35">
      <c r="EW5807" s="48"/>
      <c r="FB5807" s="5"/>
      <c r="FI5807" s="5"/>
      <c r="FJ5807" s="164"/>
      <c r="FL5807" s="2"/>
      <c r="FN5807" s="2"/>
    </row>
    <row r="5808" spans="153:170" x14ac:dyDescent="0.35">
      <c r="EW5808" s="48"/>
      <c r="FB5808" s="5"/>
      <c r="FI5808" s="5"/>
      <c r="FJ5808" s="164"/>
      <c r="FL5808" s="2"/>
      <c r="FN5808" s="2"/>
    </row>
    <row r="5809" spans="153:170" x14ac:dyDescent="0.35">
      <c r="EW5809" s="48"/>
      <c r="FB5809" s="5"/>
      <c r="FI5809" s="5"/>
      <c r="FJ5809" s="164"/>
      <c r="FL5809" s="2"/>
      <c r="FN5809" s="2"/>
    </row>
    <row r="5810" spans="153:170" x14ac:dyDescent="0.35">
      <c r="EW5810" s="48"/>
      <c r="FB5810" s="5"/>
      <c r="FI5810" s="5"/>
      <c r="FJ5810" s="164"/>
      <c r="FL5810" s="2"/>
      <c r="FN5810" s="2"/>
    </row>
    <row r="5811" spans="153:170" x14ac:dyDescent="0.35">
      <c r="EW5811" s="48"/>
      <c r="FB5811" s="5"/>
      <c r="FI5811" s="5"/>
      <c r="FJ5811" s="164"/>
      <c r="FL5811" s="2"/>
      <c r="FN5811" s="2"/>
    </row>
    <row r="5812" spans="153:170" x14ac:dyDescent="0.35">
      <c r="EW5812" s="48"/>
      <c r="FB5812" s="5"/>
      <c r="FI5812" s="5"/>
      <c r="FJ5812" s="164"/>
      <c r="FL5812" s="2"/>
      <c r="FN5812" s="2"/>
    </row>
    <row r="5813" spans="153:170" x14ac:dyDescent="0.35">
      <c r="EW5813" s="48"/>
      <c r="FB5813" s="5"/>
      <c r="FI5813" s="5"/>
      <c r="FJ5813" s="164"/>
      <c r="FL5813" s="2"/>
      <c r="FN5813" s="2"/>
    </row>
    <row r="5814" spans="153:170" x14ac:dyDescent="0.35">
      <c r="EW5814" s="48"/>
      <c r="FB5814" s="5"/>
      <c r="FI5814" s="5"/>
      <c r="FJ5814" s="164"/>
      <c r="FL5814" s="2"/>
      <c r="FN5814" s="2"/>
    </row>
    <row r="5815" spans="153:170" x14ac:dyDescent="0.35">
      <c r="EW5815" s="48"/>
      <c r="FB5815" s="5"/>
      <c r="FI5815" s="5"/>
      <c r="FJ5815" s="164"/>
      <c r="FL5815" s="2"/>
      <c r="FN5815" s="2"/>
    </row>
    <row r="5816" spans="153:170" x14ac:dyDescent="0.35">
      <c r="EW5816" s="48"/>
      <c r="FB5816" s="5"/>
      <c r="FI5816" s="5"/>
      <c r="FJ5816" s="164"/>
      <c r="FL5816" s="2"/>
      <c r="FN5816" s="2"/>
    </row>
    <row r="5817" spans="153:170" x14ac:dyDescent="0.35">
      <c r="EW5817" s="48"/>
      <c r="FB5817" s="5"/>
      <c r="FI5817" s="5"/>
      <c r="FJ5817" s="164"/>
      <c r="FL5817" s="2"/>
      <c r="FN5817" s="2"/>
    </row>
    <row r="5818" spans="153:170" x14ac:dyDescent="0.35">
      <c r="EW5818" s="48"/>
      <c r="FB5818" s="5"/>
      <c r="FI5818" s="5"/>
      <c r="FJ5818" s="164"/>
      <c r="FL5818" s="2"/>
      <c r="FN5818" s="2"/>
    </row>
    <row r="5819" spans="153:170" x14ac:dyDescent="0.35">
      <c r="EW5819" s="48"/>
      <c r="FB5819" s="5"/>
      <c r="FI5819" s="5"/>
      <c r="FJ5819" s="164"/>
      <c r="FL5819" s="2"/>
      <c r="FN5819" s="2"/>
    </row>
    <row r="5820" spans="153:170" x14ac:dyDescent="0.35">
      <c r="EW5820" s="48"/>
      <c r="FB5820" s="5"/>
      <c r="FI5820" s="5"/>
      <c r="FJ5820" s="164"/>
      <c r="FL5820" s="2"/>
      <c r="FN5820" s="2"/>
    </row>
    <row r="5821" spans="153:170" x14ac:dyDescent="0.35">
      <c r="EW5821" s="48"/>
      <c r="FB5821" s="5"/>
      <c r="FI5821" s="5"/>
      <c r="FJ5821" s="164"/>
      <c r="FL5821" s="2"/>
      <c r="FN5821" s="2"/>
    </row>
    <row r="5822" spans="153:170" x14ac:dyDescent="0.35">
      <c r="EW5822" s="48"/>
      <c r="FB5822" s="5"/>
      <c r="FI5822" s="5"/>
      <c r="FJ5822" s="164"/>
      <c r="FL5822" s="2"/>
      <c r="FN5822" s="2"/>
    </row>
    <row r="5823" spans="153:170" x14ac:dyDescent="0.35">
      <c r="EW5823" s="48"/>
      <c r="FB5823" s="5"/>
      <c r="FI5823" s="5"/>
      <c r="FJ5823" s="164"/>
      <c r="FL5823" s="2"/>
      <c r="FN5823" s="2"/>
    </row>
    <row r="5824" spans="153:170" x14ac:dyDescent="0.35">
      <c r="EW5824" s="48"/>
      <c r="FB5824" s="5"/>
      <c r="FI5824" s="5"/>
      <c r="FJ5824" s="164"/>
      <c r="FL5824" s="2"/>
      <c r="FN5824" s="2"/>
    </row>
    <row r="5825" spans="153:170" x14ac:dyDescent="0.35">
      <c r="EW5825" s="48"/>
      <c r="FB5825" s="5"/>
      <c r="FI5825" s="5"/>
      <c r="FJ5825" s="164"/>
      <c r="FL5825" s="2"/>
      <c r="FN5825" s="2"/>
    </row>
    <row r="5826" spans="153:170" x14ac:dyDescent="0.35">
      <c r="EW5826" s="48"/>
      <c r="FB5826" s="5"/>
      <c r="FI5826" s="5"/>
      <c r="FJ5826" s="164"/>
      <c r="FL5826" s="2"/>
      <c r="FN5826" s="2"/>
    </row>
    <row r="5827" spans="153:170" x14ac:dyDescent="0.35">
      <c r="EW5827" s="48"/>
      <c r="FB5827" s="5"/>
      <c r="FI5827" s="5"/>
      <c r="FJ5827" s="164"/>
      <c r="FL5827" s="2"/>
      <c r="FN5827" s="2"/>
    </row>
    <row r="5828" spans="153:170" x14ac:dyDescent="0.35">
      <c r="EW5828" s="48"/>
      <c r="FB5828" s="5"/>
      <c r="FI5828" s="5"/>
      <c r="FJ5828" s="164"/>
      <c r="FL5828" s="2"/>
      <c r="FN5828" s="2"/>
    </row>
    <row r="5829" spans="153:170" x14ac:dyDescent="0.35">
      <c r="EW5829" s="48"/>
      <c r="FB5829" s="5"/>
      <c r="FI5829" s="5"/>
      <c r="FJ5829" s="164"/>
      <c r="FL5829" s="2"/>
      <c r="FN5829" s="2"/>
    </row>
    <row r="5830" spans="153:170" x14ac:dyDescent="0.35">
      <c r="EW5830" s="48"/>
      <c r="FB5830" s="5"/>
      <c r="FI5830" s="5"/>
      <c r="FJ5830" s="164"/>
      <c r="FL5830" s="2"/>
      <c r="FN5830" s="2"/>
    </row>
    <row r="5831" spans="153:170" x14ac:dyDescent="0.35">
      <c r="EW5831" s="48"/>
      <c r="FB5831" s="5"/>
      <c r="FI5831" s="5"/>
      <c r="FJ5831" s="164"/>
      <c r="FL5831" s="2"/>
      <c r="FN5831" s="2"/>
    </row>
    <row r="5832" spans="153:170" x14ac:dyDescent="0.35">
      <c r="EW5832" s="48"/>
      <c r="FB5832" s="5"/>
      <c r="FI5832" s="5"/>
      <c r="FJ5832" s="164"/>
      <c r="FL5832" s="2"/>
      <c r="FN5832" s="2"/>
    </row>
    <row r="5833" spans="153:170" x14ac:dyDescent="0.35">
      <c r="EW5833" s="48"/>
      <c r="FB5833" s="5"/>
      <c r="FI5833" s="5"/>
      <c r="FJ5833" s="164"/>
      <c r="FL5833" s="2"/>
      <c r="FN5833" s="2"/>
    </row>
    <row r="5834" spans="153:170" x14ac:dyDescent="0.35">
      <c r="EW5834" s="48"/>
      <c r="FB5834" s="5"/>
      <c r="FI5834" s="5"/>
      <c r="FJ5834" s="164"/>
      <c r="FL5834" s="2"/>
      <c r="FN5834" s="2"/>
    </row>
    <row r="5835" spans="153:170" x14ac:dyDescent="0.35">
      <c r="EW5835" s="48"/>
      <c r="FB5835" s="5"/>
      <c r="FI5835" s="5"/>
      <c r="FJ5835" s="164"/>
      <c r="FL5835" s="2"/>
      <c r="FN5835" s="2"/>
    </row>
    <row r="5836" spans="153:170" x14ac:dyDescent="0.35">
      <c r="EW5836" s="48"/>
      <c r="FB5836" s="5"/>
      <c r="FI5836" s="5"/>
      <c r="FJ5836" s="164"/>
      <c r="FL5836" s="2"/>
      <c r="FN5836" s="2"/>
    </row>
    <row r="5837" spans="153:170" x14ac:dyDescent="0.35">
      <c r="EW5837" s="48"/>
      <c r="FB5837" s="5"/>
      <c r="FI5837" s="5"/>
      <c r="FJ5837" s="164"/>
      <c r="FL5837" s="2"/>
      <c r="FN5837" s="2"/>
    </row>
    <row r="5838" spans="153:170" x14ac:dyDescent="0.35">
      <c r="EW5838" s="48"/>
      <c r="FB5838" s="5"/>
      <c r="FI5838" s="5"/>
      <c r="FJ5838" s="164"/>
      <c r="FL5838" s="2"/>
      <c r="FN5838" s="2"/>
    </row>
    <row r="5839" spans="153:170" x14ac:dyDescent="0.35">
      <c r="EW5839" s="48"/>
      <c r="FB5839" s="5"/>
      <c r="FI5839" s="5"/>
      <c r="FJ5839" s="164"/>
      <c r="FL5839" s="2"/>
      <c r="FN5839" s="2"/>
    </row>
    <row r="5840" spans="153:170" x14ac:dyDescent="0.35">
      <c r="EW5840" s="48"/>
      <c r="FB5840" s="5"/>
      <c r="FI5840" s="5"/>
      <c r="FJ5840" s="164"/>
      <c r="FL5840" s="2"/>
      <c r="FN5840" s="2"/>
    </row>
    <row r="5841" spans="153:170" x14ac:dyDescent="0.35">
      <c r="EW5841" s="48"/>
      <c r="FB5841" s="5"/>
      <c r="FI5841" s="5"/>
      <c r="FJ5841" s="164"/>
      <c r="FL5841" s="2"/>
      <c r="FN5841" s="2"/>
    </row>
    <row r="5842" spans="153:170" x14ac:dyDescent="0.35">
      <c r="EW5842" s="48"/>
      <c r="FB5842" s="5"/>
      <c r="FI5842" s="5"/>
      <c r="FJ5842" s="164"/>
      <c r="FL5842" s="2"/>
      <c r="FN5842" s="2"/>
    </row>
    <row r="5843" spans="153:170" x14ac:dyDescent="0.35">
      <c r="EW5843" s="48"/>
      <c r="FB5843" s="5"/>
      <c r="FI5843" s="5"/>
      <c r="FJ5843" s="164"/>
      <c r="FL5843" s="2"/>
      <c r="FN5843" s="2"/>
    </row>
    <row r="5844" spans="153:170" x14ac:dyDescent="0.35">
      <c r="EW5844" s="48"/>
      <c r="FB5844" s="5"/>
      <c r="FI5844" s="5"/>
      <c r="FJ5844" s="164"/>
      <c r="FL5844" s="2"/>
      <c r="FN5844" s="2"/>
    </row>
    <row r="5845" spans="153:170" x14ac:dyDescent="0.35">
      <c r="EW5845" s="48"/>
      <c r="FB5845" s="5"/>
      <c r="FI5845" s="5"/>
      <c r="FJ5845" s="164"/>
      <c r="FL5845" s="2"/>
      <c r="FN5845" s="2"/>
    </row>
    <row r="5846" spans="153:170" x14ac:dyDescent="0.35">
      <c r="EW5846" s="48"/>
      <c r="FB5846" s="5"/>
      <c r="FI5846" s="5"/>
      <c r="FJ5846" s="164"/>
      <c r="FL5846" s="2"/>
      <c r="FN5846" s="2"/>
    </row>
    <row r="5847" spans="153:170" x14ac:dyDescent="0.35">
      <c r="EW5847" s="48"/>
      <c r="FB5847" s="5"/>
      <c r="FI5847" s="5"/>
      <c r="FJ5847" s="164"/>
      <c r="FL5847" s="2"/>
      <c r="FN5847" s="2"/>
    </row>
    <row r="5848" spans="153:170" x14ac:dyDescent="0.35">
      <c r="EW5848" s="48"/>
      <c r="FB5848" s="5"/>
      <c r="FI5848" s="5"/>
      <c r="FJ5848" s="164"/>
      <c r="FL5848" s="2"/>
      <c r="FN5848" s="2"/>
    </row>
    <row r="5849" spans="153:170" x14ac:dyDescent="0.35">
      <c r="EW5849" s="48"/>
      <c r="FB5849" s="5"/>
      <c r="FI5849" s="5"/>
      <c r="FJ5849" s="164"/>
      <c r="FL5849" s="2"/>
      <c r="FN5849" s="2"/>
    </row>
    <row r="5850" spans="153:170" x14ac:dyDescent="0.35">
      <c r="EW5850" s="48"/>
      <c r="FB5850" s="5"/>
      <c r="FI5850" s="5"/>
      <c r="FJ5850" s="164"/>
      <c r="FL5850" s="2"/>
      <c r="FN5850" s="2"/>
    </row>
    <row r="5851" spans="153:170" x14ac:dyDescent="0.35">
      <c r="EW5851" s="48"/>
      <c r="FB5851" s="5"/>
      <c r="FI5851" s="5"/>
      <c r="FJ5851" s="164"/>
      <c r="FL5851" s="2"/>
      <c r="FN5851" s="2"/>
    </row>
    <row r="5852" spans="153:170" x14ac:dyDescent="0.35">
      <c r="EW5852" s="48"/>
      <c r="FB5852" s="5"/>
      <c r="FI5852" s="5"/>
      <c r="FJ5852" s="164"/>
      <c r="FL5852" s="2"/>
      <c r="FN5852" s="2"/>
    </row>
    <row r="5853" spans="153:170" x14ac:dyDescent="0.35">
      <c r="EW5853" s="48"/>
      <c r="FB5853" s="5"/>
      <c r="FI5853" s="5"/>
      <c r="FJ5853" s="164"/>
      <c r="FL5853" s="2"/>
      <c r="FN5853" s="2"/>
    </row>
    <row r="5854" spans="153:170" x14ac:dyDescent="0.35">
      <c r="EW5854" s="48"/>
      <c r="FB5854" s="5"/>
      <c r="FI5854" s="5"/>
      <c r="FJ5854" s="164"/>
      <c r="FL5854" s="2"/>
      <c r="FN5854" s="2"/>
    </row>
    <row r="5855" spans="153:170" x14ac:dyDescent="0.35">
      <c r="EW5855" s="48"/>
      <c r="FB5855" s="5"/>
      <c r="FI5855" s="5"/>
      <c r="FJ5855" s="164"/>
      <c r="FL5855" s="2"/>
      <c r="FN5855" s="2"/>
    </row>
    <row r="5856" spans="153:170" x14ac:dyDescent="0.35">
      <c r="EW5856" s="48"/>
      <c r="FB5856" s="5"/>
      <c r="FI5856" s="5"/>
      <c r="FJ5856" s="164"/>
      <c r="FL5856" s="2"/>
      <c r="FN5856" s="2"/>
    </row>
    <row r="5857" spans="153:170" x14ac:dyDescent="0.35">
      <c r="EW5857" s="48"/>
      <c r="FB5857" s="5"/>
      <c r="FI5857" s="5"/>
      <c r="FJ5857" s="164"/>
      <c r="FL5857" s="2"/>
      <c r="FN5857" s="2"/>
    </row>
    <row r="5858" spans="153:170" x14ac:dyDescent="0.35">
      <c r="EW5858" s="48"/>
      <c r="FB5858" s="5"/>
      <c r="FI5858" s="5"/>
      <c r="FJ5858" s="164"/>
      <c r="FL5858" s="2"/>
      <c r="FN5858" s="2"/>
    </row>
    <row r="5859" spans="153:170" x14ac:dyDescent="0.35">
      <c r="EW5859" s="48"/>
      <c r="FB5859" s="5"/>
      <c r="FI5859" s="5"/>
      <c r="FJ5859" s="164"/>
      <c r="FL5859" s="2"/>
      <c r="FN5859" s="2"/>
    </row>
    <row r="5860" spans="153:170" x14ac:dyDescent="0.35">
      <c r="EW5860" s="48"/>
      <c r="FB5860" s="5"/>
      <c r="FI5860" s="5"/>
      <c r="FJ5860" s="164"/>
      <c r="FL5860" s="2"/>
      <c r="FN5860" s="2"/>
    </row>
    <row r="5861" spans="153:170" x14ac:dyDescent="0.35">
      <c r="EW5861" s="48"/>
      <c r="FB5861" s="5"/>
      <c r="FI5861" s="5"/>
      <c r="FJ5861" s="164"/>
      <c r="FL5861" s="2"/>
      <c r="FN5861" s="2"/>
    </row>
    <row r="5862" spans="153:170" x14ac:dyDescent="0.35">
      <c r="EW5862" s="48"/>
      <c r="FB5862" s="5"/>
      <c r="FI5862" s="5"/>
      <c r="FJ5862" s="164"/>
      <c r="FL5862" s="2"/>
      <c r="FN5862" s="2"/>
    </row>
    <row r="5863" spans="153:170" x14ac:dyDescent="0.35">
      <c r="EW5863" s="48"/>
      <c r="FB5863" s="5"/>
      <c r="FI5863" s="5"/>
      <c r="FJ5863" s="164"/>
      <c r="FL5863" s="2"/>
      <c r="FN5863" s="2"/>
    </row>
    <row r="5864" spans="153:170" x14ac:dyDescent="0.35">
      <c r="EW5864" s="48"/>
      <c r="FB5864" s="5"/>
      <c r="FI5864" s="5"/>
      <c r="FJ5864" s="164"/>
      <c r="FL5864" s="2"/>
      <c r="FN5864" s="2"/>
    </row>
    <row r="5865" spans="153:170" x14ac:dyDescent="0.35">
      <c r="EW5865" s="48"/>
      <c r="FB5865" s="5"/>
      <c r="FI5865" s="5"/>
      <c r="FJ5865" s="164"/>
      <c r="FL5865" s="2"/>
      <c r="FN5865" s="2"/>
    </row>
    <row r="5866" spans="153:170" x14ac:dyDescent="0.35">
      <c r="EW5866" s="48"/>
      <c r="FB5866" s="5"/>
      <c r="FI5866" s="5"/>
      <c r="FJ5866" s="164"/>
      <c r="FL5866" s="2"/>
      <c r="FN5866" s="2"/>
    </row>
    <row r="5867" spans="153:170" x14ac:dyDescent="0.35">
      <c r="EW5867" s="48"/>
      <c r="FB5867" s="5"/>
      <c r="FI5867" s="5"/>
      <c r="FJ5867" s="164"/>
      <c r="FL5867" s="2"/>
      <c r="FN5867" s="2"/>
    </row>
    <row r="5868" spans="153:170" x14ac:dyDescent="0.35">
      <c r="EW5868" s="48"/>
      <c r="FB5868" s="5"/>
      <c r="FI5868" s="5"/>
      <c r="FJ5868" s="164"/>
      <c r="FL5868" s="2"/>
      <c r="FN5868" s="2"/>
    </row>
    <row r="5869" spans="153:170" x14ac:dyDescent="0.35">
      <c r="EW5869" s="48"/>
      <c r="FB5869" s="5"/>
      <c r="FI5869" s="5"/>
      <c r="FJ5869" s="164"/>
      <c r="FL5869" s="2"/>
      <c r="FN5869" s="2"/>
    </row>
    <row r="5870" spans="153:170" x14ac:dyDescent="0.35">
      <c r="EW5870" s="48"/>
      <c r="FB5870" s="5"/>
      <c r="FI5870" s="5"/>
      <c r="FJ5870" s="164"/>
      <c r="FL5870" s="2"/>
      <c r="FN5870" s="2"/>
    </row>
    <row r="5871" spans="153:170" x14ac:dyDescent="0.35">
      <c r="EW5871" s="48"/>
      <c r="FB5871" s="5"/>
      <c r="FI5871" s="5"/>
      <c r="FJ5871" s="164"/>
      <c r="FL5871" s="2"/>
      <c r="FN5871" s="2"/>
    </row>
    <row r="5872" spans="153:170" x14ac:dyDescent="0.35">
      <c r="EW5872" s="48"/>
      <c r="FB5872" s="5"/>
      <c r="FI5872" s="5"/>
      <c r="FJ5872" s="164"/>
      <c r="FL5872" s="2"/>
      <c r="FN5872" s="2"/>
    </row>
    <row r="5873" spans="153:170" x14ac:dyDescent="0.35">
      <c r="EW5873" s="48"/>
      <c r="FB5873" s="5"/>
      <c r="FI5873" s="5"/>
      <c r="FJ5873" s="164"/>
      <c r="FL5873" s="2"/>
      <c r="FN5873" s="2"/>
    </row>
    <row r="5874" spans="153:170" x14ac:dyDescent="0.35">
      <c r="EW5874" s="48"/>
      <c r="FB5874" s="5"/>
      <c r="FI5874" s="5"/>
      <c r="FJ5874" s="164"/>
      <c r="FL5874" s="2"/>
      <c r="FN5874" s="2"/>
    </row>
    <row r="5875" spans="153:170" x14ac:dyDescent="0.35">
      <c r="EW5875" s="48"/>
      <c r="FB5875" s="5"/>
      <c r="FI5875" s="5"/>
      <c r="FJ5875" s="164"/>
      <c r="FL5875" s="2"/>
      <c r="FN5875" s="2"/>
    </row>
    <row r="5876" spans="153:170" x14ac:dyDescent="0.35">
      <c r="EW5876" s="48"/>
      <c r="FB5876" s="5"/>
      <c r="FI5876" s="5"/>
      <c r="FJ5876" s="164"/>
      <c r="FL5876" s="2"/>
      <c r="FN5876" s="2"/>
    </row>
    <row r="5877" spans="153:170" x14ac:dyDescent="0.35">
      <c r="EW5877" s="48"/>
      <c r="FB5877" s="5"/>
      <c r="FI5877" s="5"/>
      <c r="FJ5877" s="164"/>
      <c r="FL5877" s="2"/>
      <c r="FN5877" s="2"/>
    </row>
    <row r="5878" spans="153:170" x14ac:dyDescent="0.35">
      <c r="EW5878" s="48"/>
      <c r="FB5878" s="5"/>
      <c r="FI5878" s="5"/>
      <c r="FJ5878" s="164"/>
      <c r="FL5878" s="2"/>
      <c r="FN5878" s="2"/>
    </row>
    <row r="5879" spans="153:170" x14ac:dyDescent="0.35">
      <c r="EW5879" s="48"/>
      <c r="FB5879" s="5"/>
      <c r="FI5879" s="5"/>
      <c r="FJ5879" s="164"/>
      <c r="FL5879" s="2"/>
      <c r="FN5879" s="2"/>
    </row>
    <row r="5880" spans="153:170" x14ac:dyDescent="0.35">
      <c r="EW5880" s="48"/>
      <c r="FB5880" s="5"/>
      <c r="FI5880" s="5"/>
      <c r="FJ5880" s="164"/>
      <c r="FL5880" s="2"/>
      <c r="FN5880" s="2"/>
    </row>
    <row r="5881" spans="153:170" x14ac:dyDescent="0.35">
      <c r="EW5881" s="48"/>
      <c r="FB5881" s="5"/>
      <c r="FI5881" s="5"/>
      <c r="FJ5881" s="164"/>
      <c r="FL5881" s="2"/>
      <c r="FN5881" s="2"/>
    </row>
    <row r="5882" spans="153:170" x14ac:dyDescent="0.35">
      <c r="EW5882" s="48"/>
      <c r="FB5882" s="5"/>
      <c r="FI5882" s="5"/>
      <c r="FJ5882" s="164"/>
      <c r="FL5882" s="2"/>
      <c r="FN5882" s="2"/>
    </row>
    <row r="5883" spans="153:170" x14ac:dyDescent="0.35">
      <c r="EW5883" s="48"/>
      <c r="FB5883" s="5"/>
      <c r="FI5883" s="5"/>
      <c r="FJ5883" s="164"/>
      <c r="FL5883" s="2"/>
      <c r="FN5883" s="2"/>
    </row>
    <row r="5884" spans="153:170" x14ac:dyDescent="0.35">
      <c r="EW5884" s="48"/>
      <c r="FB5884" s="5"/>
      <c r="FI5884" s="5"/>
      <c r="FJ5884" s="164"/>
      <c r="FL5884" s="2"/>
      <c r="FN5884" s="2"/>
    </row>
    <row r="5885" spans="153:170" x14ac:dyDescent="0.35">
      <c r="EW5885" s="48"/>
      <c r="FB5885" s="5"/>
      <c r="FI5885" s="5"/>
      <c r="FJ5885" s="164"/>
      <c r="FL5885" s="2"/>
      <c r="FN5885" s="2"/>
    </row>
    <row r="5886" spans="153:170" x14ac:dyDescent="0.35">
      <c r="EW5886" s="48"/>
      <c r="FB5886" s="5"/>
      <c r="FI5886" s="5"/>
      <c r="FJ5886" s="164"/>
      <c r="FL5886" s="2"/>
      <c r="FN5886" s="2"/>
    </row>
    <row r="5887" spans="153:170" x14ac:dyDescent="0.35">
      <c r="EW5887" s="48"/>
      <c r="FB5887" s="5"/>
      <c r="FI5887" s="5"/>
      <c r="FJ5887" s="164"/>
      <c r="FL5887" s="2"/>
      <c r="FN5887" s="2"/>
    </row>
    <row r="5888" spans="153:170" x14ac:dyDescent="0.35">
      <c r="EW5888" s="48"/>
      <c r="FB5888" s="5"/>
      <c r="FI5888" s="5"/>
      <c r="FJ5888" s="164"/>
      <c r="FL5888" s="2"/>
      <c r="FN5888" s="2"/>
    </row>
    <row r="5889" spans="153:170" x14ac:dyDescent="0.35">
      <c r="EW5889" s="48"/>
      <c r="FB5889" s="5"/>
      <c r="FI5889" s="5"/>
      <c r="FJ5889" s="164"/>
      <c r="FL5889" s="2"/>
      <c r="FN5889" s="2"/>
    </row>
    <row r="5890" spans="153:170" x14ac:dyDescent="0.35">
      <c r="EW5890" s="48"/>
      <c r="FB5890" s="5"/>
      <c r="FI5890" s="5"/>
      <c r="FJ5890" s="164"/>
      <c r="FL5890" s="2"/>
      <c r="FN5890" s="2"/>
    </row>
    <row r="5891" spans="153:170" x14ac:dyDescent="0.35">
      <c r="EW5891" s="48"/>
      <c r="FB5891" s="5"/>
      <c r="FI5891" s="5"/>
      <c r="FJ5891" s="164"/>
      <c r="FL5891" s="2"/>
      <c r="FN5891" s="2"/>
    </row>
    <row r="5892" spans="153:170" x14ac:dyDescent="0.35">
      <c r="EW5892" s="48"/>
      <c r="FB5892" s="5"/>
      <c r="FI5892" s="5"/>
      <c r="FJ5892" s="164"/>
      <c r="FL5892" s="2"/>
      <c r="FN5892" s="2"/>
    </row>
    <row r="5893" spans="153:170" x14ac:dyDescent="0.35">
      <c r="EW5893" s="48"/>
      <c r="FB5893" s="5"/>
      <c r="FI5893" s="5"/>
      <c r="FJ5893" s="164"/>
      <c r="FL5893" s="2"/>
      <c r="FN5893" s="2"/>
    </row>
    <row r="5894" spans="153:170" x14ac:dyDescent="0.35">
      <c r="EW5894" s="48"/>
      <c r="FB5894" s="5"/>
      <c r="FI5894" s="5"/>
      <c r="FJ5894" s="164"/>
      <c r="FL5894" s="2"/>
      <c r="FN5894" s="2"/>
    </row>
    <row r="5895" spans="153:170" x14ac:dyDescent="0.35">
      <c r="EW5895" s="48"/>
      <c r="FB5895" s="5"/>
      <c r="FI5895" s="5"/>
      <c r="FJ5895" s="164"/>
      <c r="FL5895" s="2"/>
      <c r="FN5895" s="2"/>
    </row>
    <row r="5896" spans="153:170" x14ac:dyDescent="0.35">
      <c r="EW5896" s="48"/>
      <c r="FB5896" s="5"/>
      <c r="FI5896" s="5"/>
      <c r="FJ5896" s="164"/>
      <c r="FL5896" s="2"/>
      <c r="FN5896" s="2"/>
    </row>
    <row r="5897" spans="153:170" x14ac:dyDescent="0.35">
      <c r="EW5897" s="48"/>
      <c r="FB5897" s="5"/>
      <c r="FI5897" s="5"/>
      <c r="FJ5897" s="164"/>
      <c r="FL5897" s="2"/>
      <c r="FN5897" s="2"/>
    </row>
    <row r="5898" spans="153:170" x14ac:dyDescent="0.35">
      <c r="EW5898" s="48"/>
      <c r="FB5898" s="5"/>
      <c r="FI5898" s="5"/>
      <c r="FJ5898" s="164"/>
      <c r="FL5898" s="2"/>
      <c r="FN5898" s="2"/>
    </row>
    <row r="5899" spans="153:170" x14ac:dyDescent="0.35">
      <c r="EW5899" s="48"/>
      <c r="FB5899" s="5"/>
      <c r="FI5899" s="5"/>
      <c r="FJ5899" s="164"/>
      <c r="FL5899" s="2"/>
      <c r="FN5899" s="2"/>
    </row>
    <row r="5900" spans="153:170" x14ac:dyDescent="0.35">
      <c r="EW5900" s="48"/>
      <c r="FB5900" s="5"/>
      <c r="FI5900" s="5"/>
      <c r="FJ5900" s="164"/>
      <c r="FL5900" s="2"/>
      <c r="FN5900" s="2"/>
    </row>
    <row r="5901" spans="153:170" x14ac:dyDescent="0.35">
      <c r="EW5901" s="48"/>
      <c r="FB5901" s="5"/>
      <c r="FI5901" s="5"/>
      <c r="FJ5901" s="164"/>
      <c r="FL5901" s="2"/>
      <c r="FN5901" s="2"/>
    </row>
    <row r="5902" spans="153:170" x14ac:dyDescent="0.35">
      <c r="EW5902" s="48"/>
      <c r="FB5902" s="5"/>
      <c r="FI5902" s="5"/>
      <c r="FJ5902" s="164"/>
      <c r="FL5902" s="2"/>
      <c r="FN5902" s="2"/>
    </row>
    <row r="5903" spans="153:170" x14ac:dyDescent="0.35">
      <c r="EW5903" s="48"/>
      <c r="FB5903" s="5"/>
      <c r="FI5903" s="5"/>
      <c r="FJ5903" s="164"/>
      <c r="FL5903" s="2"/>
      <c r="FN5903" s="2"/>
    </row>
    <row r="5904" spans="153:170" x14ac:dyDescent="0.35">
      <c r="EW5904" s="48"/>
      <c r="FB5904" s="5"/>
      <c r="FI5904" s="5"/>
      <c r="FJ5904" s="164"/>
      <c r="FL5904" s="2"/>
      <c r="FN5904" s="2"/>
    </row>
    <row r="5905" spans="153:170" x14ac:dyDescent="0.35">
      <c r="EW5905" s="48"/>
      <c r="FB5905" s="5"/>
      <c r="FI5905" s="5"/>
      <c r="FJ5905" s="164"/>
      <c r="FL5905" s="2"/>
      <c r="FN5905" s="2"/>
    </row>
    <row r="5906" spans="153:170" x14ac:dyDescent="0.35">
      <c r="EW5906" s="48"/>
      <c r="FB5906" s="5"/>
      <c r="FI5906" s="5"/>
      <c r="FJ5906" s="164"/>
      <c r="FL5906" s="2"/>
      <c r="FN5906" s="2"/>
    </row>
    <row r="5907" spans="153:170" x14ac:dyDescent="0.35">
      <c r="EW5907" s="48"/>
      <c r="FB5907" s="5"/>
      <c r="FI5907" s="5"/>
      <c r="FJ5907" s="164"/>
      <c r="FL5907" s="2"/>
      <c r="FN5907" s="2"/>
    </row>
    <row r="5908" spans="153:170" x14ac:dyDescent="0.35">
      <c r="EW5908" s="48"/>
      <c r="FB5908" s="5"/>
      <c r="FI5908" s="5"/>
      <c r="FJ5908" s="164"/>
      <c r="FL5908" s="2"/>
      <c r="FN5908" s="2"/>
    </row>
    <row r="5909" spans="153:170" x14ac:dyDescent="0.35">
      <c r="EW5909" s="48"/>
      <c r="FB5909" s="5"/>
      <c r="FI5909" s="5"/>
      <c r="FJ5909" s="164"/>
      <c r="FL5909" s="2"/>
      <c r="FN5909" s="2"/>
    </row>
    <row r="5910" spans="153:170" x14ac:dyDescent="0.35">
      <c r="EW5910" s="48"/>
      <c r="FB5910" s="5"/>
      <c r="FI5910" s="5"/>
      <c r="FJ5910" s="164"/>
      <c r="FL5910" s="2"/>
      <c r="FN5910" s="2"/>
    </row>
    <row r="5911" spans="153:170" x14ac:dyDescent="0.35">
      <c r="EW5911" s="48"/>
      <c r="FB5911" s="5"/>
      <c r="FI5911" s="5"/>
      <c r="FJ5911" s="164"/>
      <c r="FL5911" s="2"/>
      <c r="FN5911" s="2"/>
    </row>
    <row r="5912" spans="153:170" x14ac:dyDescent="0.35">
      <c r="EW5912" s="48"/>
      <c r="FB5912" s="5"/>
      <c r="FI5912" s="5"/>
      <c r="FJ5912" s="164"/>
      <c r="FL5912" s="2"/>
      <c r="FN5912" s="2"/>
    </row>
    <row r="5913" spans="153:170" x14ac:dyDescent="0.35">
      <c r="EW5913" s="48"/>
      <c r="FB5913" s="5"/>
      <c r="FI5913" s="5"/>
      <c r="FJ5913" s="164"/>
      <c r="FL5913" s="2"/>
      <c r="FN5913" s="2"/>
    </row>
    <row r="5914" spans="153:170" x14ac:dyDescent="0.35">
      <c r="EW5914" s="48"/>
      <c r="FB5914" s="5"/>
      <c r="FI5914" s="5"/>
      <c r="FJ5914" s="164"/>
      <c r="FL5914" s="2"/>
      <c r="FN5914" s="2"/>
    </row>
    <row r="5915" spans="153:170" x14ac:dyDescent="0.35">
      <c r="EW5915" s="48"/>
      <c r="FB5915" s="5"/>
      <c r="FI5915" s="5"/>
      <c r="FJ5915" s="164"/>
      <c r="FL5915" s="2"/>
      <c r="FN5915" s="2"/>
    </row>
    <row r="5916" spans="153:170" x14ac:dyDescent="0.35">
      <c r="EW5916" s="48"/>
      <c r="FB5916" s="5"/>
      <c r="FI5916" s="5"/>
      <c r="FJ5916" s="164"/>
      <c r="FL5916" s="2"/>
      <c r="FN5916" s="2"/>
    </row>
    <row r="5917" spans="153:170" x14ac:dyDescent="0.35">
      <c r="EW5917" s="48"/>
      <c r="FB5917" s="5"/>
      <c r="FI5917" s="5"/>
      <c r="FJ5917" s="164"/>
      <c r="FL5917" s="2"/>
      <c r="FN5917" s="2"/>
    </row>
    <row r="5918" spans="153:170" x14ac:dyDescent="0.35">
      <c r="EW5918" s="48"/>
      <c r="FB5918" s="5"/>
      <c r="FI5918" s="5"/>
      <c r="FJ5918" s="164"/>
      <c r="FL5918" s="2"/>
      <c r="FN5918" s="2"/>
    </row>
    <row r="5919" spans="153:170" x14ac:dyDescent="0.35">
      <c r="EW5919" s="48"/>
      <c r="FB5919" s="5"/>
      <c r="FI5919" s="5"/>
      <c r="FJ5919" s="164"/>
      <c r="FL5919" s="2"/>
      <c r="FN5919" s="2"/>
    </row>
    <row r="5920" spans="153:170" x14ac:dyDescent="0.35">
      <c r="EW5920" s="48"/>
      <c r="FB5920" s="5"/>
      <c r="FI5920" s="5"/>
      <c r="FJ5920" s="164"/>
      <c r="FL5920" s="2"/>
      <c r="FN5920" s="2"/>
    </row>
    <row r="5921" spans="153:170" x14ac:dyDescent="0.35">
      <c r="EW5921" s="48"/>
      <c r="FB5921" s="5"/>
      <c r="FI5921" s="5"/>
      <c r="FJ5921" s="164"/>
      <c r="FL5921" s="2"/>
      <c r="FN5921" s="2"/>
    </row>
    <row r="5922" spans="153:170" x14ac:dyDescent="0.35">
      <c r="EW5922" s="48"/>
      <c r="FB5922" s="5"/>
      <c r="FI5922" s="5"/>
      <c r="FJ5922" s="164"/>
      <c r="FL5922" s="2"/>
      <c r="FN5922" s="2"/>
    </row>
    <row r="5923" spans="153:170" x14ac:dyDescent="0.35">
      <c r="EW5923" s="48"/>
      <c r="FB5923" s="5"/>
      <c r="FI5923" s="5"/>
      <c r="FJ5923" s="164"/>
      <c r="FL5923" s="2"/>
      <c r="FN5923" s="2"/>
    </row>
    <row r="5924" spans="153:170" x14ac:dyDescent="0.35">
      <c r="EW5924" s="48"/>
      <c r="FB5924" s="5"/>
      <c r="FI5924" s="5"/>
      <c r="FJ5924" s="164"/>
      <c r="FL5924" s="2"/>
      <c r="FN5924" s="2"/>
    </row>
    <row r="5925" spans="153:170" x14ac:dyDescent="0.35">
      <c r="EW5925" s="48"/>
      <c r="FB5925" s="5"/>
      <c r="FI5925" s="5"/>
      <c r="FJ5925" s="164"/>
      <c r="FL5925" s="2"/>
      <c r="FN5925" s="2"/>
    </row>
    <row r="5926" spans="153:170" x14ac:dyDescent="0.35">
      <c r="EW5926" s="48"/>
      <c r="FB5926" s="5"/>
      <c r="FI5926" s="5"/>
      <c r="FJ5926" s="164"/>
      <c r="FL5926" s="2"/>
      <c r="FN5926" s="2"/>
    </row>
    <row r="5927" spans="153:170" x14ac:dyDescent="0.35">
      <c r="EW5927" s="48"/>
      <c r="FB5927" s="5"/>
      <c r="FI5927" s="5"/>
      <c r="FJ5927" s="164"/>
      <c r="FL5927" s="2"/>
      <c r="FN5927" s="2"/>
    </row>
    <row r="5928" spans="153:170" x14ac:dyDescent="0.35">
      <c r="EW5928" s="48"/>
      <c r="FB5928" s="5"/>
      <c r="FI5928" s="5"/>
      <c r="FJ5928" s="164"/>
      <c r="FL5928" s="2"/>
      <c r="FN5928" s="2"/>
    </row>
    <row r="5929" spans="153:170" x14ac:dyDescent="0.35">
      <c r="EW5929" s="48"/>
      <c r="FB5929" s="5"/>
      <c r="FI5929" s="5"/>
      <c r="FJ5929" s="164"/>
      <c r="FL5929" s="2"/>
      <c r="FN5929" s="2"/>
    </row>
    <row r="5930" spans="153:170" x14ac:dyDescent="0.35">
      <c r="EW5930" s="48"/>
      <c r="FB5930" s="5"/>
      <c r="FI5930" s="5"/>
      <c r="FJ5930" s="164"/>
      <c r="FL5930" s="2"/>
      <c r="FN5930" s="2"/>
    </row>
    <row r="5931" spans="153:170" x14ac:dyDescent="0.35">
      <c r="EW5931" s="48"/>
      <c r="FB5931" s="5"/>
      <c r="FI5931" s="5"/>
      <c r="FJ5931" s="164"/>
      <c r="FL5931" s="2"/>
      <c r="FN5931" s="2"/>
    </row>
    <row r="5932" spans="153:170" x14ac:dyDescent="0.35">
      <c r="EW5932" s="48"/>
      <c r="FB5932" s="5"/>
      <c r="FI5932" s="5"/>
      <c r="FJ5932" s="164"/>
      <c r="FL5932" s="2"/>
      <c r="FN5932" s="2"/>
    </row>
    <row r="5933" spans="153:170" x14ac:dyDescent="0.35">
      <c r="EW5933" s="48"/>
      <c r="FB5933" s="5"/>
      <c r="FI5933" s="5"/>
      <c r="FJ5933" s="164"/>
      <c r="FL5933" s="2"/>
      <c r="FN5933" s="2"/>
    </row>
    <row r="5934" spans="153:170" x14ac:dyDescent="0.35">
      <c r="EW5934" s="48"/>
      <c r="FB5934" s="5"/>
      <c r="FI5934" s="5"/>
      <c r="FJ5934" s="164"/>
      <c r="FL5934" s="2"/>
      <c r="FN5934" s="2"/>
    </row>
    <row r="5935" spans="153:170" x14ac:dyDescent="0.35">
      <c r="EW5935" s="48"/>
      <c r="FB5935" s="5"/>
      <c r="FI5935" s="5"/>
      <c r="FJ5935" s="164"/>
      <c r="FL5935" s="2"/>
      <c r="FN5935" s="2"/>
    </row>
    <row r="5936" spans="153:170" x14ac:dyDescent="0.35">
      <c r="EW5936" s="48"/>
      <c r="FB5936" s="5"/>
      <c r="FI5936" s="5"/>
      <c r="FJ5936" s="164"/>
      <c r="FL5936" s="2"/>
      <c r="FN5936" s="2"/>
    </row>
    <row r="5937" spans="153:170" x14ac:dyDescent="0.35">
      <c r="EW5937" s="48"/>
      <c r="FB5937" s="5"/>
      <c r="FI5937" s="5"/>
      <c r="FJ5937" s="164"/>
      <c r="FL5937" s="2"/>
      <c r="FN5937" s="2"/>
    </row>
    <row r="5938" spans="153:170" x14ac:dyDescent="0.35">
      <c r="EW5938" s="48"/>
      <c r="FB5938" s="5"/>
      <c r="FI5938" s="5"/>
      <c r="FJ5938" s="164"/>
      <c r="FL5938" s="2"/>
      <c r="FN5938" s="2"/>
    </row>
    <row r="5939" spans="153:170" x14ac:dyDescent="0.35">
      <c r="EW5939" s="48"/>
      <c r="FB5939" s="5"/>
      <c r="FI5939" s="5"/>
      <c r="FJ5939" s="164"/>
      <c r="FL5939" s="2"/>
      <c r="FN5939" s="2"/>
    </row>
    <row r="5940" spans="153:170" x14ac:dyDescent="0.35">
      <c r="EW5940" s="48"/>
      <c r="FB5940" s="5"/>
      <c r="FI5940" s="5"/>
      <c r="FJ5940" s="164"/>
      <c r="FL5940" s="2"/>
      <c r="FN5940" s="2"/>
    </row>
    <row r="5941" spans="153:170" x14ac:dyDescent="0.35">
      <c r="EW5941" s="48"/>
      <c r="FB5941" s="5"/>
      <c r="FI5941" s="5"/>
      <c r="FJ5941" s="164"/>
      <c r="FL5941" s="2"/>
      <c r="FN5941" s="2"/>
    </row>
    <row r="5942" spans="153:170" x14ac:dyDescent="0.35">
      <c r="EW5942" s="48"/>
      <c r="FB5942" s="5"/>
      <c r="FI5942" s="5"/>
      <c r="FJ5942" s="164"/>
      <c r="FL5942" s="2"/>
      <c r="FN5942" s="2"/>
    </row>
    <row r="5943" spans="153:170" x14ac:dyDescent="0.35">
      <c r="EW5943" s="48"/>
      <c r="FB5943" s="5"/>
      <c r="FI5943" s="5"/>
      <c r="FJ5943" s="164"/>
      <c r="FL5943" s="2"/>
      <c r="FN5943" s="2"/>
    </row>
    <row r="5944" spans="153:170" x14ac:dyDescent="0.35">
      <c r="EW5944" s="48"/>
      <c r="FB5944" s="5"/>
      <c r="FI5944" s="5"/>
      <c r="FJ5944" s="164"/>
      <c r="FL5944" s="2"/>
      <c r="FN5944" s="2"/>
    </row>
    <row r="5945" spans="153:170" x14ac:dyDescent="0.35">
      <c r="EW5945" s="48"/>
      <c r="FB5945" s="5"/>
      <c r="FI5945" s="5"/>
      <c r="FJ5945" s="164"/>
      <c r="FL5945" s="2"/>
      <c r="FN5945" s="2"/>
    </row>
    <row r="5946" spans="153:170" x14ac:dyDescent="0.35">
      <c r="EW5946" s="48"/>
      <c r="FB5946" s="5"/>
      <c r="FI5946" s="5"/>
      <c r="FJ5946" s="164"/>
      <c r="FL5946" s="2"/>
      <c r="FN5946" s="2"/>
    </row>
    <row r="5947" spans="153:170" x14ac:dyDescent="0.35">
      <c r="EW5947" s="48"/>
      <c r="FB5947" s="5"/>
      <c r="FI5947" s="5"/>
      <c r="FJ5947" s="164"/>
      <c r="FL5947" s="2"/>
      <c r="FN5947" s="2"/>
    </row>
    <row r="5948" spans="153:170" x14ac:dyDescent="0.35">
      <c r="EW5948" s="48"/>
      <c r="FB5948" s="5"/>
      <c r="FI5948" s="5"/>
      <c r="FJ5948" s="164"/>
      <c r="FL5948" s="2"/>
      <c r="FN5948" s="2"/>
    </row>
    <row r="5949" spans="153:170" x14ac:dyDescent="0.35">
      <c r="EW5949" s="48"/>
      <c r="FB5949" s="5"/>
      <c r="FI5949" s="5"/>
      <c r="FJ5949" s="164"/>
      <c r="FL5949" s="2"/>
      <c r="FN5949" s="2"/>
    </row>
    <row r="5950" spans="153:170" x14ac:dyDescent="0.35">
      <c r="EW5950" s="48"/>
      <c r="FB5950" s="5"/>
      <c r="FI5950" s="5"/>
      <c r="FJ5950" s="164"/>
      <c r="FL5950" s="2"/>
      <c r="FN5950" s="2"/>
    </row>
    <row r="5951" spans="153:170" x14ac:dyDescent="0.35">
      <c r="EW5951" s="48"/>
      <c r="FB5951" s="5"/>
      <c r="FI5951" s="5"/>
      <c r="FJ5951" s="164"/>
      <c r="FL5951" s="2"/>
      <c r="FN5951" s="2"/>
    </row>
    <row r="5952" spans="153:170" x14ac:dyDescent="0.35">
      <c r="EW5952" s="48"/>
      <c r="FB5952" s="5"/>
      <c r="FI5952" s="5"/>
      <c r="FJ5952" s="164"/>
      <c r="FL5952" s="2"/>
      <c r="FN5952" s="2"/>
    </row>
    <row r="5953" spans="153:170" x14ac:dyDescent="0.35">
      <c r="EW5953" s="48"/>
      <c r="FB5953" s="5"/>
      <c r="FI5953" s="5"/>
      <c r="FJ5953" s="164"/>
      <c r="FL5953" s="2"/>
      <c r="FN5953" s="2"/>
    </row>
    <row r="5954" spans="153:170" x14ac:dyDescent="0.35">
      <c r="EW5954" s="48"/>
      <c r="FB5954" s="5"/>
      <c r="FI5954" s="5"/>
      <c r="FJ5954" s="164"/>
      <c r="FL5954" s="2"/>
      <c r="FN5954" s="2"/>
    </row>
    <row r="5955" spans="153:170" x14ac:dyDescent="0.35">
      <c r="EW5955" s="48"/>
      <c r="FB5955" s="5"/>
      <c r="FI5955" s="5"/>
      <c r="FJ5955" s="164"/>
      <c r="FL5955" s="2"/>
      <c r="FN5955" s="2"/>
    </row>
    <row r="5956" spans="153:170" x14ac:dyDescent="0.35">
      <c r="EW5956" s="48"/>
      <c r="FB5956" s="5"/>
      <c r="FI5956" s="5"/>
      <c r="FJ5956" s="164"/>
      <c r="FL5956" s="2"/>
      <c r="FN5956" s="2"/>
    </row>
    <row r="5957" spans="153:170" x14ac:dyDescent="0.35">
      <c r="EW5957" s="48"/>
      <c r="FB5957" s="5"/>
      <c r="FI5957" s="5"/>
      <c r="FJ5957" s="164"/>
      <c r="FL5957" s="2"/>
      <c r="FN5957" s="2"/>
    </row>
    <row r="5958" spans="153:170" x14ac:dyDescent="0.35">
      <c r="EW5958" s="48"/>
      <c r="FB5958" s="5"/>
      <c r="FI5958" s="5"/>
      <c r="FJ5958" s="164"/>
      <c r="FL5958" s="2"/>
      <c r="FN5958" s="2"/>
    </row>
    <row r="5959" spans="153:170" x14ac:dyDescent="0.35">
      <c r="EW5959" s="48"/>
      <c r="FB5959" s="5"/>
      <c r="FI5959" s="5"/>
      <c r="FJ5959" s="164"/>
      <c r="FL5959" s="2"/>
      <c r="FN5959" s="2"/>
    </row>
    <row r="5960" spans="153:170" x14ac:dyDescent="0.35">
      <c r="EW5960" s="48"/>
      <c r="FB5960" s="5"/>
      <c r="FI5960" s="5"/>
      <c r="FJ5960" s="164"/>
      <c r="FL5960" s="2"/>
      <c r="FN5960" s="2"/>
    </row>
    <row r="5961" spans="153:170" x14ac:dyDescent="0.35">
      <c r="EW5961" s="48"/>
      <c r="FB5961" s="5"/>
      <c r="FI5961" s="5"/>
      <c r="FJ5961" s="164"/>
      <c r="FL5961" s="2"/>
      <c r="FN5961" s="2"/>
    </row>
    <row r="5962" spans="153:170" x14ac:dyDescent="0.35">
      <c r="EW5962" s="48"/>
      <c r="FB5962" s="5"/>
      <c r="FI5962" s="5"/>
      <c r="FJ5962" s="164"/>
      <c r="FL5962" s="2"/>
      <c r="FN5962" s="2"/>
    </row>
    <row r="5963" spans="153:170" x14ac:dyDescent="0.35">
      <c r="EW5963" s="48"/>
      <c r="FB5963" s="5"/>
      <c r="FI5963" s="5"/>
      <c r="FJ5963" s="164"/>
      <c r="FL5963" s="2"/>
      <c r="FN5963" s="2"/>
    </row>
    <row r="5964" spans="153:170" x14ac:dyDescent="0.35">
      <c r="EW5964" s="48"/>
      <c r="FB5964" s="5"/>
      <c r="FI5964" s="5"/>
      <c r="FJ5964" s="164"/>
      <c r="FL5964" s="2"/>
      <c r="FN5964" s="2"/>
    </row>
    <row r="5965" spans="153:170" x14ac:dyDescent="0.35">
      <c r="EW5965" s="48"/>
      <c r="FB5965" s="5"/>
      <c r="FI5965" s="5"/>
      <c r="FJ5965" s="164"/>
      <c r="FL5965" s="2"/>
      <c r="FN5965" s="2"/>
    </row>
    <row r="5966" spans="153:170" x14ac:dyDescent="0.35">
      <c r="EW5966" s="48"/>
      <c r="FB5966" s="5"/>
      <c r="FI5966" s="5"/>
      <c r="FJ5966" s="164"/>
      <c r="FL5966" s="2"/>
      <c r="FN5966" s="2"/>
    </row>
    <row r="5967" spans="153:170" x14ac:dyDescent="0.35">
      <c r="EW5967" s="48"/>
      <c r="FB5967" s="5"/>
      <c r="FI5967" s="5"/>
      <c r="FJ5967" s="164"/>
      <c r="FL5967" s="2"/>
      <c r="FN5967" s="2"/>
    </row>
    <row r="5968" spans="153:170" x14ac:dyDescent="0.35">
      <c r="EW5968" s="48"/>
      <c r="FB5968" s="5"/>
      <c r="FI5968" s="5"/>
      <c r="FJ5968" s="164"/>
      <c r="FL5968" s="2"/>
      <c r="FN5968" s="2"/>
    </row>
    <row r="5969" spans="153:170" x14ac:dyDescent="0.35">
      <c r="EW5969" s="48"/>
      <c r="FB5969" s="5"/>
      <c r="FI5969" s="5"/>
      <c r="FJ5969" s="164"/>
      <c r="FL5969" s="2"/>
      <c r="FN5969" s="2"/>
    </row>
    <row r="5970" spans="153:170" x14ac:dyDescent="0.35">
      <c r="EW5970" s="48"/>
      <c r="FB5970" s="5"/>
      <c r="FI5970" s="5"/>
      <c r="FJ5970" s="164"/>
      <c r="FL5970" s="2"/>
      <c r="FN5970" s="2"/>
    </row>
    <row r="5971" spans="153:170" x14ac:dyDescent="0.35">
      <c r="EW5971" s="48"/>
      <c r="FB5971" s="5"/>
      <c r="FI5971" s="5"/>
      <c r="FJ5971" s="164"/>
      <c r="FL5971" s="2"/>
      <c r="FN5971" s="2"/>
    </row>
    <row r="5972" spans="153:170" x14ac:dyDescent="0.35">
      <c r="EW5972" s="48"/>
      <c r="FB5972" s="5"/>
      <c r="FI5972" s="5"/>
      <c r="FJ5972" s="164"/>
      <c r="FL5972" s="2"/>
      <c r="FN5972" s="2"/>
    </row>
    <row r="5973" spans="153:170" x14ac:dyDescent="0.35">
      <c r="EW5973" s="48"/>
      <c r="FB5973" s="5"/>
      <c r="FI5973" s="5"/>
      <c r="FJ5973" s="164"/>
      <c r="FL5973" s="2"/>
      <c r="FN5973" s="2"/>
    </row>
    <row r="5974" spans="153:170" x14ac:dyDescent="0.35">
      <c r="EW5974" s="48"/>
      <c r="FB5974" s="5"/>
      <c r="FI5974" s="5"/>
      <c r="FJ5974" s="164"/>
      <c r="FL5974" s="2"/>
      <c r="FN5974" s="2"/>
    </row>
    <row r="5975" spans="153:170" x14ac:dyDescent="0.35">
      <c r="EW5975" s="48"/>
      <c r="FB5975" s="5"/>
      <c r="FI5975" s="5"/>
      <c r="FJ5975" s="164"/>
      <c r="FL5975" s="2"/>
      <c r="FN5975" s="2"/>
    </row>
    <row r="5976" spans="153:170" x14ac:dyDescent="0.35">
      <c r="EW5976" s="48"/>
      <c r="FB5976" s="5"/>
      <c r="FI5976" s="5"/>
      <c r="FJ5976" s="164"/>
      <c r="FL5976" s="2"/>
      <c r="FN5976" s="2"/>
    </row>
    <row r="5977" spans="153:170" x14ac:dyDescent="0.35">
      <c r="EW5977" s="48"/>
      <c r="FB5977" s="5"/>
      <c r="FI5977" s="5"/>
      <c r="FJ5977" s="164"/>
      <c r="FL5977" s="2"/>
      <c r="FN5977" s="2"/>
    </row>
    <row r="5978" spans="153:170" x14ac:dyDescent="0.35">
      <c r="EW5978" s="48"/>
      <c r="FB5978" s="5"/>
      <c r="FI5978" s="5"/>
      <c r="FJ5978" s="164"/>
      <c r="FL5978" s="2"/>
      <c r="FN5978" s="2"/>
    </row>
    <row r="5979" spans="153:170" x14ac:dyDescent="0.35">
      <c r="EW5979" s="48"/>
      <c r="FB5979" s="5"/>
      <c r="FI5979" s="5"/>
      <c r="FJ5979" s="164"/>
      <c r="FL5979" s="2"/>
      <c r="FN5979" s="2"/>
    </row>
    <row r="5980" spans="153:170" x14ac:dyDescent="0.35">
      <c r="EW5980" s="48"/>
      <c r="FB5980" s="5"/>
      <c r="FI5980" s="5"/>
      <c r="FJ5980" s="164"/>
      <c r="FL5980" s="2"/>
      <c r="FN5980" s="2"/>
    </row>
    <row r="5981" spans="153:170" x14ac:dyDescent="0.35">
      <c r="EW5981" s="48"/>
      <c r="FB5981" s="5"/>
      <c r="FI5981" s="5"/>
      <c r="FJ5981" s="164"/>
      <c r="FL5981" s="2"/>
      <c r="FN5981" s="2"/>
    </row>
    <row r="5982" spans="153:170" x14ac:dyDescent="0.35">
      <c r="EW5982" s="48"/>
      <c r="FB5982" s="5"/>
      <c r="FI5982" s="5"/>
      <c r="FJ5982" s="164"/>
      <c r="FL5982" s="2"/>
      <c r="FN5982" s="2"/>
    </row>
    <row r="5983" spans="153:170" x14ac:dyDescent="0.35">
      <c r="EW5983" s="48"/>
      <c r="FB5983" s="5"/>
      <c r="FI5983" s="5"/>
      <c r="FJ5983" s="164"/>
      <c r="FL5983" s="2"/>
      <c r="FN5983" s="2"/>
    </row>
    <row r="5984" spans="153:170" x14ac:dyDescent="0.35">
      <c r="EW5984" s="48"/>
      <c r="FB5984" s="5"/>
      <c r="FI5984" s="5"/>
      <c r="FJ5984" s="164"/>
      <c r="FL5984" s="2"/>
      <c r="FN5984" s="2"/>
    </row>
    <row r="5985" spans="153:170" x14ac:dyDescent="0.35">
      <c r="EW5985" s="48"/>
      <c r="FB5985" s="5"/>
      <c r="FI5985" s="5"/>
      <c r="FJ5985" s="164"/>
      <c r="FL5985" s="2"/>
      <c r="FN5985" s="2"/>
    </row>
    <row r="5986" spans="153:170" x14ac:dyDescent="0.35">
      <c r="EW5986" s="48"/>
      <c r="FB5986" s="5"/>
      <c r="FI5986" s="5"/>
      <c r="FJ5986" s="164"/>
      <c r="FL5986" s="2"/>
      <c r="FN5986" s="2"/>
    </row>
    <row r="5987" spans="153:170" x14ac:dyDescent="0.35">
      <c r="EW5987" s="48"/>
      <c r="FB5987" s="5"/>
      <c r="FI5987" s="5"/>
      <c r="FJ5987" s="164"/>
      <c r="FL5987" s="2"/>
      <c r="FN5987" s="2"/>
    </row>
    <row r="5988" spans="153:170" x14ac:dyDescent="0.35">
      <c r="EW5988" s="48"/>
      <c r="FB5988" s="5"/>
      <c r="FI5988" s="5"/>
      <c r="FJ5988" s="164"/>
      <c r="FL5988" s="2"/>
      <c r="FN5988" s="2"/>
    </row>
    <row r="5989" spans="153:170" x14ac:dyDescent="0.35">
      <c r="EW5989" s="48"/>
      <c r="FB5989" s="5"/>
      <c r="FI5989" s="5"/>
      <c r="FJ5989" s="164"/>
      <c r="FL5989" s="2"/>
      <c r="FN5989" s="2"/>
    </row>
    <row r="5990" spans="153:170" x14ac:dyDescent="0.35">
      <c r="EW5990" s="48"/>
      <c r="FB5990" s="5"/>
      <c r="FI5990" s="5"/>
      <c r="FJ5990" s="164"/>
      <c r="FL5990" s="2"/>
      <c r="FN5990" s="2"/>
    </row>
    <row r="5991" spans="153:170" x14ac:dyDescent="0.35">
      <c r="EW5991" s="48"/>
      <c r="FB5991" s="5"/>
      <c r="FI5991" s="5"/>
      <c r="FJ5991" s="164"/>
      <c r="FL5991" s="2"/>
      <c r="FN5991" s="2"/>
    </row>
    <row r="5992" spans="153:170" x14ac:dyDescent="0.35">
      <c r="EW5992" s="48"/>
      <c r="FB5992" s="5"/>
      <c r="FI5992" s="5"/>
      <c r="FJ5992" s="164"/>
      <c r="FL5992" s="2"/>
      <c r="FN5992" s="2"/>
    </row>
    <row r="5993" spans="153:170" x14ac:dyDescent="0.35">
      <c r="EW5993" s="48"/>
      <c r="FB5993" s="5"/>
      <c r="FI5993" s="5"/>
      <c r="FJ5993" s="164"/>
      <c r="FL5993" s="2"/>
      <c r="FN5993" s="2"/>
    </row>
    <row r="5994" spans="153:170" x14ac:dyDescent="0.35">
      <c r="EW5994" s="48"/>
      <c r="FB5994" s="5"/>
      <c r="FI5994" s="5"/>
      <c r="FJ5994" s="164"/>
      <c r="FL5994" s="2"/>
      <c r="FN5994" s="2"/>
    </row>
    <row r="5995" spans="153:170" x14ac:dyDescent="0.35">
      <c r="EW5995" s="48"/>
      <c r="FB5995" s="5"/>
      <c r="FI5995" s="5"/>
      <c r="FJ5995" s="164"/>
      <c r="FL5995" s="2"/>
      <c r="FN5995" s="2"/>
    </row>
    <row r="5996" spans="153:170" x14ac:dyDescent="0.35">
      <c r="EW5996" s="48"/>
      <c r="FB5996" s="5"/>
      <c r="FI5996" s="5"/>
      <c r="FJ5996" s="164"/>
      <c r="FL5996" s="2"/>
      <c r="FN5996" s="2"/>
    </row>
    <row r="5997" spans="153:170" x14ac:dyDescent="0.35">
      <c r="EW5997" s="48"/>
      <c r="FB5997" s="5"/>
      <c r="FI5997" s="5"/>
      <c r="FJ5997" s="164"/>
      <c r="FL5997" s="2"/>
      <c r="FN5997" s="2"/>
    </row>
    <row r="5998" spans="153:170" x14ac:dyDescent="0.35">
      <c r="EW5998" s="48"/>
      <c r="FB5998" s="5"/>
      <c r="FI5998" s="5"/>
      <c r="FJ5998" s="164"/>
      <c r="FL5998" s="2"/>
      <c r="FN5998" s="2"/>
    </row>
    <row r="5999" spans="153:170" x14ac:dyDescent="0.35">
      <c r="EW5999" s="48"/>
      <c r="FB5999" s="5"/>
      <c r="FI5999" s="5"/>
      <c r="FJ5999" s="164"/>
      <c r="FL5999" s="2"/>
      <c r="FN5999" s="2"/>
    </row>
    <row r="6000" spans="153:170" x14ac:dyDescent="0.35">
      <c r="EW6000" s="48"/>
      <c r="FB6000" s="5"/>
      <c r="FI6000" s="5"/>
      <c r="FJ6000" s="164"/>
      <c r="FL6000" s="2"/>
      <c r="FN6000" s="2"/>
    </row>
    <row r="6001" spans="153:170" x14ac:dyDescent="0.35">
      <c r="EW6001" s="48"/>
      <c r="FB6001" s="5"/>
      <c r="FI6001" s="5"/>
      <c r="FJ6001" s="164"/>
      <c r="FL6001" s="2"/>
      <c r="FN6001" s="2"/>
    </row>
    <row r="6002" spans="153:170" x14ac:dyDescent="0.35">
      <c r="EW6002" s="48"/>
      <c r="FB6002" s="5"/>
      <c r="FI6002" s="5"/>
      <c r="FJ6002" s="164"/>
      <c r="FL6002" s="2"/>
      <c r="FN6002" s="2"/>
    </row>
    <row r="6003" spans="153:170" x14ac:dyDescent="0.35">
      <c r="EW6003" s="48"/>
      <c r="FB6003" s="5"/>
      <c r="FI6003" s="5"/>
      <c r="FJ6003" s="164"/>
      <c r="FL6003" s="2"/>
      <c r="FN6003" s="2"/>
    </row>
    <row r="6004" spans="153:170" x14ac:dyDescent="0.35">
      <c r="EW6004" s="48"/>
      <c r="FB6004" s="5"/>
      <c r="FI6004" s="5"/>
      <c r="FJ6004" s="164"/>
      <c r="FL6004" s="2"/>
      <c r="FN6004" s="2"/>
    </row>
    <row r="6005" spans="153:170" x14ac:dyDescent="0.35">
      <c r="EW6005" s="48"/>
      <c r="FB6005" s="5"/>
      <c r="FI6005" s="5"/>
      <c r="FJ6005" s="164"/>
      <c r="FL6005" s="2"/>
      <c r="FN6005" s="2"/>
    </row>
    <row r="6006" spans="153:170" x14ac:dyDescent="0.35">
      <c r="EW6006" s="48"/>
      <c r="FB6006" s="5"/>
      <c r="FI6006" s="5"/>
      <c r="FJ6006" s="164"/>
      <c r="FL6006" s="2"/>
      <c r="FN6006" s="2"/>
    </row>
    <row r="6007" spans="153:170" x14ac:dyDescent="0.35">
      <c r="EW6007" s="48"/>
      <c r="FB6007" s="5"/>
      <c r="FI6007" s="5"/>
      <c r="FJ6007" s="164"/>
      <c r="FL6007" s="2"/>
      <c r="FN6007" s="2"/>
    </row>
    <row r="6008" spans="153:170" x14ac:dyDescent="0.35">
      <c r="EW6008" s="48"/>
      <c r="FB6008" s="5"/>
      <c r="FI6008" s="5"/>
      <c r="FJ6008" s="164"/>
      <c r="FL6008" s="2"/>
      <c r="FN6008" s="2"/>
    </row>
    <row r="6009" spans="153:170" x14ac:dyDescent="0.35">
      <c r="EW6009" s="48"/>
      <c r="FB6009" s="5"/>
      <c r="FI6009" s="5"/>
      <c r="FJ6009" s="164"/>
      <c r="FL6009" s="2"/>
      <c r="FN6009" s="2"/>
    </row>
    <row r="6010" spans="153:170" x14ac:dyDescent="0.35">
      <c r="EW6010" s="48"/>
      <c r="FB6010" s="5"/>
      <c r="FI6010" s="5"/>
      <c r="FJ6010" s="164"/>
      <c r="FL6010" s="2"/>
      <c r="FN6010" s="2"/>
    </row>
    <row r="6011" spans="153:170" x14ac:dyDescent="0.35">
      <c r="EW6011" s="48"/>
      <c r="FB6011" s="5"/>
      <c r="FI6011" s="5"/>
      <c r="FJ6011" s="164"/>
      <c r="FL6011" s="2"/>
      <c r="FN6011" s="2"/>
    </row>
    <row r="6012" spans="153:170" x14ac:dyDescent="0.35">
      <c r="EW6012" s="48"/>
      <c r="FB6012" s="5"/>
      <c r="FI6012" s="5"/>
      <c r="FJ6012" s="164"/>
      <c r="FL6012" s="2"/>
      <c r="FN6012" s="2"/>
    </row>
    <row r="6013" spans="153:170" x14ac:dyDescent="0.35">
      <c r="EW6013" s="48"/>
      <c r="FB6013" s="5"/>
      <c r="FI6013" s="5"/>
      <c r="FJ6013" s="164"/>
      <c r="FL6013" s="2"/>
      <c r="FN6013" s="2"/>
    </row>
    <row r="6014" spans="153:170" x14ac:dyDescent="0.35">
      <c r="EW6014" s="48"/>
      <c r="FB6014" s="5"/>
      <c r="FI6014" s="5"/>
      <c r="FJ6014" s="164"/>
      <c r="FL6014" s="2"/>
      <c r="FN6014" s="2"/>
    </row>
    <row r="6015" spans="153:170" x14ac:dyDescent="0.35">
      <c r="EW6015" s="48"/>
      <c r="FB6015" s="5"/>
      <c r="FI6015" s="5"/>
      <c r="FJ6015" s="164"/>
      <c r="FL6015" s="2"/>
      <c r="FN6015" s="2"/>
    </row>
    <row r="6016" spans="153:170" x14ac:dyDescent="0.35">
      <c r="EW6016" s="48"/>
      <c r="FB6016" s="5"/>
      <c r="FI6016" s="5"/>
      <c r="FJ6016" s="164"/>
      <c r="FL6016" s="2"/>
      <c r="FN6016" s="2"/>
    </row>
    <row r="6017" spans="153:170" x14ac:dyDescent="0.35">
      <c r="EW6017" s="48"/>
      <c r="FB6017" s="5"/>
      <c r="FI6017" s="5"/>
      <c r="FJ6017" s="164"/>
      <c r="FL6017" s="2"/>
      <c r="FN6017" s="2"/>
    </row>
    <row r="6018" spans="153:170" x14ac:dyDescent="0.35">
      <c r="EW6018" s="48"/>
      <c r="FB6018" s="5"/>
      <c r="FI6018" s="5"/>
      <c r="FJ6018" s="164"/>
      <c r="FL6018" s="2"/>
      <c r="FN6018" s="2"/>
    </row>
    <row r="6019" spans="153:170" x14ac:dyDescent="0.35">
      <c r="EW6019" s="48"/>
      <c r="FB6019" s="5"/>
      <c r="FI6019" s="5"/>
      <c r="FJ6019" s="164"/>
      <c r="FL6019" s="2"/>
      <c r="FN6019" s="2"/>
    </row>
    <row r="6020" spans="153:170" x14ac:dyDescent="0.35">
      <c r="EW6020" s="48"/>
      <c r="FB6020" s="5"/>
      <c r="FI6020" s="5"/>
      <c r="FJ6020" s="164"/>
      <c r="FL6020" s="2"/>
      <c r="FN6020" s="2"/>
    </row>
    <row r="6021" spans="153:170" x14ac:dyDescent="0.35">
      <c r="EW6021" s="48"/>
      <c r="FB6021" s="5"/>
      <c r="FI6021" s="5"/>
      <c r="FJ6021" s="164"/>
      <c r="FL6021" s="2"/>
      <c r="FN6021" s="2"/>
    </row>
    <row r="6022" spans="153:170" x14ac:dyDescent="0.35">
      <c r="EW6022" s="48"/>
      <c r="FB6022" s="5"/>
      <c r="FI6022" s="5"/>
      <c r="FJ6022" s="164"/>
      <c r="FL6022" s="2"/>
      <c r="FN6022" s="2"/>
    </row>
    <row r="6023" spans="153:170" x14ac:dyDescent="0.35">
      <c r="EW6023" s="48"/>
      <c r="FB6023" s="5"/>
      <c r="FI6023" s="5"/>
      <c r="FJ6023" s="164"/>
      <c r="FL6023" s="2"/>
      <c r="FN6023" s="2"/>
    </row>
    <row r="6024" spans="153:170" x14ac:dyDescent="0.35">
      <c r="EW6024" s="48"/>
      <c r="FB6024" s="5"/>
      <c r="FI6024" s="5"/>
      <c r="FJ6024" s="164"/>
      <c r="FL6024" s="2"/>
      <c r="FN6024" s="2"/>
    </row>
    <row r="6025" spans="153:170" x14ac:dyDescent="0.35">
      <c r="EW6025" s="48"/>
      <c r="FB6025" s="5"/>
      <c r="FI6025" s="5"/>
      <c r="FJ6025" s="164"/>
      <c r="FL6025" s="2"/>
      <c r="FN6025" s="2"/>
    </row>
    <row r="6026" spans="153:170" x14ac:dyDescent="0.35">
      <c r="EW6026" s="48"/>
      <c r="FB6026" s="5"/>
      <c r="FI6026" s="5"/>
      <c r="FJ6026" s="164"/>
      <c r="FL6026" s="2"/>
      <c r="FN6026" s="2"/>
    </row>
    <row r="6027" spans="153:170" x14ac:dyDescent="0.35">
      <c r="EW6027" s="48"/>
      <c r="FB6027" s="5"/>
      <c r="FI6027" s="5"/>
      <c r="FJ6027" s="164"/>
      <c r="FL6027" s="2"/>
      <c r="FN6027" s="2"/>
    </row>
    <row r="6028" spans="153:170" x14ac:dyDescent="0.35">
      <c r="EW6028" s="48"/>
      <c r="FB6028" s="5"/>
      <c r="FI6028" s="5"/>
      <c r="FJ6028" s="164"/>
      <c r="FL6028" s="2"/>
      <c r="FN6028" s="2"/>
    </row>
    <row r="6029" spans="153:170" x14ac:dyDescent="0.35">
      <c r="EW6029" s="48"/>
      <c r="FB6029" s="5"/>
      <c r="FI6029" s="5"/>
      <c r="FJ6029" s="164"/>
      <c r="FL6029" s="2"/>
      <c r="FN6029" s="2"/>
    </row>
    <row r="6030" spans="153:170" x14ac:dyDescent="0.35">
      <c r="EW6030" s="48"/>
      <c r="FB6030" s="5"/>
      <c r="FI6030" s="5"/>
      <c r="FJ6030" s="164"/>
      <c r="FL6030" s="2"/>
      <c r="FN6030" s="2"/>
    </row>
    <row r="6031" spans="153:170" x14ac:dyDescent="0.35">
      <c r="EW6031" s="48"/>
      <c r="FB6031" s="5"/>
      <c r="FI6031" s="5"/>
      <c r="FJ6031" s="164"/>
      <c r="FL6031" s="2"/>
      <c r="FN6031" s="2"/>
    </row>
    <row r="6032" spans="153:170" x14ac:dyDescent="0.35">
      <c r="EW6032" s="48"/>
      <c r="FB6032" s="5"/>
      <c r="FI6032" s="5"/>
      <c r="FJ6032" s="164"/>
      <c r="FL6032" s="2"/>
      <c r="FN6032" s="2"/>
    </row>
    <row r="6033" spans="153:170" x14ac:dyDescent="0.35">
      <c r="EW6033" s="48"/>
      <c r="FB6033" s="5"/>
      <c r="FI6033" s="5"/>
      <c r="FJ6033" s="164"/>
      <c r="FL6033" s="2"/>
      <c r="FN6033" s="2"/>
    </row>
    <row r="6034" spans="153:170" x14ac:dyDescent="0.35">
      <c r="EW6034" s="48"/>
      <c r="FB6034" s="5"/>
      <c r="FI6034" s="5"/>
      <c r="FJ6034" s="164"/>
      <c r="FL6034" s="2"/>
      <c r="FN6034" s="2"/>
    </row>
    <row r="6035" spans="153:170" x14ac:dyDescent="0.35">
      <c r="EW6035" s="48"/>
      <c r="FB6035" s="5"/>
      <c r="FI6035" s="5"/>
      <c r="FJ6035" s="164"/>
      <c r="FL6035" s="2"/>
      <c r="FN6035" s="2"/>
    </row>
    <row r="6036" spans="153:170" x14ac:dyDescent="0.35">
      <c r="EW6036" s="48"/>
      <c r="FB6036" s="5"/>
      <c r="FI6036" s="5"/>
      <c r="FJ6036" s="164"/>
      <c r="FL6036" s="2"/>
      <c r="FN6036" s="2"/>
    </row>
    <row r="6037" spans="153:170" x14ac:dyDescent="0.35">
      <c r="EW6037" s="48"/>
      <c r="FB6037" s="5"/>
      <c r="FI6037" s="5"/>
      <c r="FJ6037" s="164"/>
      <c r="FL6037" s="2"/>
      <c r="FN6037" s="2"/>
    </row>
    <row r="6038" spans="153:170" x14ac:dyDescent="0.35">
      <c r="EW6038" s="48"/>
      <c r="FB6038" s="5"/>
      <c r="FI6038" s="5"/>
      <c r="FJ6038" s="164"/>
      <c r="FL6038" s="2"/>
      <c r="FN6038" s="2"/>
    </row>
    <row r="6039" spans="153:170" x14ac:dyDescent="0.35">
      <c r="EW6039" s="48"/>
      <c r="FB6039" s="5"/>
      <c r="FI6039" s="5"/>
      <c r="FJ6039" s="164"/>
      <c r="FL6039" s="2"/>
      <c r="FN6039" s="2"/>
    </row>
    <row r="6040" spans="153:170" x14ac:dyDescent="0.35">
      <c r="EW6040" s="48"/>
      <c r="FB6040" s="5"/>
      <c r="FI6040" s="5"/>
      <c r="FJ6040" s="164"/>
      <c r="FL6040" s="2"/>
      <c r="FN6040" s="2"/>
    </row>
    <row r="6041" spans="153:170" x14ac:dyDescent="0.35">
      <c r="EW6041" s="48"/>
      <c r="FB6041" s="5"/>
      <c r="FI6041" s="5"/>
      <c r="FJ6041" s="164"/>
      <c r="FL6041" s="2"/>
      <c r="FN6041" s="2"/>
    </row>
    <row r="6042" spans="153:170" x14ac:dyDescent="0.35">
      <c r="EW6042" s="48"/>
      <c r="FB6042" s="5"/>
      <c r="FI6042" s="5"/>
      <c r="FJ6042" s="164"/>
      <c r="FL6042" s="2"/>
      <c r="FN6042" s="2"/>
    </row>
    <row r="6043" spans="153:170" x14ac:dyDescent="0.35">
      <c r="EW6043" s="48"/>
      <c r="FB6043" s="5"/>
      <c r="FI6043" s="5"/>
      <c r="FJ6043" s="164"/>
      <c r="FL6043" s="2"/>
      <c r="FN6043" s="2"/>
    </row>
    <row r="6044" spans="153:170" x14ac:dyDescent="0.35">
      <c r="EW6044" s="48"/>
      <c r="FB6044" s="5"/>
      <c r="FI6044" s="5"/>
      <c r="FJ6044" s="164"/>
      <c r="FL6044" s="2"/>
      <c r="FN6044" s="2"/>
    </row>
    <row r="6045" spans="153:170" x14ac:dyDescent="0.35">
      <c r="EW6045" s="48"/>
      <c r="FB6045" s="5"/>
      <c r="FI6045" s="5"/>
      <c r="FJ6045" s="164"/>
      <c r="FL6045" s="2"/>
      <c r="FN6045" s="2"/>
    </row>
    <row r="6046" spans="153:170" x14ac:dyDescent="0.35">
      <c r="EW6046" s="48"/>
      <c r="FB6046" s="5"/>
      <c r="FI6046" s="5"/>
      <c r="FJ6046" s="164"/>
      <c r="FL6046" s="2"/>
      <c r="FN6046" s="2"/>
    </row>
    <row r="6047" spans="153:170" x14ac:dyDescent="0.35">
      <c r="EW6047" s="48"/>
      <c r="FB6047" s="5"/>
      <c r="FI6047" s="5"/>
      <c r="FJ6047" s="164"/>
      <c r="FL6047" s="2"/>
      <c r="FN6047" s="2"/>
    </row>
    <row r="6048" spans="153:170" x14ac:dyDescent="0.35">
      <c r="EW6048" s="48"/>
      <c r="FB6048" s="5"/>
      <c r="FI6048" s="5"/>
      <c r="FJ6048" s="164"/>
      <c r="FL6048" s="2"/>
      <c r="FN6048" s="2"/>
    </row>
    <row r="6049" spans="153:170" x14ac:dyDescent="0.35">
      <c r="EW6049" s="48"/>
      <c r="FB6049" s="5"/>
      <c r="FI6049" s="5"/>
      <c r="FJ6049" s="164"/>
      <c r="FL6049" s="2"/>
      <c r="FN6049" s="2"/>
    </row>
    <row r="6050" spans="153:170" x14ac:dyDescent="0.35">
      <c r="EW6050" s="48"/>
      <c r="FB6050" s="5"/>
      <c r="FI6050" s="5"/>
      <c r="FJ6050" s="164"/>
      <c r="FL6050" s="2"/>
      <c r="FN6050" s="2"/>
    </row>
    <row r="6051" spans="153:170" x14ac:dyDescent="0.35">
      <c r="EW6051" s="48"/>
      <c r="FB6051" s="5"/>
      <c r="FI6051" s="5"/>
      <c r="FJ6051" s="164"/>
      <c r="FL6051" s="2"/>
      <c r="FN6051" s="2"/>
    </row>
    <row r="6052" spans="153:170" x14ac:dyDescent="0.35">
      <c r="EW6052" s="48"/>
      <c r="FB6052" s="5"/>
      <c r="FI6052" s="5"/>
      <c r="FJ6052" s="164"/>
      <c r="FL6052" s="2"/>
      <c r="FN6052" s="2"/>
    </row>
    <row r="6053" spans="153:170" x14ac:dyDescent="0.35">
      <c r="EW6053" s="48"/>
      <c r="FB6053" s="5"/>
      <c r="FI6053" s="5"/>
      <c r="FJ6053" s="164"/>
      <c r="FL6053" s="2"/>
      <c r="FN6053" s="2"/>
    </row>
    <row r="6054" spans="153:170" x14ac:dyDescent="0.35">
      <c r="EW6054" s="48"/>
      <c r="FB6054" s="5"/>
      <c r="FI6054" s="5"/>
      <c r="FJ6054" s="164"/>
      <c r="FL6054" s="2"/>
      <c r="FN6054" s="2"/>
    </row>
    <row r="6055" spans="153:170" x14ac:dyDescent="0.35">
      <c r="EW6055" s="48"/>
      <c r="FB6055" s="5"/>
      <c r="FI6055" s="5"/>
      <c r="FJ6055" s="164"/>
      <c r="FL6055" s="2"/>
      <c r="FN6055" s="2"/>
    </row>
    <row r="6056" spans="153:170" x14ac:dyDescent="0.35">
      <c r="EW6056" s="48"/>
      <c r="FB6056" s="5"/>
      <c r="FI6056" s="5"/>
      <c r="FJ6056" s="164"/>
      <c r="FL6056" s="2"/>
      <c r="FN6056" s="2"/>
    </row>
    <row r="6057" spans="153:170" x14ac:dyDescent="0.35">
      <c r="EW6057" s="48"/>
      <c r="FB6057" s="5"/>
      <c r="FI6057" s="5"/>
      <c r="FJ6057" s="164"/>
      <c r="FL6057" s="2"/>
      <c r="FN6057" s="2"/>
    </row>
    <row r="6058" spans="153:170" x14ac:dyDescent="0.35">
      <c r="EW6058" s="48"/>
      <c r="FB6058" s="5"/>
      <c r="FI6058" s="5"/>
      <c r="FJ6058" s="164"/>
      <c r="FL6058" s="2"/>
      <c r="FN6058" s="2"/>
    </row>
    <row r="6059" spans="153:170" x14ac:dyDescent="0.35">
      <c r="EW6059" s="48"/>
      <c r="FB6059" s="5"/>
      <c r="FI6059" s="5"/>
      <c r="FJ6059" s="164"/>
      <c r="FL6059" s="2"/>
      <c r="FN6059" s="2"/>
    </row>
    <row r="6060" spans="153:170" x14ac:dyDescent="0.35">
      <c r="EW6060" s="48"/>
      <c r="FB6060" s="5"/>
      <c r="FI6060" s="5"/>
      <c r="FJ6060" s="164"/>
      <c r="FL6060" s="2"/>
      <c r="FN6060" s="2"/>
    </row>
    <row r="6061" spans="153:170" x14ac:dyDescent="0.35">
      <c r="EW6061" s="48"/>
      <c r="FB6061" s="5"/>
      <c r="FI6061" s="5"/>
      <c r="FJ6061" s="164"/>
      <c r="FL6061" s="2"/>
      <c r="FN6061" s="2"/>
    </row>
    <row r="6062" spans="153:170" x14ac:dyDescent="0.35">
      <c r="EW6062" s="48"/>
      <c r="FB6062" s="5"/>
      <c r="FI6062" s="5"/>
      <c r="FJ6062" s="164"/>
      <c r="FL6062" s="2"/>
      <c r="FN6062" s="2"/>
    </row>
    <row r="6063" spans="153:170" x14ac:dyDescent="0.35">
      <c r="EW6063" s="48"/>
      <c r="FB6063" s="5"/>
      <c r="FI6063" s="5"/>
      <c r="FJ6063" s="164"/>
      <c r="FL6063" s="2"/>
      <c r="FN6063" s="2"/>
    </row>
    <row r="6064" spans="153:170" x14ac:dyDescent="0.35">
      <c r="EW6064" s="48"/>
      <c r="FB6064" s="5"/>
      <c r="FI6064" s="5"/>
      <c r="FJ6064" s="164"/>
      <c r="FL6064" s="2"/>
      <c r="FN6064" s="2"/>
    </row>
    <row r="6065" spans="153:170" x14ac:dyDescent="0.35">
      <c r="EW6065" s="48"/>
      <c r="FB6065" s="5"/>
      <c r="FI6065" s="5"/>
      <c r="FJ6065" s="164"/>
      <c r="FL6065" s="2"/>
      <c r="FN6065" s="2"/>
    </row>
    <row r="6066" spans="153:170" x14ac:dyDescent="0.35">
      <c r="EW6066" s="48"/>
      <c r="FB6066" s="5"/>
      <c r="FI6066" s="5"/>
      <c r="FJ6066" s="164"/>
      <c r="FL6066" s="2"/>
      <c r="FN6066" s="2"/>
    </row>
    <row r="6067" spans="153:170" x14ac:dyDescent="0.35">
      <c r="EW6067" s="48"/>
      <c r="FB6067" s="5"/>
      <c r="FI6067" s="5"/>
      <c r="FJ6067" s="164"/>
      <c r="FL6067" s="2"/>
      <c r="FN6067" s="2"/>
    </row>
    <row r="6068" spans="153:170" x14ac:dyDescent="0.35">
      <c r="EW6068" s="48"/>
      <c r="FB6068" s="5"/>
      <c r="FI6068" s="5"/>
      <c r="FJ6068" s="164"/>
      <c r="FL6068" s="2"/>
      <c r="FN6068" s="2"/>
    </row>
    <row r="6069" spans="153:170" x14ac:dyDescent="0.35">
      <c r="EW6069" s="48"/>
      <c r="FB6069" s="5"/>
      <c r="FI6069" s="5"/>
      <c r="FJ6069" s="164"/>
      <c r="FL6069" s="2"/>
      <c r="FN6069" s="2"/>
    </row>
    <row r="6070" spans="153:170" x14ac:dyDescent="0.35">
      <c r="EW6070" s="48"/>
      <c r="FB6070" s="5"/>
      <c r="FI6070" s="5"/>
      <c r="FJ6070" s="164"/>
      <c r="FL6070" s="2"/>
      <c r="FN6070" s="2"/>
    </row>
    <row r="6071" spans="153:170" x14ac:dyDescent="0.35">
      <c r="EW6071" s="48"/>
      <c r="FB6071" s="5"/>
      <c r="FI6071" s="5"/>
      <c r="FJ6071" s="164"/>
      <c r="FL6071" s="2"/>
      <c r="FN6071" s="2"/>
    </row>
    <row r="6072" spans="153:170" x14ac:dyDescent="0.35">
      <c r="EW6072" s="48"/>
      <c r="FB6072" s="5"/>
      <c r="FI6072" s="5"/>
      <c r="FJ6072" s="164"/>
      <c r="FL6072" s="2"/>
      <c r="FN6072" s="2"/>
    </row>
    <row r="6073" spans="153:170" x14ac:dyDescent="0.35">
      <c r="EW6073" s="48"/>
      <c r="FB6073" s="5"/>
      <c r="FI6073" s="5"/>
      <c r="FJ6073" s="164"/>
      <c r="FL6073" s="2"/>
      <c r="FN6073" s="2"/>
    </row>
    <row r="6074" spans="153:170" x14ac:dyDescent="0.35">
      <c r="EW6074" s="48"/>
      <c r="FB6074" s="5"/>
      <c r="FI6074" s="5"/>
      <c r="FJ6074" s="164"/>
      <c r="FL6074" s="2"/>
      <c r="FN6074" s="2"/>
    </row>
    <row r="6075" spans="153:170" x14ac:dyDescent="0.35">
      <c r="EW6075" s="48"/>
      <c r="FB6075" s="5"/>
      <c r="FI6075" s="5"/>
      <c r="FJ6075" s="164"/>
      <c r="FL6075" s="2"/>
      <c r="FN6075" s="2"/>
    </row>
    <row r="6076" spans="153:170" x14ac:dyDescent="0.35">
      <c r="EW6076" s="48"/>
      <c r="FB6076" s="5"/>
      <c r="FI6076" s="5"/>
      <c r="FJ6076" s="164"/>
      <c r="FL6076" s="2"/>
      <c r="FN6076" s="2"/>
    </row>
    <row r="6077" spans="153:170" x14ac:dyDescent="0.35">
      <c r="EW6077" s="48"/>
      <c r="FB6077" s="5"/>
      <c r="FI6077" s="5"/>
      <c r="FJ6077" s="164"/>
      <c r="FL6077" s="2"/>
      <c r="FN6077" s="2"/>
    </row>
    <row r="6078" spans="153:170" x14ac:dyDescent="0.35">
      <c r="EW6078" s="48"/>
      <c r="FB6078" s="5"/>
      <c r="FI6078" s="5"/>
      <c r="FJ6078" s="164"/>
      <c r="FL6078" s="2"/>
      <c r="FN6078" s="2"/>
    </row>
    <row r="6079" spans="153:170" x14ac:dyDescent="0.35">
      <c r="EW6079" s="48"/>
      <c r="FB6079" s="5"/>
      <c r="FI6079" s="5"/>
      <c r="FJ6079" s="164"/>
      <c r="FL6079" s="2"/>
      <c r="FN6079" s="2"/>
    </row>
    <row r="6080" spans="153:170" x14ac:dyDescent="0.35">
      <c r="EW6080" s="48"/>
      <c r="FB6080" s="5"/>
      <c r="FI6080" s="5"/>
      <c r="FJ6080" s="164"/>
      <c r="FL6080" s="2"/>
      <c r="FN6080" s="2"/>
    </row>
    <row r="6081" spans="153:170" x14ac:dyDescent="0.35">
      <c r="EW6081" s="48"/>
      <c r="FB6081" s="5"/>
      <c r="FI6081" s="5"/>
      <c r="FJ6081" s="164"/>
      <c r="FL6081" s="2"/>
      <c r="FN6081" s="2"/>
    </row>
    <row r="6082" spans="153:170" x14ac:dyDescent="0.35">
      <c r="EW6082" s="48"/>
      <c r="FB6082" s="5"/>
      <c r="FI6082" s="5"/>
      <c r="FJ6082" s="164"/>
      <c r="FL6082" s="2"/>
      <c r="FN6082" s="2"/>
    </row>
    <row r="6083" spans="153:170" x14ac:dyDescent="0.35">
      <c r="EW6083" s="48"/>
      <c r="FB6083" s="5"/>
      <c r="FI6083" s="5"/>
      <c r="FJ6083" s="164"/>
      <c r="FL6083" s="2"/>
      <c r="FN6083" s="2"/>
    </row>
    <row r="6084" spans="153:170" x14ac:dyDescent="0.35">
      <c r="EW6084" s="48"/>
      <c r="FB6084" s="5"/>
      <c r="FI6084" s="5"/>
      <c r="FJ6084" s="164"/>
      <c r="FL6084" s="2"/>
      <c r="FN6084" s="2"/>
    </row>
    <row r="6085" spans="153:170" x14ac:dyDescent="0.35">
      <c r="EW6085" s="48"/>
      <c r="FB6085" s="5"/>
      <c r="FI6085" s="5"/>
      <c r="FJ6085" s="164"/>
      <c r="FL6085" s="2"/>
      <c r="FN6085" s="2"/>
    </row>
    <row r="6086" spans="153:170" x14ac:dyDescent="0.35">
      <c r="EW6086" s="48"/>
      <c r="FB6086" s="5"/>
      <c r="FI6086" s="5"/>
      <c r="FJ6086" s="164"/>
      <c r="FL6086" s="2"/>
      <c r="FN6086" s="2"/>
    </row>
    <row r="6087" spans="153:170" x14ac:dyDescent="0.35">
      <c r="EW6087" s="48"/>
      <c r="FB6087" s="5"/>
      <c r="FI6087" s="5"/>
      <c r="FJ6087" s="164"/>
      <c r="FL6087" s="2"/>
      <c r="FN6087" s="2"/>
    </row>
    <row r="6088" spans="153:170" x14ac:dyDescent="0.35">
      <c r="EW6088" s="48"/>
      <c r="FB6088" s="5"/>
      <c r="FI6088" s="5"/>
      <c r="FJ6088" s="164"/>
      <c r="FL6088" s="2"/>
      <c r="FN6088" s="2"/>
    </row>
    <row r="6089" spans="153:170" x14ac:dyDescent="0.35">
      <c r="EW6089" s="48"/>
      <c r="FB6089" s="5"/>
      <c r="FI6089" s="5"/>
      <c r="FJ6089" s="164"/>
      <c r="FL6089" s="2"/>
      <c r="FN6089" s="2"/>
    </row>
    <row r="6090" spans="153:170" x14ac:dyDescent="0.35">
      <c r="EW6090" s="48"/>
      <c r="FB6090" s="5"/>
      <c r="FI6090" s="5"/>
      <c r="FJ6090" s="164"/>
      <c r="FL6090" s="2"/>
      <c r="FN6090" s="2"/>
    </row>
    <row r="6091" spans="153:170" x14ac:dyDescent="0.35">
      <c r="EW6091" s="48"/>
      <c r="FB6091" s="5"/>
      <c r="FI6091" s="5"/>
      <c r="FJ6091" s="164"/>
      <c r="FL6091" s="2"/>
      <c r="FN6091" s="2"/>
    </row>
    <row r="6092" spans="153:170" x14ac:dyDescent="0.35">
      <c r="EW6092" s="48"/>
      <c r="FB6092" s="5"/>
      <c r="FI6092" s="5"/>
      <c r="FJ6092" s="164"/>
      <c r="FL6092" s="2"/>
      <c r="FN6092" s="2"/>
    </row>
    <row r="6093" spans="153:170" x14ac:dyDescent="0.35">
      <c r="EW6093" s="48"/>
      <c r="FB6093" s="5"/>
      <c r="FI6093" s="5"/>
      <c r="FJ6093" s="164"/>
      <c r="FL6093" s="2"/>
      <c r="FN6093" s="2"/>
    </row>
    <row r="6094" spans="153:170" x14ac:dyDescent="0.35">
      <c r="EW6094" s="48"/>
      <c r="FB6094" s="5"/>
      <c r="FI6094" s="5"/>
      <c r="FJ6094" s="164"/>
      <c r="FL6094" s="2"/>
      <c r="FN6094" s="2"/>
    </row>
    <row r="6095" spans="153:170" x14ac:dyDescent="0.35">
      <c r="EW6095" s="48"/>
      <c r="FB6095" s="5"/>
      <c r="FI6095" s="5"/>
      <c r="FJ6095" s="164"/>
      <c r="FL6095" s="2"/>
      <c r="FN6095" s="2"/>
    </row>
    <row r="6096" spans="153:170" x14ac:dyDescent="0.35">
      <c r="EW6096" s="48"/>
      <c r="FB6096" s="5"/>
      <c r="FI6096" s="5"/>
      <c r="FJ6096" s="164"/>
      <c r="FL6096" s="2"/>
      <c r="FN6096" s="2"/>
    </row>
    <row r="6097" spans="153:170" x14ac:dyDescent="0.35">
      <c r="EW6097" s="48"/>
      <c r="FB6097" s="5"/>
      <c r="FI6097" s="5"/>
      <c r="FJ6097" s="164"/>
      <c r="FL6097" s="2"/>
      <c r="FN6097" s="2"/>
    </row>
    <row r="6098" spans="153:170" x14ac:dyDescent="0.35">
      <c r="EW6098" s="48"/>
      <c r="FB6098" s="5"/>
      <c r="FI6098" s="5"/>
      <c r="FJ6098" s="164"/>
      <c r="FL6098" s="2"/>
      <c r="FN6098" s="2"/>
    </row>
    <row r="6099" spans="153:170" x14ac:dyDescent="0.35">
      <c r="EW6099" s="48"/>
      <c r="FB6099" s="5"/>
      <c r="FI6099" s="5"/>
      <c r="FJ6099" s="164"/>
      <c r="FL6099" s="2"/>
      <c r="FN6099" s="2"/>
    </row>
    <row r="6100" spans="153:170" x14ac:dyDescent="0.35">
      <c r="EW6100" s="48"/>
      <c r="FB6100" s="5"/>
      <c r="FI6100" s="5"/>
      <c r="FJ6100" s="164"/>
      <c r="FL6100" s="2"/>
      <c r="FN6100" s="2"/>
    </row>
    <row r="6101" spans="153:170" x14ac:dyDescent="0.35">
      <c r="EW6101" s="48"/>
      <c r="FB6101" s="5"/>
      <c r="FI6101" s="5"/>
      <c r="FJ6101" s="164"/>
      <c r="FL6101" s="2"/>
      <c r="FN6101" s="2"/>
    </row>
    <row r="6102" spans="153:170" x14ac:dyDescent="0.35">
      <c r="EW6102" s="48"/>
      <c r="FB6102" s="5"/>
      <c r="FI6102" s="5"/>
      <c r="FJ6102" s="164"/>
      <c r="FL6102" s="2"/>
      <c r="FN6102" s="2"/>
    </row>
    <row r="6103" spans="153:170" x14ac:dyDescent="0.35">
      <c r="EW6103" s="48"/>
      <c r="FB6103" s="5"/>
      <c r="FI6103" s="5"/>
      <c r="FJ6103" s="164"/>
      <c r="FL6103" s="2"/>
      <c r="FN6103" s="2"/>
    </row>
    <row r="6104" spans="153:170" x14ac:dyDescent="0.35">
      <c r="EW6104" s="48"/>
      <c r="FB6104" s="5"/>
      <c r="FI6104" s="5"/>
      <c r="FJ6104" s="164"/>
      <c r="FL6104" s="2"/>
      <c r="FN6104" s="2"/>
    </row>
    <row r="6105" spans="153:170" x14ac:dyDescent="0.35">
      <c r="EW6105" s="48"/>
      <c r="FB6105" s="5"/>
      <c r="FI6105" s="5"/>
      <c r="FJ6105" s="164"/>
      <c r="FL6105" s="2"/>
      <c r="FN6105" s="2"/>
    </row>
    <row r="6106" spans="153:170" x14ac:dyDescent="0.35">
      <c r="EW6106" s="48"/>
      <c r="FB6106" s="5"/>
      <c r="FI6106" s="5"/>
      <c r="FJ6106" s="164"/>
      <c r="FL6106" s="2"/>
      <c r="FN6106" s="2"/>
    </row>
    <row r="6107" spans="153:170" x14ac:dyDescent="0.35">
      <c r="EW6107" s="48"/>
      <c r="FB6107" s="5"/>
      <c r="FI6107" s="5"/>
      <c r="FJ6107" s="164"/>
      <c r="FL6107" s="2"/>
      <c r="FN6107" s="2"/>
    </row>
    <row r="6108" spans="153:170" x14ac:dyDescent="0.35">
      <c r="EW6108" s="48"/>
      <c r="FB6108" s="5"/>
      <c r="FI6108" s="5"/>
      <c r="FJ6108" s="164"/>
      <c r="FL6108" s="2"/>
      <c r="FN6108" s="2"/>
    </row>
    <row r="6109" spans="153:170" x14ac:dyDescent="0.35">
      <c r="EW6109" s="48"/>
      <c r="FB6109" s="5"/>
      <c r="FI6109" s="5"/>
      <c r="FJ6109" s="164"/>
      <c r="FL6109" s="2"/>
      <c r="FN6109" s="2"/>
    </row>
    <row r="6110" spans="153:170" x14ac:dyDescent="0.35">
      <c r="EW6110" s="48"/>
      <c r="FB6110" s="5"/>
      <c r="FI6110" s="5"/>
      <c r="FJ6110" s="164"/>
      <c r="FL6110" s="2"/>
      <c r="FN6110" s="2"/>
    </row>
    <row r="6111" spans="153:170" x14ac:dyDescent="0.35">
      <c r="EW6111" s="48"/>
      <c r="FB6111" s="5"/>
      <c r="FI6111" s="5"/>
      <c r="FJ6111" s="164"/>
      <c r="FL6111" s="2"/>
      <c r="FN6111" s="2"/>
    </row>
    <row r="6112" spans="153:170" x14ac:dyDescent="0.35">
      <c r="EW6112" s="48"/>
      <c r="FB6112" s="5"/>
      <c r="FI6112" s="5"/>
      <c r="FJ6112" s="164"/>
      <c r="FL6112" s="2"/>
      <c r="FN6112" s="2"/>
    </row>
    <row r="6113" spans="153:170" x14ac:dyDescent="0.35">
      <c r="EW6113" s="48"/>
      <c r="FB6113" s="5"/>
      <c r="FI6113" s="5"/>
      <c r="FJ6113" s="164"/>
      <c r="FL6113" s="2"/>
      <c r="FN6113" s="2"/>
    </row>
    <row r="6114" spans="153:170" x14ac:dyDescent="0.35">
      <c r="EW6114" s="48"/>
      <c r="FB6114" s="5"/>
      <c r="FI6114" s="5"/>
      <c r="FJ6114" s="164"/>
      <c r="FL6114" s="2"/>
      <c r="FN6114" s="2"/>
    </row>
    <row r="6115" spans="153:170" x14ac:dyDescent="0.35">
      <c r="EW6115" s="48"/>
      <c r="FB6115" s="5"/>
      <c r="FI6115" s="5"/>
      <c r="FJ6115" s="164"/>
      <c r="FL6115" s="2"/>
      <c r="FN6115" s="2"/>
    </row>
    <row r="6116" spans="153:170" x14ac:dyDescent="0.35">
      <c r="EW6116" s="48"/>
      <c r="FB6116" s="5"/>
      <c r="FI6116" s="5"/>
      <c r="FJ6116" s="164"/>
      <c r="FL6116" s="2"/>
      <c r="FN6116" s="2"/>
    </row>
    <row r="6117" spans="153:170" x14ac:dyDescent="0.35">
      <c r="EW6117" s="48"/>
      <c r="FB6117" s="5"/>
      <c r="FI6117" s="5"/>
      <c r="FJ6117" s="164"/>
      <c r="FL6117" s="2"/>
      <c r="FN6117" s="2"/>
    </row>
    <row r="6118" spans="153:170" x14ac:dyDescent="0.35">
      <c r="EW6118" s="48"/>
      <c r="FB6118" s="5"/>
      <c r="FI6118" s="5"/>
      <c r="FJ6118" s="164"/>
      <c r="FL6118" s="2"/>
      <c r="FN6118" s="2"/>
    </row>
    <row r="6119" spans="153:170" x14ac:dyDescent="0.35">
      <c r="EW6119" s="48"/>
      <c r="FB6119" s="5"/>
      <c r="FI6119" s="5"/>
      <c r="FJ6119" s="164"/>
      <c r="FL6119" s="2"/>
      <c r="FN6119" s="2"/>
    </row>
    <row r="6120" spans="153:170" x14ac:dyDescent="0.35">
      <c r="EW6120" s="48"/>
      <c r="FB6120" s="5"/>
      <c r="FI6120" s="5"/>
      <c r="FJ6120" s="164"/>
      <c r="FL6120" s="2"/>
      <c r="FN6120" s="2"/>
    </row>
    <row r="6121" spans="153:170" x14ac:dyDescent="0.35">
      <c r="EW6121" s="48"/>
      <c r="FB6121" s="5"/>
      <c r="FI6121" s="5"/>
      <c r="FJ6121" s="164"/>
      <c r="FL6121" s="2"/>
      <c r="FN6121" s="2"/>
    </row>
    <row r="6122" spans="153:170" x14ac:dyDescent="0.35">
      <c r="EW6122" s="48"/>
      <c r="FB6122" s="5"/>
      <c r="FI6122" s="5"/>
      <c r="FJ6122" s="164"/>
      <c r="FL6122" s="2"/>
      <c r="FN6122" s="2"/>
    </row>
    <row r="6123" spans="153:170" x14ac:dyDescent="0.35">
      <c r="EW6123" s="48"/>
      <c r="FB6123" s="5"/>
      <c r="FI6123" s="5"/>
      <c r="FJ6123" s="164"/>
      <c r="FL6123" s="2"/>
      <c r="FN6123" s="2"/>
    </row>
    <row r="6124" spans="153:170" x14ac:dyDescent="0.35">
      <c r="EW6124" s="48"/>
      <c r="FB6124" s="5"/>
      <c r="FI6124" s="5"/>
      <c r="FJ6124" s="164"/>
      <c r="FL6124" s="2"/>
      <c r="FN6124" s="2"/>
    </row>
    <row r="6125" spans="153:170" x14ac:dyDescent="0.35">
      <c r="EW6125" s="48"/>
      <c r="FB6125" s="5"/>
      <c r="FI6125" s="5"/>
      <c r="FJ6125" s="164"/>
      <c r="FL6125" s="2"/>
      <c r="FN6125" s="2"/>
    </row>
    <row r="6126" spans="153:170" x14ac:dyDescent="0.35">
      <c r="EW6126" s="48"/>
      <c r="FB6126" s="5"/>
      <c r="FI6126" s="5"/>
      <c r="FJ6126" s="164"/>
      <c r="FL6126" s="2"/>
      <c r="FN6126" s="2"/>
    </row>
    <row r="6127" spans="153:170" x14ac:dyDescent="0.35">
      <c r="EW6127" s="48"/>
      <c r="FB6127" s="5"/>
      <c r="FI6127" s="5"/>
      <c r="FJ6127" s="164"/>
      <c r="FL6127" s="2"/>
      <c r="FN6127" s="2"/>
    </row>
    <row r="6128" spans="153:170" x14ac:dyDescent="0.35">
      <c r="EW6128" s="48"/>
      <c r="FB6128" s="5"/>
      <c r="FI6128" s="5"/>
      <c r="FJ6128" s="164"/>
      <c r="FL6128" s="2"/>
      <c r="FN6128" s="2"/>
    </row>
    <row r="6129" spans="153:170" x14ac:dyDescent="0.35">
      <c r="EW6129" s="48"/>
      <c r="FB6129" s="5"/>
      <c r="FI6129" s="5"/>
      <c r="FJ6129" s="164"/>
      <c r="FL6129" s="2"/>
      <c r="FN6129" s="2"/>
    </row>
    <row r="6130" spans="153:170" x14ac:dyDescent="0.35">
      <c r="EW6130" s="48"/>
      <c r="FB6130" s="5"/>
      <c r="FI6130" s="5"/>
      <c r="FJ6130" s="164"/>
      <c r="FL6130" s="2"/>
      <c r="FN6130" s="2"/>
    </row>
    <row r="6131" spans="153:170" x14ac:dyDescent="0.35">
      <c r="EW6131" s="48"/>
      <c r="FB6131" s="5"/>
      <c r="FI6131" s="5"/>
      <c r="FJ6131" s="164"/>
      <c r="FL6131" s="2"/>
      <c r="FN6131" s="2"/>
    </row>
    <row r="6132" spans="153:170" x14ac:dyDescent="0.35">
      <c r="EW6132" s="48"/>
      <c r="FB6132" s="5"/>
      <c r="FI6132" s="5"/>
      <c r="FJ6132" s="164"/>
      <c r="FL6132" s="2"/>
      <c r="FN6132" s="2"/>
    </row>
    <row r="6133" spans="153:170" x14ac:dyDescent="0.35">
      <c r="EW6133" s="48"/>
      <c r="FB6133" s="5"/>
      <c r="FI6133" s="5"/>
      <c r="FJ6133" s="164"/>
      <c r="FL6133" s="2"/>
      <c r="FN6133" s="2"/>
    </row>
    <row r="6134" spans="153:170" x14ac:dyDescent="0.35">
      <c r="EW6134" s="48"/>
      <c r="FB6134" s="5"/>
      <c r="FI6134" s="5"/>
      <c r="FJ6134" s="164"/>
      <c r="FL6134" s="2"/>
      <c r="FN6134" s="2"/>
    </row>
    <row r="6135" spans="153:170" x14ac:dyDescent="0.35">
      <c r="EW6135" s="48"/>
      <c r="FB6135" s="5"/>
      <c r="FI6135" s="5"/>
      <c r="FJ6135" s="164"/>
      <c r="FL6135" s="2"/>
      <c r="FN6135" s="2"/>
    </row>
    <row r="6136" spans="153:170" x14ac:dyDescent="0.35">
      <c r="EW6136" s="48"/>
      <c r="FB6136" s="5"/>
      <c r="FI6136" s="5"/>
      <c r="FJ6136" s="164"/>
      <c r="FL6136" s="2"/>
      <c r="FN6136" s="2"/>
    </row>
    <row r="6137" spans="153:170" x14ac:dyDescent="0.35">
      <c r="EW6137" s="48"/>
      <c r="FB6137" s="5"/>
      <c r="FI6137" s="5"/>
      <c r="FJ6137" s="164"/>
      <c r="FL6137" s="2"/>
      <c r="FN6137" s="2"/>
    </row>
    <row r="6138" spans="153:170" x14ac:dyDescent="0.35">
      <c r="EW6138" s="48"/>
      <c r="FB6138" s="5"/>
      <c r="FI6138" s="5"/>
      <c r="FJ6138" s="164"/>
      <c r="FL6138" s="2"/>
      <c r="FN6138" s="2"/>
    </row>
    <row r="6139" spans="153:170" x14ac:dyDescent="0.35">
      <c r="EW6139" s="48"/>
      <c r="FB6139" s="5"/>
      <c r="FI6139" s="5"/>
      <c r="FJ6139" s="164"/>
      <c r="FL6139" s="2"/>
      <c r="FN6139" s="2"/>
    </row>
    <row r="6140" spans="153:170" x14ac:dyDescent="0.35">
      <c r="EW6140" s="48"/>
      <c r="FB6140" s="5"/>
      <c r="FI6140" s="5"/>
      <c r="FJ6140" s="164"/>
      <c r="FL6140" s="2"/>
      <c r="FN6140" s="2"/>
    </row>
    <row r="6141" spans="153:170" x14ac:dyDescent="0.35">
      <c r="EW6141" s="48"/>
      <c r="FB6141" s="5"/>
      <c r="FI6141" s="5"/>
      <c r="FJ6141" s="164"/>
      <c r="FL6141" s="2"/>
      <c r="FN6141" s="2"/>
    </row>
    <row r="6142" spans="153:170" x14ac:dyDescent="0.35">
      <c r="EW6142" s="48"/>
      <c r="FB6142" s="5"/>
      <c r="FI6142" s="5"/>
      <c r="FJ6142" s="164"/>
      <c r="FL6142" s="2"/>
      <c r="FN6142" s="2"/>
    </row>
    <row r="6143" spans="153:170" x14ac:dyDescent="0.35">
      <c r="EW6143" s="48"/>
      <c r="FB6143" s="5"/>
      <c r="FI6143" s="5"/>
      <c r="FJ6143" s="164"/>
      <c r="FL6143" s="2"/>
      <c r="FN6143" s="2"/>
    </row>
    <row r="6144" spans="153:170" x14ac:dyDescent="0.35">
      <c r="EW6144" s="48"/>
      <c r="FB6144" s="5"/>
      <c r="FI6144" s="5"/>
      <c r="FJ6144" s="164"/>
      <c r="FL6144" s="2"/>
      <c r="FN6144" s="2"/>
    </row>
    <row r="6145" spans="153:170" x14ac:dyDescent="0.35">
      <c r="EW6145" s="48"/>
      <c r="FB6145" s="5"/>
      <c r="FI6145" s="5"/>
      <c r="FJ6145" s="164"/>
      <c r="FL6145" s="2"/>
      <c r="FN6145" s="2"/>
    </row>
    <row r="6146" spans="153:170" x14ac:dyDescent="0.35">
      <c r="EW6146" s="48"/>
      <c r="FB6146" s="5"/>
      <c r="FI6146" s="5"/>
      <c r="FJ6146" s="164"/>
      <c r="FL6146" s="2"/>
      <c r="FN6146" s="2"/>
    </row>
    <row r="6147" spans="153:170" x14ac:dyDescent="0.35">
      <c r="EW6147" s="48"/>
      <c r="FB6147" s="5"/>
      <c r="FI6147" s="5"/>
      <c r="FJ6147" s="164"/>
      <c r="FL6147" s="2"/>
      <c r="FN6147" s="2"/>
    </row>
    <row r="6148" spans="153:170" x14ac:dyDescent="0.35">
      <c r="EW6148" s="48"/>
      <c r="FB6148" s="5"/>
      <c r="FI6148" s="5"/>
      <c r="FJ6148" s="164"/>
      <c r="FL6148" s="2"/>
      <c r="FN6148" s="2"/>
    </row>
    <row r="6149" spans="153:170" x14ac:dyDescent="0.35">
      <c r="EW6149" s="48"/>
      <c r="FB6149" s="5"/>
      <c r="FI6149" s="5"/>
      <c r="FJ6149" s="164"/>
      <c r="FL6149" s="2"/>
      <c r="FN6149" s="2"/>
    </row>
    <row r="6150" spans="153:170" x14ac:dyDescent="0.35">
      <c r="EW6150" s="48"/>
      <c r="FB6150" s="5"/>
      <c r="FI6150" s="5"/>
      <c r="FJ6150" s="164"/>
      <c r="FL6150" s="2"/>
      <c r="FN6150" s="2"/>
    </row>
    <row r="6151" spans="153:170" x14ac:dyDescent="0.35">
      <c r="EW6151" s="48"/>
      <c r="FB6151" s="5"/>
      <c r="FI6151" s="5"/>
      <c r="FJ6151" s="164"/>
      <c r="FL6151" s="2"/>
      <c r="FN6151" s="2"/>
    </row>
    <row r="6152" spans="153:170" x14ac:dyDescent="0.35">
      <c r="EW6152" s="48"/>
      <c r="FB6152" s="5"/>
      <c r="FI6152" s="5"/>
      <c r="FJ6152" s="164"/>
      <c r="FL6152" s="2"/>
      <c r="FN6152" s="2"/>
    </row>
    <row r="6153" spans="153:170" x14ac:dyDescent="0.35">
      <c r="EW6153" s="48"/>
      <c r="FB6153" s="5"/>
      <c r="FI6153" s="5"/>
      <c r="FJ6153" s="164"/>
      <c r="FL6153" s="2"/>
      <c r="FN6153" s="2"/>
    </row>
    <row r="6154" spans="153:170" x14ac:dyDescent="0.35">
      <c r="EW6154" s="48"/>
      <c r="FB6154" s="5"/>
      <c r="FI6154" s="5"/>
      <c r="FJ6154" s="164"/>
      <c r="FL6154" s="2"/>
      <c r="FN6154" s="2"/>
    </row>
    <row r="6155" spans="153:170" x14ac:dyDescent="0.35">
      <c r="EW6155" s="48"/>
      <c r="FB6155" s="5"/>
      <c r="FI6155" s="5"/>
      <c r="FJ6155" s="164"/>
      <c r="FL6155" s="2"/>
      <c r="FN6155" s="2"/>
    </row>
    <row r="6156" spans="153:170" x14ac:dyDescent="0.35">
      <c r="EW6156" s="48"/>
      <c r="FB6156" s="5"/>
      <c r="FI6156" s="5"/>
      <c r="FJ6156" s="164"/>
      <c r="FL6156" s="2"/>
      <c r="FN6156" s="2"/>
    </row>
    <row r="6157" spans="153:170" x14ac:dyDescent="0.35">
      <c r="EW6157" s="48"/>
      <c r="FB6157" s="5"/>
      <c r="FI6157" s="5"/>
      <c r="FJ6157" s="164"/>
      <c r="FL6157" s="2"/>
      <c r="FN6157" s="2"/>
    </row>
    <row r="6158" spans="153:170" x14ac:dyDescent="0.35">
      <c r="EW6158" s="48"/>
      <c r="FB6158" s="5"/>
      <c r="FI6158" s="5"/>
      <c r="FJ6158" s="164"/>
      <c r="FL6158" s="2"/>
      <c r="FN6158" s="2"/>
    </row>
    <row r="6159" spans="153:170" x14ac:dyDescent="0.35">
      <c r="EW6159" s="48"/>
      <c r="FB6159" s="5"/>
      <c r="FI6159" s="5"/>
      <c r="FJ6159" s="164"/>
      <c r="FL6159" s="2"/>
      <c r="FN6159" s="2"/>
    </row>
    <row r="6160" spans="153:170" x14ac:dyDescent="0.35">
      <c r="EW6160" s="48"/>
      <c r="FB6160" s="5"/>
      <c r="FI6160" s="5"/>
      <c r="FJ6160" s="164"/>
      <c r="FL6160" s="2"/>
      <c r="FN6160" s="2"/>
    </row>
    <row r="6161" spans="153:170" x14ac:dyDescent="0.35">
      <c r="EW6161" s="48"/>
      <c r="FB6161" s="5"/>
      <c r="FI6161" s="5"/>
      <c r="FJ6161" s="164"/>
      <c r="FL6161" s="2"/>
      <c r="FN6161" s="2"/>
    </row>
    <row r="6162" spans="153:170" x14ac:dyDescent="0.35">
      <c r="EW6162" s="48"/>
      <c r="FB6162" s="5"/>
      <c r="FI6162" s="5"/>
      <c r="FJ6162" s="164"/>
      <c r="FL6162" s="2"/>
      <c r="FN6162" s="2"/>
    </row>
    <row r="6163" spans="153:170" x14ac:dyDescent="0.35">
      <c r="EW6163" s="48"/>
      <c r="FB6163" s="5"/>
      <c r="FI6163" s="5"/>
      <c r="FJ6163" s="164"/>
      <c r="FL6163" s="2"/>
      <c r="FN6163" s="2"/>
    </row>
    <row r="6164" spans="153:170" x14ac:dyDescent="0.35">
      <c r="EW6164" s="48"/>
      <c r="FB6164" s="5"/>
      <c r="FI6164" s="5"/>
      <c r="FJ6164" s="164"/>
      <c r="FL6164" s="2"/>
      <c r="FN6164" s="2"/>
    </row>
    <row r="6165" spans="153:170" x14ac:dyDescent="0.35">
      <c r="EW6165" s="48"/>
      <c r="FB6165" s="5"/>
      <c r="FI6165" s="5"/>
      <c r="FJ6165" s="164"/>
      <c r="FL6165" s="2"/>
      <c r="FN6165" s="2"/>
    </row>
    <row r="6166" spans="153:170" x14ac:dyDescent="0.35">
      <c r="EW6166" s="48"/>
      <c r="FB6166" s="5"/>
      <c r="FI6166" s="5"/>
      <c r="FJ6166" s="164"/>
      <c r="FL6166" s="2"/>
      <c r="FN6166" s="2"/>
    </row>
    <row r="6167" spans="153:170" x14ac:dyDescent="0.35">
      <c r="EW6167" s="48"/>
      <c r="FB6167" s="5"/>
      <c r="FI6167" s="5"/>
      <c r="FJ6167" s="164"/>
      <c r="FL6167" s="2"/>
      <c r="FN6167" s="2"/>
    </row>
    <row r="6168" spans="153:170" x14ac:dyDescent="0.35">
      <c r="EW6168" s="48"/>
      <c r="FB6168" s="5"/>
      <c r="FI6168" s="5"/>
      <c r="FJ6168" s="164"/>
      <c r="FL6168" s="2"/>
      <c r="FN6168" s="2"/>
    </row>
    <row r="6169" spans="153:170" x14ac:dyDescent="0.35">
      <c r="EW6169" s="48"/>
      <c r="FB6169" s="5"/>
      <c r="FI6169" s="5"/>
      <c r="FJ6169" s="164"/>
      <c r="FL6169" s="2"/>
      <c r="FN6169" s="2"/>
    </row>
    <row r="6170" spans="153:170" x14ac:dyDescent="0.35">
      <c r="EW6170" s="48"/>
      <c r="FB6170" s="5"/>
      <c r="FI6170" s="5"/>
      <c r="FJ6170" s="164"/>
      <c r="FL6170" s="2"/>
      <c r="FN6170" s="2"/>
    </row>
    <row r="6171" spans="153:170" x14ac:dyDescent="0.35">
      <c r="EW6171" s="48"/>
      <c r="FB6171" s="5"/>
      <c r="FI6171" s="5"/>
      <c r="FJ6171" s="164"/>
      <c r="FL6171" s="2"/>
      <c r="FN6171" s="2"/>
    </row>
    <row r="6172" spans="153:170" x14ac:dyDescent="0.35">
      <c r="EW6172" s="48"/>
      <c r="FB6172" s="5"/>
      <c r="FI6172" s="5"/>
      <c r="FJ6172" s="164"/>
      <c r="FL6172" s="2"/>
      <c r="FN6172" s="2"/>
    </row>
    <row r="6173" spans="153:170" x14ac:dyDescent="0.35">
      <c r="EW6173" s="48"/>
      <c r="FB6173" s="5"/>
      <c r="FI6173" s="5"/>
      <c r="FJ6173" s="164"/>
      <c r="FL6173" s="2"/>
      <c r="FN6173" s="2"/>
    </row>
    <row r="6174" spans="153:170" x14ac:dyDescent="0.35">
      <c r="EW6174" s="48"/>
      <c r="FB6174" s="5"/>
      <c r="FI6174" s="5"/>
      <c r="FJ6174" s="164"/>
      <c r="FL6174" s="2"/>
      <c r="FN6174" s="2"/>
    </row>
    <row r="6175" spans="153:170" x14ac:dyDescent="0.35">
      <c r="EW6175" s="48"/>
      <c r="FB6175" s="5"/>
      <c r="FI6175" s="5"/>
      <c r="FJ6175" s="164"/>
      <c r="FL6175" s="2"/>
      <c r="FN6175" s="2"/>
    </row>
    <row r="6176" spans="153:170" x14ac:dyDescent="0.35">
      <c r="EW6176" s="48"/>
      <c r="FB6176" s="5"/>
      <c r="FI6176" s="5"/>
      <c r="FJ6176" s="164"/>
      <c r="FL6176" s="2"/>
      <c r="FN6176" s="2"/>
    </row>
    <row r="6177" spans="153:170" x14ac:dyDescent="0.35">
      <c r="EW6177" s="48"/>
      <c r="FB6177" s="5"/>
      <c r="FI6177" s="5"/>
      <c r="FJ6177" s="164"/>
      <c r="FL6177" s="2"/>
      <c r="FN6177" s="2"/>
    </row>
    <row r="6178" spans="153:170" x14ac:dyDescent="0.35">
      <c r="EW6178" s="48"/>
      <c r="FB6178" s="5"/>
      <c r="FI6178" s="5"/>
      <c r="FJ6178" s="164"/>
      <c r="FL6178" s="2"/>
      <c r="FN6178" s="2"/>
    </row>
    <row r="6179" spans="153:170" x14ac:dyDescent="0.35">
      <c r="EW6179" s="48"/>
      <c r="FB6179" s="5"/>
      <c r="FI6179" s="5"/>
      <c r="FJ6179" s="164"/>
      <c r="FL6179" s="2"/>
      <c r="FN6179" s="2"/>
    </row>
    <row r="6180" spans="153:170" x14ac:dyDescent="0.35">
      <c r="EW6180" s="48"/>
      <c r="FB6180" s="5"/>
      <c r="FI6180" s="5"/>
      <c r="FJ6180" s="164"/>
      <c r="FL6180" s="2"/>
      <c r="FN6180" s="2"/>
    </row>
    <row r="6181" spans="153:170" x14ac:dyDescent="0.35">
      <c r="EW6181" s="48"/>
      <c r="FB6181" s="5"/>
      <c r="FI6181" s="5"/>
      <c r="FJ6181" s="164"/>
      <c r="FL6181" s="2"/>
      <c r="FN6181" s="2"/>
    </row>
    <row r="6182" spans="153:170" x14ac:dyDescent="0.35">
      <c r="EW6182" s="48"/>
      <c r="FB6182" s="5"/>
      <c r="FI6182" s="5"/>
      <c r="FJ6182" s="164"/>
      <c r="FL6182" s="2"/>
      <c r="FN6182" s="2"/>
    </row>
    <row r="6183" spans="153:170" x14ac:dyDescent="0.35">
      <c r="EW6183" s="48"/>
      <c r="FB6183" s="5"/>
      <c r="FI6183" s="5"/>
      <c r="FJ6183" s="164"/>
      <c r="FL6183" s="2"/>
      <c r="FN6183" s="2"/>
    </row>
    <row r="6184" spans="153:170" x14ac:dyDescent="0.35">
      <c r="EW6184" s="48"/>
      <c r="FB6184" s="5"/>
      <c r="FI6184" s="5"/>
      <c r="FJ6184" s="164"/>
      <c r="FL6184" s="2"/>
      <c r="FN6184" s="2"/>
    </row>
    <row r="6185" spans="153:170" x14ac:dyDescent="0.35">
      <c r="EW6185" s="48"/>
      <c r="FB6185" s="5"/>
      <c r="FI6185" s="5"/>
      <c r="FJ6185" s="164"/>
      <c r="FL6185" s="2"/>
      <c r="FN6185" s="2"/>
    </row>
    <row r="6186" spans="153:170" x14ac:dyDescent="0.35">
      <c r="EW6186" s="48"/>
      <c r="FB6186" s="5"/>
      <c r="FI6186" s="5"/>
      <c r="FJ6186" s="164"/>
      <c r="FL6186" s="2"/>
      <c r="FN6186" s="2"/>
    </row>
    <row r="6187" spans="153:170" x14ac:dyDescent="0.35">
      <c r="EW6187" s="48"/>
      <c r="FB6187" s="5"/>
      <c r="FI6187" s="5"/>
      <c r="FJ6187" s="164"/>
      <c r="FL6187" s="2"/>
      <c r="FN6187" s="2"/>
    </row>
    <row r="6188" spans="153:170" x14ac:dyDescent="0.35">
      <c r="EW6188" s="48"/>
      <c r="FB6188" s="5"/>
      <c r="FI6188" s="5"/>
      <c r="FJ6188" s="164"/>
      <c r="FL6188" s="2"/>
      <c r="FN6188" s="2"/>
    </row>
    <row r="6189" spans="153:170" x14ac:dyDescent="0.35">
      <c r="EW6189" s="48"/>
      <c r="FB6189" s="5"/>
      <c r="FI6189" s="5"/>
      <c r="FJ6189" s="164"/>
      <c r="FL6189" s="2"/>
      <c r="FN6189" s="2"/>
    </row>
    <row r="6190" spans="153:170" x14ac:dyDescent="0.35">
      <c r="EW6190" s="48"/>
      <c r="FB6190" s="5"/>
      <c r="FI6190" s="5"/>
      <c r="FJ6190" s="164"/>
      <c r="FL6190" s="2"/>
      <c r="FN6190" s="2"/>
    </row>
    <row r="6191" spans="153:170" x14ac:dyDescent="0.35">
      <c r="EW6191" s="48"/>
      <c r="FB6191" s="5"/>
      <c r="FI6191" s="5"/>
      <c r="FJ6191" s="164"/>
      <c r="FL6191" s="2"/>
      <c r="FN6191" s="2"/>
    </row>
    <row r="6192" spans="153:170" x14ac:dyDescent="0.35">
      <c r="EW6192" s="48"/>
      <c r="FB6192" s="5"/>
      <c r="FI6192" s="5"/>
      <c r="FJ6192" s="164"/>
      <c r="FL6192" s="2"/>
      <c r="FN6192" s="2"/>
    </row>
    <row r="6193" spans="153:170" x14ac:dyDescent="0.35">
      <c r="EW6193" s="48"/>
      <c r="FB6193" s="5"/>
      <c r="FI6193" s="5"/>
      <c r="FJ6193" s="164"/>
      <c r="FL6193" s="2"/>
      <c r="FN6193" s="2"/>
    </row>
    <row r="6194" spans="153:170" x14ac:dyDescent="0.35">
      <c r="EW6194" s="48"/>
      <c r="FB6194" s="5"/>
      <c r="FI6194" s="5"/>
      <c r="FJ6194" s="164"/>
      <c r="FL6194" s="2"/>
      <c r="FN6194" s="2"/>
    </row>
    <row r="6195" spans="153:170" x14ac:dyDescent="0.35">
      <c r="EW6195" s="48"/>
      <c r="FB6195" s="5"/>
      <c r="FI6195" s="5"/>
      <c r="FJ6195" s="164"/>
      <c r="FL6195" s="2"/>
      <c r="FN6195" s="2"/>
    </row>
    <row r="6196" spans="153:170" x14ac:dyDescent="0.35">
      <c r="EW6196" s="48"/>
      <c r="FB6196" s="5"/>
      <c r="FI6196" s="5"/>
      <c r="FJ6196" s="164"/>
      <c r="FL6196" s="2"/>
      <c r="FN6196" s="2"/>
    </row>
    <row r="6197" spans="153:170" x14ac:dyDescent="0.35">
      <c r="EW6197" s="48"/>
      <c r="FB6197" s="5"/>
      <c r="FI6197" s="5"/>
      <c r="FJ6197" s="164"/>
      <c r="FL6197" s="2"/>
      <c r="FN6197" s="2"/>
    </row>
    <row r="6198" spans="153:170" x14ac:dyDescent="0.35">
      <c r="EW6198" s="48"/>
      <c r="FB6198" s="5"/>
      <c r="FI6198" s="5"/>
      <c r="FJ6198" s="164"/>
      <c r="FL6198" s="2"/>
      <c r="FN6198" s="2"/>
    </row>
    <row r="6199" spans="153:170" x14ac:dyDescent="0.35">
      <c r="EW6199" s="48"/>
      <c r="FB6199" s="5"/>
      <c r="FI6199" s="5"/>
      <c r="FJ6199" s="164"/>
      <c r="FL6199" s="2"/>
      <c r="FN6199" s="2"/>
    </row>
    <row r="6200" spans="153:170" x14ac:dyDescent="0.35">
      <c r="EW6200" s="48"/>
      <c r="FB6200" s="5"/>
      <c r="FI6200" s="5"/>
      <c r="FJ6200" s="164"/>
      <c r="FL6200" s="2"/>
      <c r="FN6200" s="2"/>
    </row>
    <row r="6201" spans="153:170" x14ac:dyDescent="0.35">
      <c r="EW6201" s="48"/>
      <c r="FB6201" s="5"/>
      <c r="FI6201" s="5"/>
      <c r="FJ6201" s="164"/>
      <c r="FL6201" s="2"/>
      <c r="FN6201" s="2"/>
    </row>
    <row r="6202" spans="153:170" x14ac:dyDescent="0.35">
      <c r="EW6202" s="48"/>
      <c r="FB6202" s="5"/>
      <c r="FI6202" s="5"/>
      <c r="FJ6202" s="164"/>
      <c r="FL6202" s="2"/>
      <c r="FN6202" s="2"/>
    </row>
    <row r="6203" spans="153:170" x14ac:dyDescent="0.35">
      <c r="EW6203" s="48"/>
      <c r="FB6203" s="5"/>
      <c r="FI6203" s="5"/>
      <c r="FJ6203" s="164"/>
      <c r="FL6203" s="2"/>
      <c r="FN6203" s="2"/>
    </row>
    <row r="6204" spans="153:170" x14ac:dyDescent="0.35">
      <c r="EW6204" s="48"/>
      <c r="FB6204" s="5"/>
      <c r="FI6204" s="5"/>
      <c r="FJ6204" s="164"/>
      <c r="FL6204" s="2"/>
      <c r="FN6204" s="2"/>
    </row>
    <row r="6205" spans="153:170" x14ac:dyDescent="0.35">
      <c r="EW6205" s="48"/>
      <c r="FB6205" s="5"/>
      <c r="FI6205" s="5"/>
      <c r="FJ6205" s="164"/>
      <c r="FL6205" s="2"/>
      <c r="FN6205" s="2"/>
    </row>
    <row r="6206" spans="153:170" x14ac:dyDescent="0.35">
      <c r="EW6206" s="48"/>
      <c r="FB6206" s="5"/>
      <c r="FI6206" s="5"/>
      <c r="FJ6206" s="164"/>
      <c r="FL6206" s="2"/>
      <c r="FN6206" s="2"/>
    </row>
    <row r="6207" spans="153:170" x14ac:dyDescent="0.35">
      <c r="EW6207" s="48"/>
      <c r="FB6207" s="5"/>
      <c r="FI6207" s="5"/>
      <c r="FJ6207" s="164"/>
      <c r="FL6207" s="2"/>
      <c r="FN6207" s="2"/>
    </row>
    <row r="6208" spans="153:170" x14ac:dyDescent="0.35">
      <c r="EW6208" s="48"/>
      <c r="FB6208" s="5"/>
      <c r="FI6208" s="5"/>
      <c r="FJ6208" s="164"/>
      <c r="FL6208" s="2"/>
      <c r="FN6208" s="2"/>
    </row>
    <row r="6209" spans="153:170" x14ac:dyDescent="0.35">
      <c r="EW6209" s="48"/>
      <c r="FB6209" s="5"/>
      <c r="FI6209" s="5"/>
      <c r="FJ6209" s="164"/>
      <c r="FL6209" s="2"/>
      <c r="FN6209" s="2"/>
    </row>
    <row r="6210" spans="153:170" x14ac:dyDescent="0.35">
      <c r="EW6210" s="48"/>
      <c r="FB6210" s="5"/>
      <c r="FI6210" s="5"/>
      <c r="FJ6210" s="164"/>
      <c r="FL6210" s="2"/>
      <c r="FN6210" s="2"/>
    </row>
    <row r="6211" spans="153:170" x14ac:dyDescent="0.35">
      <c r="EW6211" s="48"/>
      <c r="FB6211" s="5"/>
      <c r="FI6211" s="5"/>
      <c r="FJ6211" s="164"/>
      <c r="FL6211" s="2"/>
      <c r="FN6211" s="2"/>
    </row>
    <row r="6212" spans="153:170" x14ac:dyDescent="0.35">
      <c r="EW6212" s="48"/>
      <c r="FB6212" s="5"/>
      <c r="FI6212" s="5"/>
      <c r="FJ6212" s="164"/>
      <c r="FL6212" s="2"/>
      <c r="FN6212" s="2"/>
    </row>
    <row r="6213" spans="153:170" x14ac:dyDescent="0.35">
      <c r="EW6213" s="48"/>
      <c r="FB6213" s="5"/>
      <c r="FI6213" s="5"/>
      <c r="FJ6213" s="164"/>
      <c r="FL6213" s="2"/>
      <c r="FN6213" s="2"/>
    </row>
    <row r="6214" spans="153:170" x14ac:dyDescent="0.35">
      <c r="EW6214" s="48"/>
      <c r="FB6214" s="5"/>
      <c r="FI6214" s="5"/>
      <c r="FJ6214" s="164"/>
      <c r="FL6214" s="2"/>
      <c r="FN6214" s="2"/>
    </row>
    <row r="6215" spans="153:170" x14ac:dyDescent="0.35">
      <c r="EW6215" s="48"/>
      <c r="FB6215" s="5"/>
      <c r="FI6215" s="5"/>
      <c r="FJ6215" s="164"/>
      <c r="FL6215" s="2"/>
      <c r="FN6215" s="2"/>
    </row>
    <row r="6216" spans="153:170" x14ac:dyDescent="0.35">
      <c r="EW6216" s="48"/>
      <c r="FB6216" s="5"/>
      <c r="FI6216" s="5"/>
      <c r="FJ6216" s="164"/>
      <c r="FL6216" s="2"/>
      <c r="FN6216" s="2"/>
    </row>
    <row r="6217" spans="153:170" x14ac:dyDescent="0.35">
      <c r="EW6217" s="48"/>
      <c r="FB6217" s="5"/>
      <c r="FI6217" s="5"/>
      <c r="FJ6217" s="164"/>
      <c r="FL6217" s="2"/>
      <c r="FN6217" s="2"/>
    </row>
    <row r="6218" spans="153:170" x14ac:dyDescent="0.35">
      <c r="EW6218" s="48"/>
      <c r="FB6218" s="5"/>
      <c r="FI6218" s="5"/>
      <c r="FJ6218" s="164"/>
      <c r="FL6218" s="2"/>
      <c r="FN6218" s="2"/>
    </row>
    <row r="6219" spans="153:170" x14ac:dyDescent="0.35">
      <c r="EW6219" s="48"/>
      <c r="FB6219" s="5"/>
      <c r="FI6219" s="5"/>
      <c r="FJ6219" s="164"/>
      <c r="FL6219" s="2"/>
      <c r="FN6219" s="2"/>
    </row>
    <row r="6220" spans="153:170" x14ac:dyDescent="0.35">
      <c r="EW6220" s="48"/>
      <c r="FB6220" s="5"/>
      <c r="FI6220" s="5"/>
      <c r="FJ6220" s="164"/>
      <c r="FL6220" s="2"/>
      <c r="FN6220" s="2"/>
    </row>
    <row r="6221" spans="153:170" x14ac:dyDescent="0.35">
      <c r="EW6221" s="48"/>
      <c r="FB6221" s="5"/>
      <c r="FI6221" s="5"/>
      <c r="FJ6221" s="164"/>
      <c r="FL6221" s="2"/>
      <c r="FN6221" s="2"/>
    </row>
    <row r="6222" spans="153:170" x14ac:dyDescent="0.35">
      <c r="EW6222" s="48"/>
      <c r="FB6222" s="5"/>
      <c r="FI6222" s="5"/>
      <c r="FJ6222" s="164"/>
      <c r="FL6222" s="2"/>
      <c r="FN6222" s="2"/>
    </row>
    <row r="6223" spans="153:170" x14ac:dyDescent="0.35">
      <c r="EW6223" s="48"/>
      <c r="FB6223" s="5"/>
      <c r="FI6223" s="5"/>
      <c r="FJ6223" s="164"/>
      <c r="FL6223" s="2"/>
      <c r="FN6223" s="2"/>
    </row>
    <row r="6224" spans="153:170" x14ac:dyDescent="0.35">
      <c r="EW6224" s="48"/>
      <c r="FB6224" s="5"/>
      <c r="FI6224" s="5"/>
      <c r="FJ6224" s="164"/>
      <c r="FL6224" s="2"/>
      <c r="FN6224" s="2"/>
    </row>
    <row r="6225" spans="153:170" x14ac:dyDescent="0.35">
      <c r="EW6225" s="48"/>
      <c r="FB6225" s="5"/>
      <c r="FI6225" s="5"/>
      <c r="FJ6225" s="164"/>
      <c r="FL6225" s="2"/>
      <c r="FN6225" s="2"/>
    </row>
    <row r="6226" spans="153:170" x14ac:dyDescent="0.35">
      <c r="EW6226" s="48"/>
      <c r="FB6226" s="5"/>
      <c r="FI6226" s="5"/>
      <c r="FJ6226" s="164"/>
      <c r="FL6226" s="2"/>
      <c r="FN6226" s="2"/>
    </row>
    <row r="6227" spans="153:170" x14ac:dyDescent="0.35">
      <c r="EW6227" s="48"/>
      <c r="FB6227" s="5"/>
      <c r="FI6227" s="5"/>
      <c r="FJ6227" s="164"/>
      <c r="FL6227" s="2"/>
      <c r="FN6227" s="2"/>
    </row>
    <row r="6228" spans="153:170" x14ac:dyDescent="0.35">
      <c r="EW6228" s="48"/>
      <c r="FB6228" s="5"/>
      <c r="FI6228" s="5"/>
      <c r="FJ6228" s="164"/>
      <c r="FL6228" s="2"/>
      <c r="FN6228" s="2"/>
    </row>
    <row r="6229" spans="153:170" x14ac:dyDescent="0.35">
      <c r="EW6229" s="48"/>
      <c r="FB6229" s="5"/>
      <c r="FI6229" s="5"/>
      <c r="FJ6229" s="164"/>
      <c r="FL6229" s="2"/>
      <c r="FN6229" s="2"/>
    </row>
    <row r="6230" spans="153:170" x14ac:dyDescent="0.35">
      <c r="EW6230" s="48"/>
      <c r="FB6230" s="5"/>
      <c r="FI6230" s="5"/>
      <c r="FJ6230" s="164"/>
      <c r="FL6230" s="2"/>
      <c r="FN6230" s="2"/>
    </row>
    <row r="6231" spans="153:170" x14ac:dyDescent="0.35">
      <c r="EW6231" s="48"/>
      <c r="FB6231" s="5"/>
      <c r="FI6231" s="5"/>
      <c r="FJ6231" s="164"/>
      <c r="FL6231" s="2"/>
      <c r="FN6231" s="2"/>
    </row>
    <row r="6232" spans="153:170" x14ac:dyDescent="0.35">
      <c r="EW6232" s="48"/>
      <c r="FB6232" s="5"/>
      <c r="FI6232" s="5"/>
      <c r="FJ6232" s="164"/>
      <c r="FL6232" s="2"/>
      <c r="FN6232" s="2"/>
    </row>
    <row r="6233" spans="153:170" x14ac:dyDescent="0.35">
      <c r="EW6233" s="48"/>
      <c r="FB6233" s="5"/>
      <c r="FI6233" s="5"/>
      <c r="FJ6233" s="164"/>
      <c r="FL6233" s="2"/>
      <c r="FN6233" s="2"/>
    </row>
    <row r="6234" spans="153:170" x14ac:dyDescent="0.35">
      <c r="EW6234" s="48"/>
      <c r="FB6234" s="5"/>
      <c r="FI6234" s="5"/>
      <c r="FJ6234" s="164"/>
      <c r="FL6234" s="2"/>
      <c r="FN6234" s="2"/>
    </row>
    <row r="6235" spans="153:170" x14ac:dyDescent="0.35">
      <c r="EW6235" s="48"/>
      <c r="FB6235" s="5"/>
      <c r="FI6235" s="5"/>
      <c r="FJ6235" s="164"/>
      <c r="FL6235" s="2"/>
      <c r="FN6235" s="2"/>
    </row>
    <row r="6236" spans="153:170" x14ac:dyDescent="0.35">
      <c r="EW6236" s="48"/>
      <c r="FB6236" s="5"/>
      <c r="FI6236" s="5"/>
      <c r="FJ6236" s="164"/>
      <c r="FL6236" s="2"/>
      <c r="FN6236" s="2"/>
    </row>
    <row r="6237" spans="153:170" x14ac:dyDescent="0.35">
      <c r="EW6237" s="48"/>
      <c r="FB6237" s="5"/>
      <c r="FI6237" s="5"/>
      <c r="FJ6237" s="164"/>
      <c r="FL6237" s="2"/>
      <c r="FN6237" s="2"/>
    </row>
    <row r="6238" spans="153:170" x14ac:dyDescent="0.35">
      <c r="EW6238" s="48"/>
      <c r="FB6238" s="5"/>
      <c r="FI6238" s="5"/>
      <c r="FJ6238" s="164"/>
      <c r="FL6238" s="2"/>
      <c r="FN6238" s="2"/>
    </row>
    <row r="6239" spans="153:170" x14ac:dyDescent="0.35">
      <c r="EW6239" s="48"/>
      <c r="FB6239" s="5"/>
      <c r="FI6239" s="5"/>
      <c r="FJ6239" s="164"/>
      <c r="FL6239" s="2"/>
      <c r="FN6239" s="2"/>
    </row>
    <row r="6240" spans="153:170" x14ac:dyDescent="0.35">
      <c r="EW6240" s="48"/>
      <c r="FB6240" s="5"/>
      <c r="FI6240" s="5"/>
      <c r="FJ6240" s="164"/>
      <c r="FL6240" s="2"/>
      <c r="FN6240" s="2"/>
    </row>
    <row r="6241" spans="153:170" x14ac:dyDescent="0.35">
      <c r="EW6241" s="48"/>
      <c r="FB6241" s="5"/>
      <c r="FI6241" s="5"/>
      <c r="FJ6241" s="164"/>
      <c r="FL6241" s="2"/>
      <c r="FN6241" s="2"/>
    </row>
    <row r="6242" spans="153:170" x14ac:dyDescent="0.35">
      <c r="EW6242" s="48"/>
      <c r="FB6242" s="5"/>
      <c r="FI6242" s="5"/>
      <c r="FJ6242" s="164"/>
      <c r="FL6242" s="2"/>
      <c r="FN6242" s="2"/>
    </row>
    <row r="6243" spans="153:170" x14ac:dyDescent="0.35">
      <c r="EW6243" s="48"/>
      <c r="FB6243" s="5"/>
      <c r="FI6243" s="5"/>
      <c r="FJ6243" s="164"/>
      <c r="FL6243" s="2"/>
      <c r="FN6243" s="2"/>
    </row>
    <row r="6244" spans="153:170" x14ac:dyDescent="0.35">
      <c r="EW6244" s="48"/>
      <c r="FB6244" s="5"/>
      <c r="FI6244" s="5"/>
      <c r="FJ6244" s="164"/>
      <c r="FL6244" s="2"/>
      <c r="FN6244" s="2"/>
    </row>
    <row r="6245" spans="153:170" x14ac:dyDescent="0.35">
      <c r="EW6245" s="48"/>
      <c r="FB6245" s="5"/>
      <c r="FI6245" s="5"/>
      <c r="FJ6245" s="164"/>
      <c r="FL6245" s="2"/>
      <c r="FN6245" s="2"/>
    </row>
    <row r="6246" spans="153:170" x14ac:dyDescent="0.35">
      <c r="EW6246" s="48"/>
      <c r="FB6246" s="5"/>
      <c r="FI6246" s="5"/>
      <c r="FJ6246" s="164"/>
      <c r="FL6246" s="2"/>
      <c r="FN6246" s="2"/>
    </row>
    <row r="6247" spans="153:170" x14ac:dyDescent="0.35">
      <c r="EW6247" s="48"/>
      <c r="FB6247" s="5"/>
      <c r="FI6247" s="5"/>
      <c r="FJ6247" s="164"/>
      <c r="FL6247" s="2"/>
      <c r="FN6247" s="2"/>
    </row>
    <row r="6248" spans="153:170" x14ac:dyDescent="0.35">
      <c r="EW6248" s="48"/>
      <c r="FB6248" s="5"/>
      <c r="FI6248" s="5"/>
      <c r="FJ6248" s="164"/>
      <c r="FL6248" s="2"/>
      <c r="FN6248" s="2"/>
    </row>
    <row r="6249" spans="153:170" x14ac:dyDescent="0.35">
      <c r="EW6249" s="48"/>
      <c r="FB6249" s="5"/>
      <c r="FI6249" s="5"/>
      <c r="FJ6249" s="164"/>
      <c r="FL6249" s="2"/>
      <c r="FN6249" s="2"/>
    </row>
    <row r="6250" spans="153:170" x14ac:dyDescent="0.35">
      <c r="EW6250" s="48"/>
      <c r="FB6250" s="5"/>
      <c r="FI6250" s="5"/>
      <c r="FJ6250" s="164"/>
      <c r="FL6250" s="2"/>
      <c r="FN6250" s="2"/>
    </row>
    <row r="6251" spans="153:170" x14ac:dyDescent="0.35">
      <c r="EW6251" s="48"/>
      <c r="FB6251" s="5"/>
      <c r="FI6251" s="5"/>
      <c r="FJ6251" s="164"/>
      <c r="FL6251" s="2"/>
      <c r="FN6251" s="2"/>
    </row>
    <row r="6252" spans="153:170" x14ac:dyDescent="0.35">
      <c r="EW6252" s="48"/>
      <c r="FB6252" s="5"/>
      <c r="FI6252" s="5"/>
      <c r="FJ6252" s="164"/>
      <c r="FL6252" s="2"/>
      <c r="FN6252" s="2"/>
    </row>
    <row r="6253" spans="153:170" x14ac:dyDescent="0.35">
      <c r="EW6253" s="48"/>
      <c r="FB6253" s="5"/>
      <c r="FI6253" s="5"/>
      <c r="FJ6253" s="164"/>
      <c r="FL6253" s="2"/>
      <c r="FN6253" s="2"/>
    </row>
    <row r="6254" spans="153:170" x14ac:dyDescent="0.35">
      <c r="EW6254" s="48"/>
      <c r="FB6254" s="5"/>
      <c r="FI6254" s="5"/>
      <c r="FJ6254" s="164"/>
      <c r="FL6254" s="2"/>
      <c r="FN6254" s="2"/>
    </row>
    <row r="6255" spans="153:170" x14ac:dyDescent="0.35">
      <c r="EW6255" s="48"/>
      <c r="FB6255" s="5"/>
      <c r="FI6255" s="5"/>
      <c r="FJ6255" s="164"/>
      <c r="FL6255" s="2"/>
      <c r="FN6255" s="2"/>
    </row>
    <row r="6256" spans="153:170" x14ac:dyDescent="0.35">
      <c r="EW6256" s="48"/>
      <c r="FB6256" s="5"/>
      <c r="FI6256" s="5"/>
      <c r="FJ6256" s="164"/>
      <c r="FL6256" s="2"/>
      <c r="FN6256" s="2"/>
    </row>
    <row r="6257" spans="153:170" x14ac:dyDescent="0.35">
      <c r="EW6257" s="48"/>
      <c r="FB6257" s="5"/>
      <c r="FI6257" s="5"/>
      <c r="FJ6257" s="164"/>
      <c r="FL6257" s="2"/>
      <c r="FN6257" s="2"/>
    </row>
    <row r="6258" spans="153:170" x14ac:dyDescent="0.35">
      <c r="EW6258" s="48"/>
      <c r="FB6258" s="5"/>
      <c r="FI6258" s="5"/>
      <c r="FJ6258" s="164"/>
      <c r="FL6258" s="2"/>
      <c r="FN6258" s="2"/>
    </row>
    <row r="6259" spans="153:170" x14ac:dyDescent="0.35">
      <c r="EW6259" s="48"/>
      <c r="FB6259" s="5"/>
      <c r="FI6259" s="5"/>
      <c r="FJ6259" s="164"/>
      <c r="FL6259" s="2"/>
      <c r="FN6259" s="2"/>
    </row>
    <row r="6260" spans="153:170" x14ac:dyDescent="0.35">
      <c r="EW6260" s="48"/>
      <c r="FB6260" s="5"/>
      <c r="FI6260" s="5"/>
      <c r="FJ6260" s="164"/>
      <c r="FL6260" s="2"/>
      <c r="FN6260" s="2"/>
    </row>
    <row r="6261" spans="153:170" x14ac:dyDescent="0.35">
      <c r="EW6261" s="48"/>
      <c r="FB6261" s="5"/>
      <c r="FI6261" s="5"/>
      <c r="FJ6261" s="164"/>
      <c r="FL6261" s="2"/>
      <c r="FN6261" s="2"/>
    </row>
    <row r="6262" spans="153:170" x14ac:dyDescent="0.35">
      <c r="EW6262" s="48"/>
      <c r="FB6262" s="5"/>
      <c r="FI6262" s="5"/>
      <c r="FJ6262" s="164"/>
      <c r="FL6262" s="2"/>
      <c r="FN6262" s="2"/>
    </row>
    <row r="6263" spans="153:170" x14ac:dyDescent="0.35">
      <c r="EW6263" s="48"/>
      <c r="FB6263" s="5"/>
      <c r="FI6263" s="5"/>
      <c r="FJ6263" s="164"/>
      <c r="FL6263" s="2"/>
      <c r="FN6263" s="2"/>
    </row>
    <row r="6264" spans="153:170" x14ac:dyDescent="0.35">
      <c r="EW6264" s="48"/>
      <c r="FB6264" s="5"/>
      <c r="FI6264" s="5"/>
      <c r="FJ6264" s="164"/>
      <c r="FL6264" s="2"/>
      <c r="FN6264" s="2"/>
    </row>
    <row r="6265" spans="153:170" x14ac:dyDescent="0.35">
      <c r="EW6265" s="48"/>
      <c r="FB6265" s="5"/>
      <c r="FI6265" s="5"/>
      <c r="FJ6265" s="164"/>
      <c r="FL6265" s="2"/>
      <c r="FN6265" s="2"/>
    </row>
    <row r="6266" spans="153:170" x14ac:dyDescent="0.35">
      <c r="EW6266" s="48"/>
      <c r="FB6266" s="5"/>
      <c r="FI6266" s="5"/>
      <c r="FJ6266" s="164"/>
      <c r="FL6266" s="2"/>
      <c r="FN6266" s="2"/>
    </row>
    <row r="6267" spans="153:170" x14ac:dyDescent="0.35">
      <c r="EW6267" s="48"/>
      <c r="FB6267" s="5"/>
      <c r="FI6267" s="5"/>
      <c r="FJ6267" s="164"/>
      <c r="FL6267" s="2"/>
      <c r="FN6267" s="2"/>
    </row>
    <row r="6268" spans="153:170" x14ac:dyDescent="0.35">
      <c r="EW6268" s="48"/>
      <c r="FB6268" s="5"/>
      <c r="FI6268" s="5"/>
      <c r="FJ6268" s="164"/>
      <c r="FL6268" s="2"/>
      <c r="FN6268" s="2"/>
    </row>
    <row r="6269" spans="153:170" x14ac:dyDescent="0.35">
      <c r="EW6269" s="48"/>
      <c r="FB6269" s="5"/>
      <c r="FI6269" s="5"/>
      <c r="FJ6269" s="164"/>
      <c r="FL6269" s="2"/>
      <c r="FN6269" s="2"/>
    </row>
    <row r="6270" spans="153:170" x14ac:dyDescent="0.35">
      <c r="EW6270" s="48"/>
      <c r="FB6270" s="5"/>
      <c r="FI6270" s="5"/>
      <c r="FJ6270" s="164"/>
      <c r="FL6270" s="2"/>
      <c r="FN6270" s="2"/>
    </row>
    <row r="6271" spans="153:170" x14ac:dyDescent="0.35">
      <c r="EW6271" s="48"/>
      <c r="FB6271" s="5"/>
      <c r="FI6271" s="5"/>
      <c r="FJ6271" s="164"/>
      <c r="FL6271" s="2"/>
      <c r="FN6271" s="2"/>
    </row>
    <row r="6272" spans="153:170" x14ac:dyDescent="0.35">
      <c r="EW6272" s="48"/>
      <c r="FB6272" s="5"/>
      <c r="FI6272" s="5"/>
      <c r="FJ6272" s="164"/>
      <c r="FL6272" s="2"/>
      <c r="FN6272" s="2"/>
    </row>
    <row r="6273" spans="153:170" x14ac:dyDescent="0.35">
      <c r="EW6273" s="48"/>
      <c r="FB6273" s="5"/>
      <c r="FI6273" s="5"/>
      <c r="FJ6273" s="164"/>
      <c r="FL6273" s="2"/>
      <c r="FN6273" s="2"/>
    </row>
    <row r="6274" spans="153:170" x14ac:dyDescent="0.35">
      <c r="EW6274" s="48"/>
      <c r="FB6274" s="5"/>
      <c r="FI6274" s="5"/>
      <c r="FJ6274" s="164"/>
      <c r="FL6274" s="2"/>
      <c r="FN6274" s="2"/>
    </row>
    <row r="6275" spans="153:170" x14ac:dyDescent="0.35">
      <c r="EW6275" s="48"/>
      <c r="FB6275" s="5"/>
      <c r="FI6275" s="5"/>
      <c r="FJ6275" s="164"/>
      <c r="FL6275" s="2"/>
      <c r="FN6275" s="2"/>
    </row>
    <row r="6276" spans="153:170" x14ac:dyDescent="0.35">
      <c r="EW6276" s="48"/>
      <c r="FB6276" s="5"/>
      <c r="FI6276" s="5"/>
      <c r="FJ6276" s="164"/>
      <c r="FL6276" s="2"/>
      <c r="FN6276" s="2"/>
    </row>
    <row r="6277" spans="153:170" x14ac:dyDescent="0.35">
      <c r="EW6277" s="48"/>
      <c r="FB6277" s="5"/>
      <c r="FI6277" s="5"/>
      <c r="FJ6277" s="164"/>
      <c r="FL6277" s="2"/>
      <c r="FN6277" s="2"/>
    </row>
    <row r="6278" spans="153:170" x14ac:dyDescent="0.35">
      <c r="EW6278" s="48"/>
      <c r="FB6278" s="5"/>
      <c r="FI6278" s="5"/>
      <c r="FJ6278" s="164"/>
      <c r="FL6278" s="2"/>
      <c r="FN6278" s="2"/>
    </row>
    <row r="6279" spans="153:170" x14ac:dyDescent="0.35">
      <c r="EW6279" s="48"/>
      <c r="FB6279" s="5"/>
      <c r="FI6279" s="5"/>
      <c r="FJ6279" s="164"/>
      <c r="FL6279" s="2"/>
      <c r="FN6279" s="2"/>
    </row>
    <row r="6280" spans="153:170" x14ac:dyDescent="0.35">
      <c r="EW6280" s="48"/>
      <c r="FB6280" s="5"/>
      <c r="FI6280" s="5"/>
      <c r="FJ6280" s="164"/>
      <c r="FL6280" s="2"/>
      <c r="FN6280" s="2"/>
    </row>
    <row r="6281" spans="153:170" x14ac:dyDescent="0.35">
      <c r="EW6281" s="48"/>
      <c r="FB6281" s="5"/>
      <c r="FI6281" s="5"/>
      <c r="FJ6281" s="164"/>
      <c r="FL6281" s="2"/>
      <c r="FN6281" s="2"/>
    </row>
    <row r="6282" spans="153:170" x14ac:dyDescent="0.35">
      <c r="EW6282" s="48"/>
      <c r="FB6282" s="5"/>
      <c r="FI6282" s="5"/>
      <c r="FJ6282" s="164"/>
      <c r="FL6282" s="2"/>
      <c r="FN6282" s="2"/>
    </row>
    <row r="6283" spans="153:170" x14ac:dyDescent="0.35">
      <c r="EW6283" s="48"/>
      <c r="FB6283" s="5"/>
      <c r="FI6283" s="5"/>
      <c r="FJ6283" s="164"/>
      <c r="FL6283" s="2"/>
      <c r="FN6283" s="2"/>
    </row>
    <row r="6284" spans="153:170" x14ac:dyDescent="0.35">
      <c r="EW6284" s="48"/>
      <c r="FB6284" s="5"/>
      <c r="FI6284" s="5"/>
      <c r="FJ6284" s="164"/>
      <c r="FL6284" s="2"/>
      <c r="FN6284" s="2"/>
    </row>
    <row r="6285" spans="153:170" x14ac:dyDescent="0.35">
      <c r="EW6285" s="48"/>
      <c r="FB6285" s="5"/>
      <c r="FI6285" s="5"/>
      <c r="FJ6285" s="164"/>
      <c r="FL6285" s="2"/>
      <c r="FN6285" s="2"/>
    </row>
    <row r="6286" spans="153:170" x14ac:dyDescent="0.35">
      <c r="EW6286" s="48"/>
      <c r="FB6286" s="5"/>
      <c r="FI6286" s="5"/>
      <c r="FJ6286" s="164"/>
      <c r="FL6286" s="2"/>
      <c r="FN6286" s="2"/>
    </row>
    <row r="6287" spans="153:170" x14ac:dyDescent="0.35">
      <c r="EW6287" s="48"/>
      <c r="FB6287" s="5"/>
      <c r="FI6287" s="5"/>
      <c r="FJ6287" s="164"/>
      <c r="FL6287" s="2"/>
      <c r="FN6287" s="2"/>
    </row>
    <row r="6288" spans="153:170" x14ac:dyDescent="0.35">
      <c r="EW6288" s="48"/>
      <c r="FB6288" s="5"/>
      <c r="FI6288" s="5"/>
      <c r="FJ6288" s="164"/>
      <c r="FL6288" s="2"/>
      <c r="FN6288" s="2"/>
    </row>
    <row r="6289" spans="153:170" x14ac:dyDescent="0.35">
      <c r="EW6289" s="48"/>
      <c r="FB6289" s="5"/>
      <c r="FI6289" s="5"/>
      <c r="FJ6289" s="164"/>
      <c r="FL6289" s="2"/>
      <c r="FN6289" s="2"/>
    </row>
    <row r="6290" spans="153:170" x14ac:dyDescent="0.35">
      <c r="EW6290" s="48"/>
      <c r="FB6290" s="5"/>
      <c r="FI6290" s="5"/>
      <c r="FJ6290" s="164"/>
      <c r="FL6290" s="2"/>
      <c r="FN6290" s="2"/>
    </row>
    <row r="6291" spans="153:170" x14ac:dyDescent="0.35">
      <c r="EW6291" s="48"/>
      <c r="FB6291" s="5"/>
      <c r="FI6291" s="5"/>
      <c r="FJ6291" s="164"/>
      <c r="FL6291" s="2"/>
      <c r="FN6291" s="2"/>
    </row>
    <row r="6292" spans="153:170" x14ac:dyDescent="0.35">
      <c r="EW6292" s="48"/>
      <c r="FB6292" s="5"/>
      <c r="FI6292" s="5"/>
      <c r="FJ6292" s="164"/>
      <c r="FL6292" s="2"/>
      <c r="FN6292" s="2"/>
    </row>
    <row r="6293" spans="153:170" x14ac:dyDescent="0.35">
      <c r="EW6293" s="48"/>
      <c r="FB6293" s="5"/>
      <c r="FI6293" s="5"/>
      <c r="FJ6293" s="164"/>
      <c r="FL6293" s="2"/>
      <c r="FN6293" s="2"/>
    </row>
    <row r="6294" spans="153:170" x14ac:dyDescent="0.35">
      <c r="EW6294" s="48"/>
      <c r="FB6294" s="5"/>
      <c r="FI6294" s="5"/>
      <c r="FJ6294" s="164"/>
      <c r="FL6294" s="2"/>
      <c r="FN6294" s="2"/>
    </row>
    <row r="6295" spans="153:170" x14ac:dyDescent="0.35">
      <c r="EW6295" s="48"/>
      <c r="FB6295" s="5"/>
      <c r="FI6295" s="5"/>
      <c r="FJ6295" s="164"/>
      <c r="FL6295" s="2"/>
      <c r="FN6295" s="2"/>
    </row>
    <row r="6296" spans="153:170" x14ac:dyDescent="0.35">
      <c r="EW6296" s="48"/>
      <c r="FB6296" s="5"/>
      <c r="FI6296" s="5"/>
      <c r="FJ6296" s="164"/>
      <c r="FL6296" s="2"/>
      <c r="FN6296" s="2"/>
    </row>
    <row r="6297" spans="153:170" x14ac:dyDescent="0.35">
      <c r="EW6297" s="48"/>
      <c r="FB6297" s="5"/>
      <c r="FI6297" s="5"/>
      <c r="FJ6297" s="164"/>
      <c r="FL6297" s="2"/>
      <c r="FN6297" s="2"/>
    </row>
    <row r="6298" spans="153:170" x14ac:dyDescent="0.35">
      <c r="EW6298" s="48"/>
      <c r="FB6298" s="5"/>
      <c r="FI6298" s="5"/>
      <c r="FJ6298" s="164"/>
      <c r="FL6298" s="2"/>
      <c r="FN6298" s="2"/>
    </row>
    <row r="6299" spans="153:170" x14ac:dyDescent="0.35">
      <c r="EW6299" s="48"/>
      <c r="FB6299" s="5"/>
      <c r="FI6299" s="5"/>
      <c r="FJ6299" s="164"/>
      <c r="FL6299" s="2"/>
      <c r="FN6299" s="2"/>
    </row>
    <row r="6300" spans="153:170" x14ac:dyDescent="0.35">
      <c r="EW6300" s="48"/>
      <c r="FB6300" s="5"/>
      <c r="FI6300" s="5"/>
      <c r="FJ6300" s="164"/>
      <c r="FL6300" s="2"/>
      <c r="FN6300" s="2"/>
    </row>
    <row r="6301" spans="153:170" x14ac:dyDescent="0.35">
      <c r="EW6301" s="48"/>
      <c r="FB6301" s="5"/>
      <c r="FI6301" s="5"/>
      <c r="FJ6301" s="164"/>
      <c r="FL6301" s="2"/>
      <c r="FN6301" s="2"/>
    </row>
    <row r="6302" spans="153:170" x14ac:dyDescent="0.35">
      <c r="EW6302" s="48"/>
      <c r="FB6302" s="5"/>
      <c r="FI6302" s="5"/>
      <c r="FJ6302" s="164"/>
      <c r="FL6302" s="2"/>
      <c r="FN6302" s="2"/>
    </row>
    <row r="6303" spans="153:170" x14ac:dyDescent="0.35">
      <c r="EW6303" s="48"/>
      <c r="FB6303" s="5"/>
      <c r="FI6303" s="5"/>
      <c r="FJ6303" s="164"/>
      <c r="FL6303" s="2"/>
      <c r="FN6303" s="2"/>
    </row>
    <row r="6304" spans="153:170" x14ac:dyDescent="0.35">
      <c r="EW6304" s="48"/>
      <c r="FB6304" s="5"/>
      <c r="FI6304" s="5"/>
      <c r="FJ6304" s="164"/>
      <c r="FL6304" s="2"/>
      <c r="FN6304" s="2"/>
    </row>
    <row r="6305" spans="153:170" x14ac:dyDescent="0.35">
      <c r="EW6305" s="48"/>
      <c r="FB6305" s="5"/>
      <c r="FI6305" s="5"/>
      <c r="FJ6305" s="164"/>
      <c r="FL6305" s="2"/>
      <c r="FN6305" s="2"/>
    </row>
    <row r="6306" spans="153:170" x14ac:dyDescent="0.35">
      <c r="EW6306" s="48"/>
      <c r="FB6306" s="5"/>
      <c r="FI6306" s="5"/>
      <c r="FJ6306" s="164"/>
      <c r="FL6306" s="2"/>
      <c r="FN6306" s="2"/>
    </row>
    <row r="6307" spans="153:170" x14ac:dyDescent="0.35">
      <c r="EW6307" s="48"/>
      <c r="FB6307" s="5"/>
      <c r="FI6307" s="5"/>
      <c r="FJ6307" s="164"/>
      <c r="FL6307" s="2"/>
      <c r="FN6307" s="2"/>
    </row>
    <row r="6308" spans="153:170" x14ac:dyDescent="0.35">
      <c r="EW6308" s="48"/>
      <c r="FB6308" s="5"/>
      <c r="FI6308" s="5"/>
      <c r="FJ6308" s="164"/>
      <c r="FL6308" s="2"/>
      <c r="FN6308" s="2"/>
    </row>
    <row r="6309" spans="153:170" x14ac:dyDescent="0.35">
      <c r="EW6309" s="48"/>
      <c r="FB6309" s="5"/>
      <c r="FI6309" s="5"/>
      <c r="FJ6309" s="164"/>
      <c r="FL6309" s="2"/>
      <c r="FN6309" s="2"/>
    </row>
    <row r="6310" spans="153:170" x14ac:dyDescent="0.35">
      <c r="EW6310" s="48"/>
      <c r="FB6310" s="5"/>
      <c r="FI6310" s="5"/>
      <c r="FJ6310" s="164"/>
      <c r="FL6310" s="2"/>
      <c r="FN6310" s="2"/>
    </row>
    <row r="6311" spans="153:170" x14ac:dyDescent="0.35">
      <c r="EW6311" s="48"/>
      <c r="FB6311" s="5"/>
      <c r="FI6311" s="5"/>
      <c r="FJ6311" s="164"/>
      <c r="FL6311" s="2"/>
      <c r="FN6311" s="2"/>
    </row>
    <row r="6312" spans="153:170" x14ac:dyDescent="0.35">
      <c r="EW6312" s="48"/>
      <c r="FB6312" s="5"/>
      <c r="FI6312" s="5"/>
      <c r="FJ6312" s="164"/>
      <c r="FL6312" s="2"/>
      <c r="FN6312" s="2"/>
    </row>
    <row r="6313" spans="153:170" x14ac:dyDescent="0.35">
      <c r="EW6313" s="48"/>
      <c r="FB6313" s="5"/>
      <c r="FI6313" s="5"/>
      <c r="FJ6313" s="164"/>
      <c r="FL6313" s="2"/>
      <c r="FN6313" s="2"/>
    </row>
    <row r="6314" spans="153:170" x14ac:dyDescent="0.35">
      <c r="EW6314" s="48"/>
      <c r="FB6314" s="5"/>
      <c r="FI6314" s="5"/>
      <c r="FJ6314" s="164"/>
      <c r="FL6314" s="2"/>
      <c r="FN6314" s="2"/>
    </row>
    <row r="6315" spans="153:170" x14ac:dyDescent="0.35">
      <c r="EW6315" s="48"/>
      <c r="FB6315" s="5"/>
      <c r="FI6315" s="5"/>
      <c r="FJ6315" s="164"/>
      <c r="FL6315" s="2"/>
      <c r="FN6315" s="2"/>
    </row>
    <row r="6316" spans="153:170" x14ac:dyDescent="0.35">
      <c r="EW6316" s="48"/>
      <c r="FB6316" s="5"/>
      <c r="FI6316" s="5"/>
      <c r="FJ6316" s="164"/>
      <c r="FL6316" s="2"/>
      <c r="FN6316" s="2"/>
    </row>
    <row r="6317" spans="153:170" x14ac:dyDescent="0.35">
      <c r="EW6317" s="48"/>
      <c r="FB6317" s="5"/>
      <c r="FI6317" s="5"/>
      <c r="FJ6317" s="164"/>
      <c r="FL6317" s="2"/>
      <c r="FN6317" s="2"/>
    </row>
    <row r="6318" spans="153:170" x14ac:dyDescent="0.35">
      <c r="EW6318" s="48"/>
      <c r="FB6318" s="5"/>
      <c r="FI6318" s="5"/>
      <c r="FJ6318" s="164"/>
      <c r="FL6318" s="2"/>
      <c r="FN6318" s="2"/>
    </row>
    <row r="6319" spans="153:170" x14ac:dyDescent="0.35">
      <c r="EW6319" s="48"/>
      <c r="FB6319" s="5"/>
      <c r="FI6319" s="5"/>
      <c r="FJ6319" s="164"/>
      <c r="FL6319" s="2"/>
      <c r="FN6319" s="2"/>
    </row>
    <row r="6320" spans="153:170" x14ac:dyDescent="0.35">
      <c r="EW6320" s="48"/>
      <c r="FB6320" s="5"/>
      <c r="FI6320" s="5"/>
      <c r="FJ6320" s="164"/>
      <c r="FL6320" s="2"/>
      <c r="FN6320" s="2"/>
    </row>
    <row r="6321" spans="153:170" x14ac:dyDescent="0.35">
      <c r="EW6321" s="48"/>
      <c r="FB6321" s="5"/>
      <c r="FI6321" s="5"/>
      <c r="FJ6321" s="164"/>
      <c r="FL6321" s="2"/>
      <c r="FN6321" s="2"/>
    </row>
    <row r="6322" spans="153:170" x14ac:dyDescent="0.35">
      <c r="EW6322" s="48"/>
      <c r="FB6322" s="5"/>
      <c r="FI6322" s="5"/>
      <c r="FJ6322" s="164"/>
      <c r="FL6322" s="2"/>
      <c r="FN6322" s="2"/>
    </row>
    <row r="6323" spans="153:170" x14ac:dyDescent="0.35">
      <c r="EW6323" s="48"/>
      <c r="FB6323" s="5"/>
      <c r="FI6323" s="5"/>
      <c r="FJ6323" s="164"/>
      <c r="FL6323" s="2"/>
      <c r="FN6323" s="2"/>
    </row>
    <row r="6324" spans="153:170" x14ac:dyDescent="0.35">
      <c r="EW6324" s="48"/>
      <c r="FB6324" s="5"/>
      <c r="FI6324" s="5"/>
      <c r="FJ6324" s="164"/>
      <c r="FL6324" s="2"/>
      <c r="FN6324" s="2"/>
    </row>
    <row r="6325" spans="153:170" x14ac:dyDescent="0.35">
      <c r="EW6325" s="48"/>
      <c r="FB6325" s="5"/>
      <c r="FI6325" s="5"/>
      <c r="FJ6325" s="164"/>
      <c r="FL6325" s="2"/>
      <c r="FN6325" s="2"/>
    </row>
    <row r="6326" spans="153:170" x14ac:dyDescent="0.35">
      <c r="EW6326" s="48"/>
      <c r="FB6326" s="5"/>
      <c r="FI6326" s="5"/>
      <c r="FJ6326" s="164"/>
      <c r="FL6326" s="2"/>
      <c r="FN6326" s="2"/>
    </row>
    <row r="6327" spans="153:170" x14ac:dyDescent="0.35">
      <c r="EW6327" s="48"/>
      <c r="FB6327" s="5"/>
      <c r="FI6327" s="5"/>
      <c r="FJ6327" s="164"/>
      <c r="FL6327" s="2"/>
      <c r="FN6327" s="2"/>
    </row>
    <row r="6328" spans="153:170" x14ac:dyDescent="0.35">
      <c r="EW6328" s="48"/>
      <c r="FB6328" s="5"/>
      <c r="FI6328" s="5"/>
      <c r="FJ6328" s="164"/>
      <c r="FL6328" s="2"/>
      <c r="FN6328" s="2"/>
    </row>
    <row r="6329" spans="153:170" x14ac:dyDescent="0.35">
      <c r="EW6329" s="48"/>
      <c r="FB6329" s="5"/>
      <c r="FI6329" s="5"/>
      <c r="FJ6329" s="164"/>
      <c r="FL6329" s="2"/>
      <c r="FN6329" s="2"/>
    </row>
    <row r="6330" spans="153:170" x14ac:dyDescent="0.35">
      <c r="EW6330" s="48"/>
      <c r="FB6330" s="5"/>
      <c r="FI6330" s="5"/>
      <c r="FJ6330" s="164"/>
      <c r="FL6330" s="2"/>
      <c r="FN6330" s="2"/>
    </row>
    <row r="6331" spans="153:170" x14ac:dyDescent="0.35">
      <c r="EW6331" s="48"/>
      <c r="FB6331" s="5"/>
      <c r="FI6331" s="5"/>
      <c r="FJ6331" s="164"/>
      <c r="FL6331" s="2"/>
      <c r="FN6331" s="2"/>
    </row>
    <row r="6332" spans="153:170" x14ac:dyDescent="0.35">
      <c r="EW6332" s="48"/>
      <c r="FB6332" s="5"/>
      <c r="FI6332" s="5"/>
      <c r="FJ6332" s="164"/>
      <c r="FL6332" s="2"/>
      <c r="FN6332" s="2"/>
    </row>
    <row r="6333" spans="153:170" x14ac:dyDescent="0.35">
      <c r="EW6333" s="48"/>
      <c r="FB6333" s="5"/>
      <c r="FI6333" s="5"/>
      <c r="FJ6333" s="164"/>
      <c r="FL6333" s="2"/>
      <c r="FN6333" s="2"/>
    </row>
    <row r="6334" spans="153:170" x14ac:dyDescent="0.35">
      <c r="EW6334" s="48"/>
      <c r="FB6334" s="5"/>
      <c r="FI6334" s="5"/>
      <c r="FJ6334" s="164"/>
      <c r="FL6334" s="2"/>
      <c r="FN6334" s="2"/>
    </row>
    <row r="6335" spans="153:170" x14ac:dyDescent="0.35">
      <c r="EW6335" s="48"/>
      <c r="FB6335" s="5"/>
      <c r="FI6335" s="5"/>
      <c r="FJ6335" s="164"/>
      <c r="FL6335" s="2"/>
      <c r="FN6335" s="2"/>
    </row>
    <row r="6336" spans="153:170" x14ac:dyDescent="0.35">
      <c r="EW6336" s="48"/>
      <c r="FB6336" s="5"/>
      <c r="FI6336" s="5"/>
      <c r="FJ6336" s="164"/>
      <c r="FL6336" s="2"/>
      <c r="FN6336" s="2"/>
    </row>
    <row r="6337" spans="153:170" x14ac:dyDescent="0.35">
      <c r="EW6337" s="48"/>
      <c r="FB6337" s="5"/>
      <c r="FI6337" s="5"/>
      <c r="FJ6337" s="164"/>
      <c r="FL6337" s="2"/>
      <c r="FN6337" s="2"/>
    </row>
    <row r="6338" spans="153:170" x14ac:dyDescent="0.35">
      <c r="EW6338" s="48"/>
      <c r="FB6338" s="5"/>
      <c r="FI6338" s="5"/>
      <c r="FJ6338" s="164"/>
      <c r="FL6338" s="2"/>
      <c r="FN6338" s="2"/>
    </row>
    <row r="6339" spans="153:170" x14ac:dyDescent="0.35">
      <c r="EW6339" s="48"/>
      <c r="FB6339" s="5"/>
      <c r="FI6339" s="5"/>
      <c r="FJ6339" s="164"/>
      <c r="FL6339" s="2"/>
      <c r="FN6339" s="2"/>
    </row>
    <row r="6340" spans="153:170" x14ac:dyDescent="0.35">
      <c r="EW6340" s="48"/>
      <c r="FB6340" s="5"/>
      <c r="FI6340" s="5"/>
      <c r="FJ6340" s="164"/>
      <c r="FL6340" s="2"/>
      <c r="FN6340" s="2"/>
    </row>
    <row r="6341" spans="153:170" x14ac:dyDescent="0.35">
      <c r="EW6341" s="48"/>
      <c r="FB6341" s="5"/>
      <c r="FI6341" s="5"/>
      <c r="FJ6341" s="164"/>
      <c r="FL6341" s="2"/>
      <c r="FN6341" s="2"/>
    </row>
    <row r="6342" spans="153:170" x14ac:dyDescent="0.35">
      <c r="EW6342" s="48"/>
      <c r="FB6342" s="5"/>
      <c r="FI6342" s="5"/>
      <c r="FJ6342" s="164"/>
      <c r="FL6342" s="2"/>
      <c r="FN6342" s="2"/>
    </row>
    <row r="6343" spans="153:170" x14ac:dyDescent="0.35">
      <c r="EW6343" s="48"/>
      <c r="FB6343" s="5"/>
      <c r="FI6343" s="5"/>
      <c r="FJ6343" s="164"/>
      <c r="FL6343" s="2"/>
      <c r="FN6343" s="2"/>
    </row>
    <row r="6344" spans="153:170" x14ac:dyDescent="0.35">
      <c r="EW6344" s="48"/>
      <c r="FB6344" s="5"/>
      <c r="FI6344" s="5"/>
      <c r="FJ6344" s="164"/>
      <c r="FL6344" s="2"/>
      <c r="FN6344" s="2"/>
    </row>
    <row r="6345" spans="153:170" x14ac:dyDescent="0.35">
      <c r="EW6345" s="48"/>
      <c r="FB6345" s="5"/>
      <c r="FI6345" s="5"/>
      <c r="FJ6345" s="164"/>
      <c r="FL6345" s="2"/>
      <c r="FN6345" s="2"/>
    </row>
    <row r="6346" spans="153:170" x14ac:dyDescent="0.35">
      <c r="EW6346" s="48"/>
      <c r="FB6346" s="5"/>
      <c r="FI6346" s="5"/>
      <c r="FJ6346" s="164"/>
      <c r="FL6346" s="2"/>
      <c r="FN6346" s="2"/>
    </row>
    <row r="6347" spans="153:170" x14ac:dyDescent="0.35">
      <c r="EW6347" s="48"/>
      <c r="FB6347" s="5"/>
      <c r="FI6347" s="5"/>
      <c r="FJ6347" s="164"/>
      <c r="FL6347" s="2"/>
      <c r="FN6347" s="2"/>
    </row>
    <row r="6348" spans="153:170" x14ac:dyDescent="0.35">
      <c r="EW6348" s="48"/>
      <c r="FB6348" s="5"/>
      <c r="FI6348" s="5"/>
      <c r="FJ6348" s="164"/>
      <c r="FL6348" s="2"/>
      <c r="FN6348" s="2"/>
    </row>
    <row r="6349" spans="153:170" x14ac:dyDescent="0.35">
      <c r="EW6349" s="48"/>
      <c r="FB6349" s="5"/>
      <c r="FI6349" s="5"/>
      <c r="FJ6349" s="164"/>
      <c r="FL6349" s="2"/>
      <c r="FN6349" s="2"/>
    </row>
    <row r="6350" spans="153:170" x14ac:dyDescent="0.35">
      <c r="EW6350" s="48"/>
      <c r="FB6350" s="5"/>
      <c r="FI6350" s="5"/>
      <c r="FJ6350" s="164"/>
      <c r="FL6350" s="2"/>
      <c r="FN6350" s="2"/>
    </row>
    <row r="6351" spans="153:170" x14ac:dyDescent="0.35">
      <c r="EW6351" s="48"/>
      <c r="FB6351" s="5"/>
      <c r="FI6351" s="5"/>
      <c r="FJ6351" s="164"/>
      <c r="FL6351" s="2"/>
      <c r="FN6351" s="2"/>
    </row>
    <row r="6352" spans="153:170" x14ac:dyDescent="0.35">
      <c r="EW6352" s="48"/>
      <c r="FB6352" s="5"/>
      <c r="FI6352" s="5"/>
      <c r="FJ6352" s="164"/>
      <c r="FL6352" s="2"/>
      <c r="FN6352" s="2"/>
    </row>
    <row r="6353" spans="153:170" x14ac:dyDescent="0.35">
      <c r="EW6353" s="48"/>
      <c r="FB6353" s="5"/>
      <c r="FI6353" s="5"/>
      <c r="FJ6353" s="164"/>
      <c r="FL6353" s="2"/>
      <c r="FN6353" s="2"/>
    </row>
    <row r="6354" spans="153:170" x14ac:dyDescent="0.35">
      <c r="EW6354" s="48"/>
      <c r="FB6354" s="5"/>
      <c r="FI6354" s="5"/>
      <c r="FJ6354" s="164"/>
      <c r="FL6354" s="2"/>
      <c r="FN6354" s="2"/>
    </row>
    <row r="6355" spans="153:170" x14ac:dyDescent="0.35">
      <c r="EW6355" s="48"/>
      <c r="FB6355" s="5"/>
      <c r="FI6355" s="5"/>
      <c r="FJ6355" s="164"/>
      <c r="FL6355" s="2"/>
      <c r="FN6355" s="2"/>
    </row>
    <row r="6356" spans="153:170" x14ac:dyDescent="0.35">
      <c r="EW6356" s="48"/>
      <c r="FB6356" s="5"/>
      <c r="FI6356" s="5"/>
      <c r="FJ6356" s="164"/>
      <c r="FL6356" s="2"/>
      <c r="FN6356" s="2"/>
    </row>
    <row r="6357" spans="153:170" x14ac:dyDescent="0.35">
      <c r="EW6357" s="48"/>
      <c r="FB6357" s="5"/>
      <c r="FI6357" s="5"/>
      <c r="FJ6357" s="164"/>
      <c r="FL6357" s="2"/>
      <c r="FN6357" s="2"/>
    </row>
    <row r="6358" spans="153:170" x14ac:dyDescent="0.35">
      <c r="EW6358" s="48"/>
      <c r="FB6358" s="5"/>
      <c r="FI6358" s="5"/>
      <c r="FJ6358" s="164"/>
      <c r="FL6358" s="2"/>
      <c r="FN6358" s="2"/>
    </row>
    <row r="6359" spans="153:170" x14ac:dyDescent="0.35">
      <c r="EW6359" s="48"/>
      <c r="FB6359" s="5"/>
      <c r="FI6359" s="5"/>
      <c r="FJ6359" s="164"/>
      <c r="FL6359" s="2"/>
      <c r="FN6359" s="2"/>
    </row>
    <row r="6360" spans="153:170" x14ac:dyDescent="0.35">
      <c r="EW6360" s="48"/>
      <c r="FB6360" s="5"/>
      <c r="FI6360" s="5"/>
      <c r="FJ6360" s="164"/>
      <c r="FL6360" s="2"/>
      <c r="FN6360" s="2"/>
    </row>
    <row r="6361" spans="153:170" x14ac:dyDescent="0.35">
      <c r="EW6361" s="48"/>
      <c r="FB6361" s="5"/>
      <c r="FI6361" s="5"/>
      <c r="FJ6361" s="164"/>
      <c r="FL6361" s="2"/>
      <c r="FN6361" s="2"/>
    </row>
    <row r="6362" spans="153:170" x14ac:dyDescent="0.35">
      <c r="EW6362" s="48"/>
      <c r="FB6362" s="5"/>
      <c r="FI6362" s="5"/>
      <c r="FJ6362" s="164"/>
      <c r="FL6362" s="2"/>
      <c r="FN6362" s="2"/>
    </row>
    <row r="6363" spans="153:170" x14ac:dyDescent="0.35">
      <c r="EW6363" s="48"/>
      <c r="FB6363" s="5"/>
      <c r="FI6363" s="5"/>
      <c r="FJ6363" s="164"/>
      <c r="FL6363" s="2"/>
      <c r="FN6363" s="2"/>
    </row>
    <row r="6364" spans="153:170" x14ac:dyDescent="0.35">
      <c r="EW6364" s="48"/>
      <c r="FB6364" s="5"/>
      <c r="FI6364" s="5"/>
      <c r="FJ6364" s="164"/>
      <c r="FL6364" s="2"/>
      <c r="FN6364" s="2"/>
    </row>
    <row r="6365" spans="153:170" x14ac:dyDescent="0.35">
      <c r="EW6365" s="48"/>
      <c r="FB6365" s="5"/>
      <c r="FI6365" s="5"/>
      <c r="FJ6365" s="164"/>
      <c r="FL6365" s="2"/>
      <c r="FN6365" s="2"/>
    </row>
    <row r="6366" spans="153:170" x14ac:dyDescent="0.35">
      <c r="EW6366" s="48"/>
      <c r="FB6366" s="5"/>
      <c r="FI6366" s="5"/>
      <c r="FJ6366" s="164"/>
      <c r="FL6366" s="2"/>
      <c r="FN6366" s="2"/>
    </row>
    <row r="6367" spans="153:170" x14ac:dyDescent="0.35">
      <c r="EW6367" s="48"/>
      <c r="FB6367" s="5"/>
      <c r="FI6367" s="5"/>
      <c r="FJ6367" s="164"/>
      <c r="FL6367" s="2"/>
      <c r="FN6367" s="2"/>
    </row>
    <row r="6368" spans="153:170" x14ac:dyDescent="0.35">
      <c r="EW6368" s="48"/>
      <c r="FB6368" s="5"/>
      <c r="FI6368" s="5"/>
      <c r="FJ6368" s="164"/>
      <c r="FL6368" s="2"/>
      <c r="FN6368" s="2"/>
    </row>
    <row r="6369" spans="153:170" x14ac:dyDescent="0.35">
      <c r="EW6369" s="48"/>
      <c r="FB6369" s="5"/>
      <c r="FI6369" s="5"/>
      <c r="FJ6369" s="164"/>
      <c r="FL6369" s="2"/>
      <c r="FN6369" s="2"/>
    </row>
    <row r="6370" spans="153:170" x14ac:dyDescent="0.35">
      <c r="EW6370" s="48"/>
      <c r="FB6370" s="5"/>
      <c r="FI6370" s="5"/>
      <c r="FJ6370" s="164"/>
      <c r="FL6370" s="2"/>
      <c r="FN6370" s="2"/>
    </row>
    <row r="6371" spans="153:170" x14ac:dyDescent="0.35">
      <c r="EW6371" s="48"/>
      <c r="FB6371" s="5"/>
      <c r="FI6371" s="5"/>
      <c r="FJ6371" s="164"/>
      <c r="FL6371" s="2"/>
      <c r="FN6371" s="2"/>
    </row>
    <row r="6372" spans="153:170" x14ac:dyDescent="0.35">
      <c r="EW6372" s="48"/>
      <c r="FB6372" s="5"/>
      <c r="FI6372" s="5"/>
      <c r="FJ6372" s="164"/>
      <c r="FL6372" s="2"/>
      <c r="FN6372" s="2"/>
    </row>
    <row r="6373" spans="153:170" x14ac:dyDescent="0.35">
      <c r="EW6373" s="48"/>
      <c r="FB6373" s="5"/>
      <c r="FI6373" s="5"/>
      <c r="FJ6373" s="164"/>
      <c r="FL6373" s="2"/>
      <c r="FN6373" s="2"/>
    </row>
    <row r="6374" spans="153:170" x14ac:dyDescent="0.35">
      <c r="EW6374" s="48"/>
      <c r="FB6374" s="5"/>
      <c r="FI6374" s="5"/>
      <c r="FJ6374" s="164"/>
      <c r="FL6374" s="2"/>
      <c r="FN6374" s="2"/>
    </row>
    <row r="6375" spans="153:170" x14ac:dyDescent="0.35">
      <c r="EW6375" s="48"/>
      <c r="FB6375" s="5"/>
      <c r="FI6375" s="5"/>
      <c r="FJ6375" s="164"/>
      <c r="FL6375" s="2"/>
      <c r="FN6375" s="2"/>
    </row>
    <row r="6376" spans="153:170" x14ac:dyDescent="0.35">
      <c r="EW6376" s="48"/>
      <c r="FB6376" s="5"/>
      <c r="FI6376" s="5"/>
      <c r="FJ6376" s="164"/>
      <c r="FL6376" s="2"/>
      <c r="FN6376" s="2"/>
    </row>
    <row r="6377" spans="153:170" x14ac:dyDescent="0.35">
      <c r="EW6377" s="48"/>
      <c r="FB6377" s="5"/>
      <c r="FI6377" s="5"/>
      <c r="FJ6377" s="164"/>
      <c r="FL6377" s="2"/>
      <c r="FN6377" s="2"/>
    </row>
    <row r="6378" spans="153:170" x14ac:dyDescent="0.35">
      <c r="EW6378" s="48"/>
      <c r="FB6378" s="5"/>
      <c r="FI6378" s="5"/>
      <c r="FJ6378" s="164"/>
      <c r="FL6378" s="2"/>
      <c r="FN6378" s="2"/>
    </row>
    <row r="6379" spans="153:170" x14ac:dyDescent="0.35">
      <c r="EW6379" s="48"/>
      <c r="FB6379" s="5"/>
      <c r="FI6379" s="5"/>
      <c r="FJ6379" s="164"/>
      <c r="FL6379" s="2"/>
      <c r="FN6379" s="2"/>
    </row>
    <row r="6380" spans="153:170" x14ac:dyDescent="0.35">
      <c r="EW6380" s="48"/>
      <c r="FB6380" s="5"/>
      <c r="FI6380" s="5"/>
      <c r="FJ6380" s="164"/>
      <c r="FL6380" s="2"/>
      <c r="FN6380" s="2"/>
    </row>
    <row r="6381" spans="153:170" x14ac:dyDescent="0.35">
      <c r="EW6381" s="48"/>
      <c r="FB6381" s="5"/>
      <c r="FI6381" s="5"/>
      <c r="FJ6381" s="164"/>
      <c r="FL6381" s="2"/>
      <c r="FN6381" s="2"/>
    </row>
    <row r="6382" spans="153:170" x14ac:dyDescent="0.35">
      <c r="EW6382" s="48"/>
      <c r="FB6382" s="5"/>
      <c r="FI6382" s="5"/>
      <c r="FJ6382" s="164"/>
      <c r="FL6382" s="2"/>
      <c r="FN6382" s="2"/>
    </row>
    <row r="6383" spans="153:170" x14ac:dyDescent="0.35">
      <c r="EW6383" s="48"/>
      <c r="FB6383" s="5"/>
      <c r="FI6383" s="5"/>
      <c r="FJ6383" s="164"/>
      <c r="FL6383" s="2"/>
      <c r="FN6383" s="2"/>
    </row>
    <row r="6384" spans="153:170" x14ac:dyDescent="0.35">
      <c r="EW6384" s="48"/>
      <c r="FB6384" s="5"/>
      <c r="FI6384" s="5"/>
      <c r="FJ6384" s="164"/>
      <c r="FL6384" s="2"/>
      <c r="FN6384" s="2"/>
    </row>
    <row r="6385" spans="153:170" x14ac:dyDescent="0.35">
      <c r="EW6385" s="48"/>
      <c r="FB6385" s="5"/>
      <c r="FI6385" s="5"/>
      <c r="FJ6385" s="164"/>
      <c r="FL6385" s="2"/>
      <c r="FN6385" s="2"/>
    </row>
    <row r="6386" spans="153:170" x14ac:dyDescent="0.35">
      <c r="EW6386" s="48"/>
      <c r="FB6386" s="5"/>
      <c r="FI6386" s="5"/>
      <c r="FJ6386" s="164"/>
      <c r="FL6386" s="2"/>
      <c r="FN6386" s="2"/>
    </row>
    <row r="6387" spans="153:170" x14ac:dyDescent="0.35">
      <c r="EW6387" s="48"/>
      <c r="FB6387" s="5"/>
      <c r="FI6387" s="5"/>
      <c r="FJ6387" s="164"/>
      <c r="FL6387" s="2"/>
      <c r="FN6387" s="2"/>
    </row>
    <row r="6388" spans="153:170" x14ac:dyDescent="0.35">
      <c r="EW6388" s="48"/>
      <c r="FB6388" s="5"/>
      <c r="FI6388" s="5"/>
      <c r="FJ6388" s="164"/>
      <c r="FL6388" s="2"/>
      <c r="FN6388" s="2"/>
    </row>
    <row r="6389" spans="153:170" x14ac:dyDescent="0.35">
      <c r="EW6389" s="48"/>
      <c r="FB6389" s="5"/>
      <c r="FI6389" s="5"/>
      <c r="FJ6389" s="164"/>
      <c r="FL6389" s="2"/>
      <c r="FN6389" s="2"/>
    </row>
    <row r="6390" spans="153:170" x14ac:dyDescent="0.35">
      <c r="EW6390" s="48"/>
      <c r="FB6390" s="5"/>
      <c r="FI6390" s="5"/>
      <c r="FJ6390" s="164"/>
      <c r="FL6390" s="2"/>
      <c r="FN6390" s="2"/>
    </row>
    <row r="6391" spans="153:170" x14ac:dyDescent="0.35">
      <c r="EW6391" s="48"/>
      <c r="FB6391" s="5"/>
      <c r="FI6391" s="5"/>
      <c r="FJ6391" s="164"/>
      <c r="FL6391" s="2"/>
      <c r="FN6391" s="2"/>
    </row>
    <row r="6392" spans="153:170" x14ac:dyDescent="0.35">
      <c r="EW6392" s="48"/>
      <c r="FB6392" s="5"/>
      <c r="FI6392" s="5"/>
      <c r="FJ6392" s="164"/>
      <c r="FL6392" s="2"/>
      <c r="FN6392" s="2"/>
    </row>
    <row r="6393" spans="153:170" x14ac:dyDescent="0.35">
      <c r="EW6393" s="48"/>
      <c r="FB6393" s="5"/>
      <c r="FI6393" s="5"/>
      <c r="FJ6393" s="164"/>
      <c r="FL6393" s="2"/>
      <c r="FN6393" s="2"/>
    </row>
    <row r="6394" spans="153:170" x14ac:dyDescent="0.35">
      <c r="EW6394" s="48"/>
      <c r="FB6394" s="5"/>
      <c r="FI6394" s="5"/>
      <c r="FJ6394" s="164"/>
      <c r="FL6394" s="2"/>
      <c r="FN6394" s="2"/>
    </row>
    <row r="6395" spans="153:170" x14ac:dyDescent="0.35">
      <c r="EW6395" s="48"/>
      <c r="FB6395" s="5"/>
      <c r="FI6395" s="5"/>
      <c r="FJ6395" s="164"/>
      <c r="FL6395" s="2"/>
      <c r="FN6395" s="2"/>
    </row>
    <row r="6396" spans="153:170" x14ac:dyDescent="0.35">
      <c r="EW6396" s="48"/>
      <c r="FB6396" s="5"/>
      <c r="FI6396" s="5"/>
      <c r="FJ6396" s="164"/>
      <c r="FL6396" s="2"/>
      <c r="FN6396" s="2"/>
    </row>
    <row r="6397" spans="153:170" x14ac:dyDescent="0.35">
      <c r="EW6397" s="48"/>
      <c r="FB6397" s="5"/>
      <c r="FI6397" s="5"/>
      <c r="FJ6397" s="164"/>
      <c r="FL6397" s="2"/>
      <c r="FN6397" s="2"/>
    </row>
    <row r="6398" spans="153:170" x14ac:dyDescent="0.35">
      <c r="EW6398" s="48"/>
      <c r="FB6398" s="5"/>
      <c r="FI6398" s="5"/>
      <c r="FJ6398" s="164"/>
      <c r="FL6398" s="2"/>
      <c r="FN6398" s="2"/>
    </row>
    <row r="6399" spans="153:170" x14ac:dyDescent="0.35">
      <c r="EW6399" s="48"/>
      <c r="FB6399" s="5"/>
      <c r="FI6399" s="5"/>
      <c r="FJ6399" s="164"/>
      <c r="FL6399" s="2"/>
      <c r="FN6399" s="2"/>
    </row>
    <row r="6400" spans="153:170" x14ac:dyDescent="0.35">
      <c r="EW6400" s="48"/>
      <c r="FB6400" s="5"/>
      <c r="FI6400" s="5"/>
      <c r="FJ6400" s="164"/>
      <c r="FL6400" s="2"/>
      <c r="FN6400" s="2"/>
    </row>
    <row r="6401" spans="153:170" x14ac:dyDescent="0.35">
      <c r="EW6401" s="48"/>
      <c r="FB6401" s="5"/>
      <c r="FI6401" s="5"/>
      <c r="FJ6401" s="164"/>
      <c r="FL6401" s="2"/>
      <c r="FN6401" s="2"/>
    </row>
    <row r="6402" spans="153:170" x14ac:dyDescent="0.35">
      <c r="EW6402" s="48"/>
      <c r="FB6402" s="5"/>
      <c r="FI6402" s="5"/>
      <c r="FJ6402" s="164"/>
      <c r="FL6402" s="2"/>
      <c r="FN6402" s="2"/>
    </row>
    <row r="6403" spans="153:170" x14ac:dyDescent="0.35">
      <c r="EW6403" s="48"/>
      <c r="FB6403" s="5"/>
      <c r="FI6403" s="5"/>
      <c r="FJ6403" s="164"/>
      <c r="FL6403" s="2"/>
      <c r="FN6403" s="2"/>
    </row>
    <row r="6404" spans="153:170" x14ac:dyDescent="0.35">
      <c r="EW6404" s="48"/>
      <c r="FB6404" s="5"/>
      <c r="FI6404" s="5"/>
      <c r="FJ6404" s="164"/>
      <c r="FL6404" s="2"/>
      <c r="FN6404" s="2"/>
    </row>
    <row r="6405" spans="153:170" x14ac:dyDescent="0.35">
      <c r="EW6405" s="48"/>
      <c r="FB6405" s="5"/>
      <c r="FI6405" s="5"/>
      <c r="FJ6405" s="164"/>
      <c r="FL6405" s="2"/>
      <c r="FN6405" s="2"/>
    </row>
    <row r="6406" spans="153:170" x14ac:dyDescent="0.35">
      <c r="EW6406" s="48"/>
      <c r="FB6406" s="5"/>
      <c r="FI6406" s="5"/>
      <c r="FJ6406" s="164"/>
      <c r="FL6406" s="2"/>
      <c r="FN6406" s="2"/>
    </row>
    <row r="6407" spans="153:170" x14ac:dyDescent="0.35">
      <c r="EW6407" s="48"/>
      <c r="FB6407" s="5"/>
      <c r="FI6407" s="5"/>
      <c r="FJ6407" s="164"/>
      <c r="FL6407" s="2"/>
      <c r="FN6407" s="2"/>
    </row>
    <row r="6408" spans="153:170" x14ac:dyDescent="0.35">
      <c r="EW6408" s="48"/>
      <c r="FB6408" s="5"/>
      <c r="FI6408" s="5"/>
      <c r="FJ6408" s="164"/>
      <c r="FL6408" s="2"/>
      <c r="FN6408" s="2"/>
    </row>
    <row r="6409" spans="153:170" x14ac:dyDescent="0.35">
      <c r="EW6409" s="48"/>
      <c r="FB6409" s="5"/>
      <c r="FI6409" s="5"/>
      <c r="FJ6409" s="164"/>
      <c r="FL6409" s="2"/>
      <c r="FN6409" s="2"/>
    </row>
    <row r="6410" spans="153:170" x14ac:dyDescent="0.35">
      <c r="EW6410" s="48"/>
      <c r="FB6410" s="5"/>
      <c r="FI6410" s="5"/>
      <c r="FJ6410" s="164"/>
      <c r="FL6410" s="2"/>
      <c r="FN6410" s="2"/>
    </row>
    <row r="6411" spans="153:170" x14ac:dyDescent="0.35">
      <c r="EW6411" s="48"/>
      <c r="FB6411" s="5"/>
      <c r="FI6411" s="5"/>
      <c r="FJ6411" s="164"/>
      <c r="FL6411" s="2"/>
      <c r="FN6411" s="2"/>
    </row>
    <row r="6412" spans="153:170" x14ac:dyDescent="0.35">
      <c r="EW6412" s="48"/>
      <c r="FB6412" s="5"/>
      <c r="FI6412" s="5"/>
      <c r="FJ6412" s="164"/>
      <c r="FL6412" s="2"/>
      <c r="FN6412" s="2"/>
    </row>
    <row r="6413" spans="153:170" x14ac:dyDescent="0.35">
      <c r="EW6413" s="48"/>
      <c r="FB6413" s="5"/>
      <c r="FI6413" s="5"/>
      <c r="FJ6413" s="164"/>
      <c r="FL6413" s="2"/>
      <c r="FN6413" s="2"/>
    </row>
    <row r="6414" spans="153:170" x14ac:dyDescent="0.35">
      <c r="EW6414" s="48"/>
      <c r="FB6414" s="5"/>
      <c r="FI6414" s="5"/>
      <c r="FJ6414" s="164"/>
      <c r="FL6414" s="2"/>
      <c r="FN6414" s="2"/>
    </row>
    <row r="6415" spans="153:170" x14ac:dyDescent="0.35">
      <c r="EW6415" s="48"/>
      <c r="FB6415" s="5"/>
      <c r="FI6415" s="5"/>
      <c r="FJ6415" s="164"/>
      <c r="FL6415" s="2"/>
      <c r="FN6415" s="2"/>
    </row>
    <row r="6416" spans="153:170" x14ac:dyDescent="0.35">
      <c r="EW6416" s="48"/>
      <c r="FB6416" s="5"/>
      <c r="FI6416" s="5"/>
      <c r="FJ6416" s="164"/>
      <c r="FL6416" s="2"/>
      <c r="FN6416" s="2"/>
    </row>
    <row r="6417" spans="153:170" x14ac:dyDescent="0.35">
      <c r="EW6417" s="48"/>
      <c r="FB6417" s="5"/>
      <c r="FI6417" s="5"/>
      <c r="FJ6417" s="164"/>
      <c r="FL6417" s="2"/>
      <c r="FN6417" s="2"/>
    </row>
    <row r="6418" spans="153:170" x14ac:dyDescent="0.35">
      <c r="EW6418" s="48"/>
      <c r="FB6418" s="5"/>
      <c r="FI6418" s="5"/>
      <c r="FJ6418" s="164"/>
      <c r="FL6418" s="2"/>
      <c r="FN6418" s="2"/>
    </row>
    <row r="6419" spans="153:170" x14ac:dyDescent="0.35">
      <c r="EW6419" s="48"/>
      <c r="FB6419" s="5"/>
      <c r="FI6419" s="5"/>
      <c r="FJ6419" s="164"/>
      <c r="FL6419" s="2"/>
      <c r="FN6419" s="2"/>
    </row>
    <row r="6420" spans="153:170" x14ac:dyDescent="0.35">
      <c r="EW6420" s="48"/>
      <c r="FB6420" s="5"/>
      <c r="FI6420" s="5"/>
      <c r="FJ6420" s="164"/>
      <c r="FL6420" s="2"/>
      <c r="FN6420" s="2"/>
    </row>
    <row r="6421" spans="153:170" x14ac:dyDescent="0.35">
      <c r="EW6421" s="48"/>
      <c r="FB6421" s="5"/>
      <c r="FI6421" s="5"/>
      <c r="FJ6421" s="164"/>
      <c r="FL6421" s="2"/>
      <c r="FN6421" s="2"/>
    </row>
    <row r="6422" spans="153:170" x14ac:dyDescent="0.35">
      <c r="EW6422" s="48"/>
      <c r="FB6422" s="5"/>
      <c r="FI6422" s="5"/>
      <c r="FJ6422" s="164"/>
      <c r="FL6422" s="2"/>
      <c r="FN6422" s="2"/>
    </row>
    <row r="6423" spans="153:170" x14ac:dyDescent="0.35">
      <c r="EW6423" s="48"/>
      <c r="FB6423" s="5"/>
      <c r="FI6423" s="5"/>
      <c r="FJ6423" s="164"/>
      <c r="FL6423" s="2"/>
      <c r="FN6423" s="2"/>
    </row>
    <row r="6424" spans="153:170" x14ac:dyDescent="0.35">
      <c r="EW6424" s="48"/>
      <c r="FB6424" s="5"/>
      <c r="FI6424" s="5"/>
      <c r="FJ6424" s="164"/>
      <c r="FL6424" s="2"/>
      <c r="FN6424" s="2"/>
    </row>
    <row r="6425" spans="153:170" x14ac:dyDescent="0.35">
      <c r="EW6425" s="48"/>
      <c r="FB6425" s="5"/>
      <c r="FI6425" s="5"/>
      <c r="FJ6425" s="164"/>
      <c r="FL6425" s="2"/>
      <c r="FN6425" s="2"/>
    </row>
    <row r="6426" spans="153:170" x14ac:dyDescent="0.35">
      <c r="EW6426" s="48"/>
      <c r="FB6426" s="5"/>
      <c r="FI6426" s="5"/>
      <c r="FJ6426" s="164"/>
      <c r="FL6426" s="2"/>
      <c r="FN6426" s="2"/>
    </row>
    <row r="6427" spans="153:170" x14ac:dyDescent="0.35">
      <c r="EW6427" s="48"/>
      <c r="FB6427" s="5"/>
      <c r="FI6427" s="5"/>
      <c r="FJ6427" s="164"/>
      <c r="FL6427" s="2"/>
      <c r="FN6427" s="2"/>
    </row>
    <row r="6428" spans="153:170" x14ac:dyDescent="0.35">
      <c r="EW6428" s="48"/>
      <c r="FB6428" s="5"/>
      <c r="FI6428" s="5"/>
      <c r="FJ6428" s="164"/>
      <c r="FL6428" s="2"/>
      <c r="FN6428" s="2"/>
    </row>
    <row r="6429" spans="153:170" x14ac:dyDescent="0.35">
      <c r="EW6429" s="48"/>
      <c r="FB6429" s="5"/>
      <c r="FI6429" s="5"/>
      <c r="FJ6429" s="164"/>
      <c r="FL6429" s="2"/>
      <c r="FN6429" s="2"/>
    </row>
    <row r="6430" spans="153:170" x14ac:dyDescent="0.35">
      <c r="EW6430" s="48"/>
      <c r="FB6430" s="5"/>
      <c r="FI6430" s="5"/>
      <c r="FJ6430" s="164"/>
      <c r="FL6430" s="2"/>
      <c r="FN6430" s="2"/>
    </row>
    <row r="6431" spans="153:170" x14ac:dyDescent="0.35">
      <c r="EW6431" s="48"/>
      <c r="FB6431" s="5"/>
      <c r="FI6431" s="5"/>
      <c r="FJ6431" s="164"/>
      <c r="FL6431" s="2"/>
      <c r="FN6431" s="2"/>
    </row>
    <row r="6432" spans="153:170" x14ac:dyDescent="0.35">
      <c r="EW6432" s="48"/>
      <c r="FB6432" s="5"/>
      <c r="FI6432" s="5"/>
      <c r="FJ6432" s="164"/>
      <c r="FL6432" s="2"/>
      <c r="FN6432" s="2"/>
    </row>
    <row r="6433" spans="153:170" x14ac:dyDescent="0.35">
      <c r="EW6433" s="48"/>
      <c r="FB6433" s="5"/>
      <c r="FI6433" s="5"/>
      <c r="FJ6433" s="164"/>
      <c r="FL6433" s="2"/>
      <c r="FN6433" s="2"/>
    </row>
    <row r="6434" spans="153:170" x14ac:dyDescent="0.35">
      <c r="EW6434" s="48"/>
      <c r="FB6434" s="5"/>
      <c r="FI6434" s="5"/>
      <c r="FJ6434" s="164"/>
      <c r="FL6434" s="2"/>
      <c r="FN6434" s="2"/>
    </row>
    <row r="6435" spans="153:170" x14ac:dyDescent="0.35">
      <c r="EW6435" s="48"/>
      <c r="FB6435" s="5"/>
      <c r="FI6435" s="5"/>
      <c r="FJ6435" s="164"/>
      <c r="FL6435" s="2"/>
      <c r="FN6435" s="2"/>
    </row>
    <row r="6436" spans="153:170" x14ac:dyDescent="0.35">
      <c r="EW6436" s="48"/>
      <c r="FB6436" s="5"/>
      <c r="FI6436" s="5"/>
      <c r="FJ6436" s="164"/>
      <c r="FL6436" s="2"/>
      <c r="FN6436" s="2"/>
    </row>
    <row r="6437" spans="153:170" x14ac:dyDescent="0.35">
      <c r="EW6437" s="48"/>
      <c r="FB6437" s="5"/>
      <c r="FI6437" s="5"/>
      <c r="FJ6437" s="164"/>
      <c r="FL6437" s="2"/>
      <c r="FN6437" s="2"/>
    </row>
    <row r="6438" spans="153:170" x14ac:dyDescent="0.35">
      <c r="EW6438" s="48"/>
      <c r="FB6438" s="5"/>
      <c r="FI6438" s="5"/>
      <c r="FJ6438" s="164"/>
      <c r="FL6438" s="2"/>
      <c r="FN6438" s="2"/>
    </row>
    <row r="6439" spans="153:170" x14ac:dyDescent="0.35">
      <c r="EW6439" s="48"/>
      <c r="FB6439" s="5"/>
      <c r="FI6439" s="5"/>
      <c r="FJ6439" s="164"/>
      <c r="FL6439" s="2"/>
      <c r="FN6439" s="2"/>
    </row>
    <row r="6440" spans="153:170" x14ac:dyDescent="0.35">
      <c r="EW6440" s="48"/>
      <c r="FB6440" s="5"/>
      <c r="FI6440" s="5"/>
      <c r="FJ6440" s="164"/>
      <c r="FL6440" s="2"/>
      <c r="FN6440" s="2"/>
    </row>
    <row r="6441" spans="153:170" x14ac:dyDescent="0.35">
      <c r="EW6441" s="48"/>
      <c r="FB6441" s="5"/>
      <c r="FI6441" s="5"/>
      <c r="FJ6441" s="164"/>
      <c r="FL6441" s="2"/>
      <c r="FN6441" s="2"/>
    </row>
    <row r="6442" spans="153:170" x14ac:dyDescent="0.35">
      <c r="EW6442" s="48"/>
      <c r="FB6442" s="5"/>
      <c r="FI6442" s="5"/>
      <c r="FJ6442" s="164"/>
      <c r="FL6442" s="2"/>
      <c r="FN6442" s="2"/>
    </row>
    <row r="6443" spans="153:170" x14ac:dyDescent="0.35">
      <c r="EW6443" s="48"/>
      <c r="FB6443" s="5"/>
      <c r="FI6443" s="5"/>
      <c r="FJ6443" s="164"/>
      <c r="FL6443" s="2"/>
      <c r="FN6443" s="2"/>
    </row>
    <row r="6444" spans="153:170" x14ac:dyDescent="0.35">
      <c r="EW6444" s="48"/>
      <c r="FB6444" s="5"/>
      <c r="FI6444" s="5"/>
      <c r="FJ6444" s="164"/>
      <c r="FL6444" s="2"/>
      <c r="FN6444" s="2"/>
    </row>
    <row r="6445" spans="153:170" x14ac:dyDescent="0.35">
      <c r="EW6445" s="48"/>
      <c r="FB6445" s="5"/>
      <c r="FI6445" s="5"/>
      <c r="FJ6445" s="164"/>
      <c r="FL6445" s="2"/>
      <c r="FN6445" s="2"/>
    </row>
    <row r="6446" spans="153:170" x14ac:dyDescent="0.35">
      <c r="EW6446" s="48"/>
      <c r="FB6446" s="5"/>
      <c r="FI6446" s="5"/>
      <c r="FJ6446" s="164"/>
      <c r="FL6446" s="2"/>
      <c r="FN6446" s="2"/>
    </row>
    <row r="6447" spans="153:170" x14ac:dyDescent="0.35">
      <c r="EW6447" s="48"/>
      <c r="FB6447" s="5"/>
      <c r="FI6447" s="5"/>
      <c r="FJ6447" s="164"/>
      <c r="FL6447" s="2"/>
      <c r="FN6447" s="2"/>
    </row>
    <row r="6448" spans="153:170" x14ac:dyDescent="0.35">
      <c r="EW6448" s="48"/>
      <c r="FB6448" s="5"/>
      <c r="FI6448" s="5"/>
      <c r="FJ6448" s="164"/>
      <c r="FL6448" s="2"/>
      <c r="FN6448" s="2"/>
    </row>
    <row r="6449" spans="153:170" x14ac:dyDescent="0.35">
      <c r="EW6449" s="48"/>
      <c r="FB6449" s="5"/>
      <c r="FI6449" s="5"/>
      <c r="FJ6449" s="164"/>
      <c r="FL6449" s="2"/>
      <c r="FN6449" s="2"/>
    </row>
    <row r="6450" spans="153:170" x14ac:dyDescent="0.35">
      <c r="EW6450" s="48"/>
      <c r="FB6450" s="5"/>
      <c r="FI6450" s="5"/>
      <c r="FJ6450" s="164"/>
      <c r="FL6450" s="2"/>
      <c r="FN6450" s="2"/>
    </row>
    <row r="6451" spans="153:170" x14ac:dyDescent="0.35">
      <c r="EW6451" s="48"/>
      <c r="FB6451" s="5"/>
      <c r="FI6451" s="5"/>
      <c r="FJ6451" s="164"/>
      <c r="FL6451" s="2"/>
      <c r="FN6451" s="2"/>
    </row>
    <row r="6452" spans="153:170" x14ac:dyDescent="0.35">
      <c r="EW6452" s="48"/>
      <c r="FB6452" s="5"/>
      <c r="FI6452" s="5"/>
      <c r="FJ6452" s="164"/>
      <c r="FL6452" s="2"/>
      <c r="FN6452" s="2"/>
    </row>
    <row r="6453" spans="153:170" x14ac:dyDescent="0.35">
      <c r="EW6453" s="48"/>
      <c r="FB6453" s="5"/>
      <c r="FI6453" s="5"/>
      <c r="FJ6453" s="164"/>
      <c r="FL6453" s="2"/>
      <c r="FN6453" s="2"/>
    </row>
    <row r="6454" spans="153:170" x14ac:dyDescent="0.35">
      <c r="EW6454" s="48"/>
      <c r="FB6454" s="5"/>
      <c r="FI6454" s="5"/>
      <c r="FJ6454" s="164"/>
      <c r="FL6454" s="2"/>
      <c r="FN6454" s="2"/>
    </row>
    <row r="6455" spans="153:170" x14ac:dyDescent="0.35">
      <c r="EW6455" s="48"/>
      <c r="FB6455" s="5"/>
      <c r="FI6455" s="5"/>
      <c r="FJ6455" s="164"/>
      <c r="FL6455" s="2"/>
      <c r="FN6455" s="2"/>
    </row>
    <row r="6456" spans="153:170" x14ac:dyDescent="0.35">
      <c r="EW6456" s="48"/>
      <c r="FB6456" s="5"/>
      <c r="FI6456" s="5"/>
      <c r="FJ6456" s="164"/>
      <c r="FL6456" s="2"/>
      <c r="FN6456" s="2"/>
    </row>
    <row r="6457" spans="153:170" x14ac:dyDescent="0.35">
      <c r="EW6457" s="48"/>
      <c r="FB6457" s="5"/>
      <c r="FI6457" s="5"/>
      <c r="FJ6457" s="164"/>
      <c r="FL6457" s="2"/>
      <c r="FN6457" s="2"/>
    </row>
    <row r="6458" spans="153:170" x14ac:dyDescent="0.35">
      <c r="EW6458" s="48"/>
      <c r="FB6458" s="5"/>
      <c r="FI6458" s="5"/>
      <c r="FJ6458" s="164"/>
      <c r="FL6458" s="2"/>
      <c r="FN6458" s="2"/>
    </row>
    <row r="6459" spans="153:170" x14ac:dyDescent="0.35">
      <c r="EW6459" s="48"/>
      <c r="FB6459" s="5"/>
      <c r="FI6459" s="5"/>
      <c r="FJ6459" s="164"/>
      <c r="FL6459" s="2"/>
      <c r="FN6459" s="2"/>
    </row>
    <row r="6460" spans="153:170" x14ac:dyDescent="0.35">
      <c r="EW6460" s="48"/>
      <c r="FB6460" s="5"/>
      <c r="FI6460" s="5"/>
      <c r="FJ6460" s="164"/>
      <c r="FL6460" s="2"/>
      <c r="FN6460" s="2"/>
    </row>
    <row r="6461" spans="153:170" x14ac:dyDescent="0.35">
      <c r="EW6461" s="48"/>
      <c r="FB6461" s="5"/>
      <c r="FI6461" s="5"/>
      <c r="FJ6461" s="164"/>
      <c r="FL6461" s="2"/>
      <c r="FN6461" s="2"/>
    </row>
    <row r="6462" spans="153:170" x14ac:dyDescent="0.35">
      <c r="EW6462" s="48"/>
      <c r="FB6462" s="5"/>
      <c r="FI6462" s="5"/>
      <c r="FJ6462" s="164"/>
      <c r="FL6462" s="2"/>
      <c r="FN6462" s="2"/>
    </row>
    <row r="6463" spans="153:170" x14ac:dyDescent="0.35">
      <c r="EW6463" s="48"/>
      <c r="FB6463" s="5"/>
      <c r="FI6463" s="5"/>
      <c r="FJ6463" s="164"/>
      <c r="FL6463" s="2"/>
      <c r="FN6463" s="2"/>
    </row>
    <row r="6464" spans="153:170" x14ac:dyDescent="0.35">
      <c r="EW6464" s="48"/>
      <c r="FB6464" s="5"/>
      <c r="FI6464" s="5"/>
      <c r="FJ6464" s="164"/>
      <c r="FL6464" s="2"/>
      <c r="FN6464" s="2"/>
    </row>
    <row r="6465" spans="153:170" x14ac:dyDescent="0.35">
      <c r="EW6465" s="48"/>
      <c r="FB6465" s="5"/>
      <c r="FI6465" s="5"/>
      <c r="FJ6465" s="164"/>
      <c r="FL6465" s="2"/>
      <c r="FN6465" s="2"/>
    </row>
    <row r="6466" spans="153:170" x14ac:dyDescent="0.35">
      <c r="EW6466" s="48"/>
      <c r="FB6466" s="5"/>
      <c r="FI6466" s="5"/>
      <c r="FJ6466" s="164"/>
      <c r="FL6466" s="2"/>
      <c r="FN6466" s="2"/>
    </row>
    <row r="6467" spans="153:170" x14ac:dyDescent="0.35">
      <c r="EW6467" s="48"/>
      <c r="FB6467" s="5"/>
      <c r="FI6467" s="5"/>
      <c r="FJ6467" s="164"/>
      <c r="FL6467" s="2"/>
      <c r="FN6467" s="2"/>
    </row>
    <row r="6468" spans="153:170" x14ac:dyDescent="0.35">
      <c r="EW6468" s="48"/>
      <c r="FB6468" s="5"/>
      <c r="FI6468" s="5"/>
      <c r="FJ6468" s="164"/>
      <c r="FL6468" s="2"/>
      <c r="FN6468" s="2"/>
    </row>
    <row r="6469" spans="153:170" x14ac:dyDescent="0.35">
      <c r="EW6469" s="48"/>
      <c r="FB6469" s="5"/>
      <c r="FI6469" s="5"/>
      <c r="FJ6469" s="164"/>
      <c r="FL6469" s="2"/>
      <c r="FN6469" s="2"/>
    </row>
    <row r="6470" spans="153:170" x14ac:dyDescent="0.35">
      <c r="EW6470" s="48"/>
      <c r="FB6470" s="5"/>
      <c r="FI6470" s="5"/>
      <c r="FJ6470" s="164"/>
      <c r="FL6470" s="2"/>
      <c r="FN6470" s="2"/>
    </row>
    <row r="6471" spans="153:170" x14ac:dyDescent="0.35">
      <c r="EW6471" s="48"/>
      <c r="FB6471" s="5"/>
      <c r="FI6471" s="5"/>
      <c r="FJ6471" s="164"/>
      <c r="FL6471" s="2"/>
      <c r="FN6471" s="2"/>
    </row>
    <row r="6472" spans="153:170" x14ac:dyDescent="0.35">
      <c r="EW6472" s="48"/>
      <c r="FB6472" s="5"/>
      <c r="FI6472" s="5"/>
      <c r="FJ6472" s="164"/>
      <c r="FL6472" s="2"/>
      <c r="FN6472" s="2"/>
    </row>
    <row r="6473" spans="153:170" x14ac:dyDescent="0.35">
      <c r="EW6473" s="48"/>
      <c r="FB6473" s="5"/>
      <c r="FI6473" s="5"/>
      <c r="FJ6473" s="164"/>
      <c r="FL6473" s="2"/>
      <c r="FN6473" s="2"/>
    </row>
    <row r="6474" spans="153:170" x14ac:dyDescent="0.35">
      <c r="EW6474" s="48"/>
      <c r="FB6474" s="5"/>
      <c r="FI6474" s="5"/>
      <c r="FJ6474" s="164"/>
      <c r="FL6474" s="2"/>
      <c r="FN6474" s="2"/>
    </row>
    <row r="6475" spans="153:170" x14ac:dyDescent="0.35">
      <c r="EW6475" s="48"/>
      <c r="FB6475" s="5"/>
      <c r="FI6475" s="5"/>
      <c r="FJ6475" s="164"/>
      <c r="FL6475" s="2"/>
      <c r="FN6475" s="2"/>
    </row>
    <row r="6476" spans="153:170" x14ac:dyDescent="0.35">
      <c r="EW6476" s="48"/>
      <c r="FB6476" s="5"/>
      <c r="FI6476" s="5"/>
      <c r="FJ6476" s="164"/>
      <c r="FL6476" s="2"/>
      <c r="FN6476" s="2"/>
    </row>
    <row r="6477" spans="153:170" x14ac:dyDescent="0.35">
      <c r="EW6477" s="48"/>
      <c r="FB6477" s="5"/>
      <c r="FI6477" s="5"/>
      <c r="FJ6477" s="164"/>
      <c r="FL6477" s="2"/>
      <c r="FN6477" s="2"/>
    </row>
    <row r="6478" spans="153:170" x14ac:dyDescent="0.35">
      <c r="EW6478" s="48"/>
      <c r="FB6478" s="5"/>
      <c r="FI6478" s="5"/>
      <c r="FJ6478" s="164"/>
      <c r="FL6478" s="2"/>
      <c r="FN6478" s="2"/>
    </row>
    <row r="6479" spans="153:170" x14ac:dyDescent="0.35">
      <c r="EW6479" s="48"/>
      <c r="FB6479" s="5"/>
      <c r="FI6479" s="5"/>
      <c r="FJ6479" s="164"/>
      <c r="FL6479" s="2"/>
      <c r="FN6479" s="2"/>
    </row>
    <row r="6480" spans="153:170" x14ac:dyDescent="0.35">
      <c r="EW6480" s="48"/>
      <c r="FB6480" s="5"/>
      <c r="FI6480" s="5"/>
      <c r="FJ6480" s="164"/>
      <c r="FL6480" s="2"/>
      <c r="FN6480" s="2"/>
    </row>
    <row r="6481" spans="153:170" x14ac:dyDescent="0.35">
      <c r="EW6481" s="48"/>
      <c r="FB6481" s="5"/>
      <c r="FI6481" s="5"/>
      <c r="FJ6481" s="164"/>
      <c r="FL6481" s="2"/>
      <c r="FN6481" s="2"/>
    </row>
    <row r="6482" spans="153:170" x14ac:dyDescent="0.35">
      <c r="EW6482" s="48"/>
      <c r="FB6482" s="5"/>
      <c r="FI6482" s="5"/>
      <c r="FJ6482" s="164"/>
      <c r="FL6482" s="2"/>
      <c r="FN6482" s="2"/>
    </row>
    <row r="6483" spans="153:170" x14ac:dyDescent="0.35">
      <c r="EW6483" s="48"/>
      <c r="FB6483" s="5"/>
      <c r="FI6483" s="5"/>
      <c r="FJ6483" s="164"/>
      <c r="FL6483" s="2"/>
      <c r="FN6483" s="2"/>
    </row>
    <row r="6484" spans="153:170" x14ac:dyDescent="0.35">
      <c r="EW6484" s="48"/>
      <c r="FB6484" s="5"/>
      <c r="FI6484" s="5"/>
      <c r="FJ6484" s="164"/>
      <c r="FL6484" s="2"/>
      <c r="FN6484" s="2"/>
    </row>
    <row r="6485" spans="153:170" x14ac:dyDescent="0.35">
      <c r="EW6485" s="48"/>
      <c r="FB6485" s="5"/>
      <c r="FI6485" s="5"/>
      <c r="FJ6485" s="164"/>
      <c r="FL6485" s="2"/>
      <c r="FN6485" s="2"/>
    </row>
    <row r="6486" spans="153:170" x14ac:dyDescent="0.35">
      <c r="EW6486" s="48"/>
      <c r="FB6486" s="5"/>
      <c r="FI6486" s="5"/>
      <c r="FJ6486" s="164"/>
      <c r="FL6486" s="2"/>
      <c r="FN6486" s="2"/>
    </row>
    <row r="6487" spans="153:170" x14ac:dyDescent="0.35">
      <c r="EW6487" s="48"/>
      <c r="FB6487" s="5"/>
      <c r="FI6487" s="5"/>
      <c r="FJ6487" s="164"/>
      <c r="FL6487" s="2"/>
      <c r="FN6487" s="2"/>
    </row>
    <row r="6488" spans="153:170" x14ac:dyDescent="0.35">
      <c r="EW6488" s="48"/>
      <c r="FB6488" s="5"/>
      <c r="FI6488" s="5"/>
      <c r="FJ6488" s="164"/>
      <c r="FL6488" s="2"/>
      <c r="FN6488" s="2"/>
    </row>
    <row r="6489" spans="153:170" x14ac:dyDescent="0.35">
      <c r="EW6489" s="48"/>
      <c r="FB6489" s="5"/>
      <c r="FI6489" s="5"/>
      <c r="FJ6489" s="164"/>
      <c r="FL6489" s="2"/>
      <c r="FN6489" s="2"/>
    </row>
    <row r="6490" spans="153:170" x14ac:dyDescent="0.35">
      <c r="EW6490" s="48"/>
      <c r="FB6490" s="5"/>
      <c r="FI6490" s="5"/>
      <c r="FJ6490" s="164"/>
      <c r="FL6490" s="2"/>
      <c r="FN6490" s="2"/>
    </row>
    <row r="6491" spans="153:170" x14ac:dyDescent="0.35">
      <c r="EW6491" s="48"/>
      <c r="FB6491" s="5"/>
      <c r="FI6491" s="5"/>
      <c r="FJ6491" s="164"/>
      <c r="FL6491" s="2"/>
      <c r="FN6491" s="2"/>
    </row>
    <row r="6492" spans="153:170" x14ac:dyDescent="0.35">
      <c r="EW6492" s="48"/>
      <c r="FB6492" s="5"/>
      <c r="FI6492" s="5"/>
      <c r="FJ6492" s="164"/>
      <c r="FL6492" s="2"/>
      <c r="FN6492" s="2"/>
    </row>
    <row r="6493" spans="153:170" x14ac:dyDescent="0.35">
      <c r="EW6493" s="48"/>
      <c r="FB6493" s="5"/>
      <c r="FI6493" s="5"/>
      <c r="FJ6493" s="164"/>
      <c r="FL6493" s="2"/>
      <c r="FN6493" s="2"/>
    </row>
    <row r="6494" spans="153:170" x14ac:dyDescent="0.35">
      <c r="EW6494" s="48"/>
      <c r="FB6494" s="5"/>
      <c r="FI6494" s="5"/>
      <c r="FJ6494" s="164"/>
      <c r="FL6494" s="2"/>
      <c r="FN6494" s="2"/>
    </row>
    <row r="6495" spans="153:170" x14ac:dyDescent="0.35">
      <c r="EW6495" s="48"/>
      <c r="FB6495" s="5"/>
      <c r="FI6495" s="5"/>
      <c r="FJ6495" s="164"/>
      <c r="FL6495" s="2"/>
      <c r="FN6495" s="2"/>
    </row>
    <row r="6496" spans="153:170" x14ac:dyDescent="0.35">
      <c r="EW6496" s="48"/>
      <c r="FB6496" s="5"/>
      <c r="FI6496" s="5"/>
      <c r="FJ6496" s="164"/>
      <c r="FL6496" s="2"/>
      <c r="FN6496" s="2"/>
    </row>
    <row r="6497" spans="153:170" x14ac:dyDescent="0.35">
      <c r="EW6497" s="48"/>
      <c r="FB6497" s="5"/>
      <c r="FI6497" s="5"/>
      <c r="FJ6497" s="164"/>
      <c r="FL6497" s="2"/>
      <c r="FN6497" s="2"/>
    </row>
    <row r="6498" spans="153:170" x14ac:dyDescent="0.35">
      <c r="EW6498" s="48"/>
      <c r="FB6498" s="5"/>
      <c r="FI6498" s="5"/>
      <c r="FJ6498" s="164"/>
      <c r="FL6498" s="2"/>
      <c r="FN6498" s="2"/>
    </row>
    <row r="6499" spans="153:170" x14ac:dyDescent="0.35">
      <c r="EW6499" s="48"/>
      <c r="FB6499" s="5"/>
      <c r="FI6499" s="5"/>
      <c r="FJ6499" s="164"/>
      <c r="FL6499" s="2"/>
      <c r="FN6499" s="2"/>
    </row>
    <row r="6500" spans="153:170" x14ac:dyDescent="0.35">
      <c r="EW6500" s="48"/>
      <c r="FB6500" s="5"/>
      <c r="FI6500" s="5"/>
      <c r="FJ6500" s="164"/>
      <c r="FL6500" s="2"/>
      <c r="FN6500" s="2"/>
    </row>
    <row r="6501" spans="153:170" x14ac:dyDescent="0.35">
      <c r="EW6501" s="48"/>
      <c r="FB6501" s="5"/>
      <c r="FI6501" s="5"/>
      <c r="FJ6501" s="164"/>
      <c r="FL6501" s="2"/>
      <c r="FN6501" s="2"/>
    </row>
    <row r="6502" spans="153:170" x14ac:dyDescent="0.35">
      <c r="EW6502" s="48"/>
      <c r="FB6502" s="5"/>
      <c r="FI6502" s="5"/>
      <c r="FJ6502" s="164"/>
      <c r="FL6502" s="2"/>
      <c r="FN6502" s="2"/>
    </row>
    <row r="6503" spans="153:170" x14ac:dyDescent="0.35">
      <c r="EW6503" s="48"/>
      <c r="FB6503" s="5"/>
      <c r="FI6503" s="5"/>
      <c r="FJ6503" s="164"/>
      <c r="FL6503" s="2"/>
      <c r="FN6503" s="2"/>
    </row>
    <row r="6504" spans="153:170" x14ac:dyDescent="0.35">
      <c r="EW6504" s="48"/>
      <c r="FB6504" s="5"/>
      <c r="FI6504" s="5"/>
      <c r="FJ6504" s="164"/>
      <c r="FL6504" s="2"/>
      <c r="FN6504" s="2"/>
    </row>
    <row r="6505" spans="153:170" x14ac:dyDescent="0.35">
      <c r="EW6505" s="48"/>
      <c r="FB6505" s="5"/>
      <c r="FI6505" s="5"/>
      <c r="FJ6505" s="164"/>
      <c r="FL6505" s="2"/>
      <c r="FN6505" s="2"/>
    </row>
    <row r="6506" spans="153:170" x14ac:dyDescent="0.35">
      <c r="EW6506" s="48"/>
      <c r="FB6506" s="5"/>
      <c r="FI6506" s="5"/>
      <c r="FJ6506" s="164"/>
      <c r="FL6506" s="2"/>
      <c r="FN6506" s="2"/>
    </row>
    <row r="6507" spans="153:170" x14ac:dyDescent="0.35">
      <c r="EW6507" s="48"/>
      <c r="FB6507" s="5"/>
      <c r="FI6507" s="5"/>
      <c r="FJ6507" s="164"/>
      <c r="FL6507" s="2"/>
      <c r="FN6507" s="2"/>
    </row>
    <row r="6508" spans="153:170" x14ac:dyDescent="0.35">
      <c r="EW6508" s="48"/>
      <c r="FB6508" s="5"/>
      <c r="FI6508" s="5"/>
      <c r="FJ6508" s="164"/>
      <c r="FL6508" s="2"/>
      <c r="FN6508" s="2"/>
    </row>
    <row r="6509" spans="153:170" x14ac:dyDescent="0.35">
      <c r="EW6509" s="48"/>
      <c r="FB6509" s="5"/>
      <c r="FI6509" s="5"/>
      <c r="FJ6509" s="164"/>
      <c r="FL6509" s="2"/>
      <c r="FN6509" s="2"/>
    </row>
    <row r="6510" spans="153:170" x14ac:dyDescent="0.35">
      <c r="EW6510" s="48"/>
      <c r="FB6510" s="5"/>
      <c r="FI6510" s="5"/>
      <c r="FJ6510" s="164"/>
      <c r="FL6510" s="2"/>
      <c r="FN6510" s="2"/>
    </row>
    <row r="6511" spans="153:170" x14ac:dyDescent="0.35">
      <c r="EW6511" s="48"/>
      <c r="FB6511" s="5"/>
      <c r="FI6511" s="5"/>
      <c r="FJ6511" s="164"/>
      <c r="FL6511" s="2"/>
      <c r="FN6511" s="2"/>
    </row>
    <row r="6512" spans="153:170" x14ac:dyDescent="0.35">
      <c r="EW6512" s="48"/>
      <c r="FB6512" s="5"/>
      <c r="FI6512" s="5"/>
      <c r="FJ6512" s="164"/>
      <c r="FL6512" s="2"/>
      <c r="FN6512" s="2"/>
    </row>
    <row r="6513" spans="153:170" x14ac:dyDescent="0.35">
      <c r="EW6513" s="48"/>
      <c r="FB6513" s="5"/>
      <c r="FI6513" s="5"/>
      <c r="FJ6513" s="164"/>
      <c r="FL6513" s="2"/>
      <c r="FN6513" s="2"/>
    </row>
    <row r="6514" spans="153:170" x14ac:dyDescent="0.35">
      <c r="EW6514" s="48"/>
      <c r="FB6514" s="5"/>
      <c r="FI6514" s="5"/>
      <c r="FJ6514" s="164"/>
      <c r="FL6514" s="2"/>
      <c r="FN6514" s="2"/>
    </row>
    <row r="6515" spans="153:170" x14ac:dyDescent="0.35">
      <c r="EW6515" s="48"/>
      <c r="FB6515" s="5"/>
      <c r="FI6515" s="5"/>
      <c r="FJ6515" s="164"/>
      <c r="FL6515" s="2"/>
      <c r="FN6515" s="2"/>
    </row>
    <row r="6516" spans="153:170" x14ac:dyDescent="0.35">
      <c r="EW6516" s="48"/>
      <c r="FB6516" s="5"/>
      <c r="FI6516" s="5"/>
      <c r="FJ6516" s="164"/>
      <c r="FL6516" s="2"/>
      <c r="FN6516" s="2"/>
    </row>
    <row r="6517" spans="153:170" x14ac:dyDescent="0.35">
      <c r="EW6517" s="48"/>
      <c r="FB6517" s="5"/>
      <c r="FI6517" s="5"/>
      <c r="FJ6517" s="164"/>
      <c r="FL6517" s="2"/>
      <c r="FN6517" s="2"/>
    </row>
    <row r="6518" spans="153:170" x14ac:dyDescent="0.35">
      <c r="EW6518" s="48"/>
      <c r="FB6518" s="5"/>
      <c r="FI6518" s="5"/>
      <c r="FJ6518" s="164"/>
      <c r="FL6518" s="2"/>
      <c r="FN6518" s="2"/>
    </row>
    <row r="6519" spans="153:170" x14ac:dyDescent="0.35">
      <c r="EW6519" s="48"/>
      <c r="FB6519" s="5"/>
      <c r="FI6519" s="5"/>
      <c r="FJ6519" s="164"/>
      <c r="FL6519" s="2"/>
      <c r="FN6519" s="2"/>
    </row>
    <row r="6520" spans="153:170" x14ac:dyDescent="0.35">
      <c r="EW6520" s="48"/>
      <c r="FB6520" s="5"/>
      <c r="FI6520" s="5"/>
      <c r="FJ6520" s="164"/>
      <c r="FL6520" s="2"/>
      <c r="FN6520" s="2"/>
    </row>
    <row r="6521" spans="153:170" x14ac:dyDescent="0.35">
      <c r="EW6521" s="48"/>
      <c r="FB6521" s="5"/>
      <c r="FI6521" s="5"/>
      <c r="FJ6521" s="164"/>
      <c r="FL6521" s="2"/>
      <c r="FN6521" s="2"/>
    </row>
    <row r="6522" spans="153:170" x14ac:dyDescent="0.35">
      <c r="EW6522" s="48"/>
      <c r="FB6522" s="5"/>
      <c r="FI6522" s="5"/>
      <c r="FJ6522" s="164"/>
      <c r="FL6522" s="2"/>
      <c r="FN6522" s="2"/>
    </row>
    <row r="6523" spans="153:170" x14ac:dyDescent="0.35">
      <c r="EW6523" s="48"/>
      <c r="FB6523" s="5"/>
      <c r="FI6523" s="5"/>
      <c r="FJ6523" s="164"/>
      <c r="FL6523" s="2"/>
      <c r="FN6523" s="2"/>
    </row>
    <row r="6524" spans="153:170" x14ac:dyDescent="0.35">
      <c r="EW6524" s="48"/>
      <c r="FB6524" s="5"/>
      <c r="FI6524" s="5"/>
      <c r="FJ6524" s="164"/>
      <c r="FL6524" s="2"/>
      <c r="FN6524" s="2"/>
    </row>
    <row r="6525" spans="153:170" x14ac:dyDescent="0.35">
      <c r="EW6525" s="48"/>
      <c r="FB6525" s="5"/>
      <c r="FI6525" s="5"/>
      <c r="FJ6525" s="164"/>
      <c r="FL6525" s="2"/>
      <c r="FN6525" s="2"/>
    </row>
    <row r="6526" spans="153:170" x14ac:dyDescent="0.35">
      <c r="EW6526" s="48"/>
      <c r="FB6526" s="5"/>
      <c r="FI6526" s="5"/>
      <c r="FJ6526" s="164"/>
      <c r="FL6526" s="2"/>
      <c r="FN6526" s="2"/>
    </row>
    <row r="6527" spans="153:170" x14ac:dyDescent="0.35">
      <c r="EW6527" s="48"/>
      <c r="FB6527" s="5"/>
      <c r="FI6527" s="5"/>
      <c r="FJ6527" s="164"/>
      <c r="FL6527" s="2"/>
      <c r="FN6527" s="2"/>
    </row>
    <row r="6528" spans="153:170" x14ac:dyDescent="0.35">
      <c r="EW6528" s="48"/>
      <c r="FB6528" s="5"/>
      <c r="FI6528" s="5"/>
      <c r="FJ6528" s="164"/>
      <c r="FL6528" s="2"/>
      <c r="FN6528" s="2"/>
    </row>
    <row r="6529" spans="153:170" x14ac:dyDescent="0.35">
      <c r="EW6529" s="48"/>
      <c r="FB6529" s="5"/>
      <c r="FI6529" s="5"/>
      <c r="FJ6529" s="164"/>
      <c r="FL6529" s="2"/>
      <c r="FN6529" s="2"/>
    </row>
    <row r="6530" spans="153:170" x14ac:dyDescent="0.35">
      <c r="EW6530" s="48"/>
      <c r="FB6530" s="5"/>
      <c r="FI6530" s="5"/>
      <c r="FJ6530" s="164"/>
      <c r="FL6530" s="2"/>
      <c r="FN6530" s="2"/>
    </row>
    <row r="6531" spans="153:170" x14ac:dyDescent="0.35">
      <c r="EW6531" s="48"/>
      <c r="FB6531" s="5"/>
      <c r="FI6531" s="5"/>
      <c r="FJ6531" s="164"/>
      <c r="FL6531" s="2"/>
      <c r="FN6531" s="2"/>
    </row>
    <row r="6532" spans="153:170" x14ac:dyDescent="0.35">
      <c r="EW6532" s="48"/>
      <c r="FB6532" s="5"/>
      <c r="FI6532" s="5"/>
      <c r="FJ6532" s="164"/>
      <c r="FL6532" s="2"/>
      <c r="FN6532" s="2"/>
    </row>
    <row r="6533" spans="153:170" x14ac:dyDescent="0.35">
      <c r="EW6533" s="48"/>
      <c r="FB6533" s="5"/>
      <c r="FI6533" s="5"/>
      <c r="FJ6533" s="164"/>
      <c r="FL6533" s="2"/>
      <c r="FN6533" s="2"/>
    </row>
    <row r="6534" spans="153:170" x14ac:dyDescent="0.35">
      <c r="EW6534" s="48"/>
      <c r="FB6534" s="5"/>
      <c r="FI6534" s="5"/>
      <c r="FJ6534" s="164"/>
      <c r="FL6534" s="2"/>
      <c r="FN6534" s="2"/>
    </row>
    <row r="6535" spans="153:170" x14ac:dyDescent="0.35">
      <c r="EW6535" s="48"/>
      <c r="FB6535" s="5"/>
      <c r="FI6535" s="5"/>
      <c r="FJ6535" s="164"/>
      <c r="FL6535" s="2"/>
      <c r="FN6535" s="2"/>
    </row>
    <row r="6536" spans="153:170" x14ac:dyDescent="0.35">
      <c r="EW6536" s="48"/>
      <c r="FB6536" s="5"/>
      <c r="FI6536" s="5"/>
      <c r="FJ6536" s="164"/>
      <c r="FL6536" s="2"/>
      <c r="FN6536" s="2"/>
    </row>
    <row r="6537" spans="153:170" x14ac:dyDescent="0.35">
      <c r="EW6537" s="48"/>
      <c r="FB6537" s="5"/>
      <c r="FI6537" s="5"/>
      <c r="FJ6537" s="164"/>
      <c r="FL6537" s="2"/>
      <c r="FN6537" s="2"/>
    </row>
    <row r="6538" spans="153:170" x14ac:dyDescent="0.35">
      <c r="EW6538" s="48"/>
      <c r="FB6538" s="5"/>
      <c r="FI6538" s="5"/>
      <c r="FJ6538" s="164"/>
      <c r="FL6538" s="2"/>
      <c r="FN6538" s="2"/>
    </row>
    <row r="6539" spans="153:170" x14ac:dyDescent="0.35">
      <c r="EW6539" s="48"/>
      <c r="FB6539" s="5"/>
      <c r="FI6539" s="5"/>
      <c r="FJ6539" s="164"/>
      <c r="FL6539" s="2"/>
      <c r="FN6539" s="2"/>
    </row>
    <row r="6540" spans="153:170" x14ac:dyDescent="0.35">
      <c r="EW6540" s="48"/>
      <c r="FB6540" s="5"/>
      <c r="FI6540" s="5"/>
      <c r="FJ6540" s="164"/>
      <c r="FL6540" s="2"/>
      <c r="FN6540" s="2"/>
    </row>
    <row r="6541" spans="153:170" x14ac:dyDescent="0.35">
      <c r="EW6541" s="48"/>
      <c r="FB6541" s="5"/>
      <c r="FI6541" s="5"/>
      <c r="FJ6541" s="164"/>
      <c r="FL6541" s="2"/>
      <c r="FN6541" s="2"/>
    </row>
    <row r="6542" spans="153:170" x14ac:dyDescent="0.35">
      <c r="EW6542" s="48"/>
      <c r="FB6542" s="5"/>
      <c r="FI6542" s="5"/>
      <c r="FJ6542" s="164"/>
      <c r="FL6542" s="2"/>
      <c r="FN6542" s="2"/>
    </row>
    <row r="6543" spans="153:170" x14ac:dyDescent="0.35">
      <c r="EW6543" s="48"/>
      <c r="FB6543" s="5"/>
      <c r="FI6543" s="5"/>
      <c r="FJ6543" s="164"/>
      <c r="FL6543" s="2"/>
      <c r="FN6543" s="2"/>
    </row>
    <row r="6544" spans="153:170" x14ac:dyDescent="0.35">
      <c r="EW6544" s="48"/>
      <c r="FB6544" s="5"/>
      <c r="FI6544" s="5"/>
      <c r="FJ6544" s="164"/>
      <c r="FL6544" s="2"/>
      <c r="FN6544" s="2"/>
    </row>
    <row r="6545" spans="153:170" x14ac:dyDescent="0.35">
      <c r="EW6545" s="48"/>
      <c r="FB6545" s="5"/>
      <c r="FI6545" s="5"/>
      <c r="FJ6545" s="164"/>
      <c r="FL6545" s="2"/>
      <c r="FN6545" s="2"/>
    </row>
    <row r="6546" spans="153:170" x14ac:dyDescent="0.35">
      <c r="EW6546" s="48"/>
      <c r="FB6546" s="5"/>
      <c r="FI6546" s="5"/>
      <c r="FJ6546" s="164"/>
      <c r="FL6546" s="2"/>
      <c r="FN6546" s="2"/>
    </row>
    <row r="6547" spans="153:170" x14ac:dyDescent="0.35">
      <c r="EW6547" s="48"/>
      <c r="FB6547" s="5"/>
      <c r="FI6547" s="5"/>
      <c r="FJ6547" s="164"/>
      <c r="FL6547" s="2"/>
      <c r="FN6547" s="2"/>
    </row>
    <row r="6548" spans="153:170" x14ac:dyDescent="0.35">
      <c r="EW6548" s="48"/>
      <c r="FB6548" s="5"/>
      <c r="FI6548" s="5"/>
      <c r="FJ6548" s="164"/>
      <c r="FL6548" s="2"/>
      <c r="FN6548" s="2"/>
    </row>
    <row r="6549" spans="153:170" x14ac:dyDescent="0.35">
      <c r="EW6549" s="48"/>
      <c r="FB6549" s="5"/>
      <c r="FI6549" s="5"/>
      <c r="FJ6549" s="164"/>
      <c r="FL6549" s="2"/>
      <c r="FN6549" s="2"/>
    </row>
    <row r="6550" spans="153:170" x14ac:dyDescent="0.35">
      <c r="EW6550" s="48"/>
      <c r="FB6550" s="5"/>
      <c r="FI6550" s="5"/>
      <c r="FJ6550" s="164"/>
      <c r="FL6550" s="2"/>
      <c r="FN6550" s="2"/>
    </row>
    <row r="6551" spans="153:170" x14ac:dyDescent="0.35">
      <c r="EW6551" s="48"/>
      <c r="FB6551" s="5"/>
      <c r="FI6551" s="5"/>
      <c r="FJ6551" s="164"/>
      <c r="FL6551" s="2"/>
      <c r="FN6551" s="2"/>
    </row>
    <row r="6552" spans="153:170" x14ac:dyDescent="0.35">
      <c r="EW6552" s="48"/>
      <c r="FB6552" s="5"/>
      <c r="FI6552" s="5"/>
      <c r="FJ6552" s="164"/>
      <c r="FL6552" s="2"/>
      <c r="FN6552" s="2"/>
    </row>
    <row r="6553" spans="153:170" x14ac:dyDescent="0.35">
      <c r="EW6553" s="48"/>
      <c r="FB6553" s="5"/>
      <c r="FI6553" s="5"/>
      <c r="FJ6553" s="164"/>
      <c r="FL6553" s="2"/>
      <c r="FN6553" s="2"/>
    </row>
    <row r="6554" spans="153:170" x14ac:dyDescent="0.35">
      <c r="EW6554" s="48"/>
      <c r="FB6554" s="5"/>
      <c r="FI6554" s="5"/>
      <c r="FJ6554" s="164"/>
      <c r="FL6554" s="2"/>
      <c r="FN6554" s="2"/>
    </row>
    <row r="6555" spans="153:170" x14ac:dyDescent="0.35">
      <c r="EW6555" s="48"/>
      <c r="FB6555" s="5"/>
      <c r="FI6555" s="5"/>
      <c r="FJ6555" s="164"/>
      <c r="FL6555" s="2"/>
      <c r="FN6555" s="2"/>
    </row>
    <row r="6556" spans="153:170" x14ac:dyDescent="0.35">
      <c r="EW6556" s="48"/>
      <c r="FB6556" s="5"/>
      <c r="FI6556" s="5"/>
      <c r="FJ6556" s="164"/>
      <c r="FL6556" s="2"/>
      <c r="FN6556" s="2"/>
    </row>
    <row r="6557" spans="153:170" x14ac:dyDescent="0.35">
      <c r="EW6557" s="48"/>
      <c r="FB6557" s="5"/>
      <c r="FI6557" s="5"/>
      <c r="FJ6557" s="164"/>
      <c r="FL6557" s="2"/>
      <c r="FN6557" s="2"/>
    </row>
    <row r="6558" spans="153:170" x14ac:dyDescent="0.35">
      <c r="EW6558" s="48"/>
      <c r="FB6558" s="5"/>
      <c r="FI6558" s="5"/>
      <c r="FJ6558" s="164"/>
      <c r="FL6558" s="2"/>
      <c r="FN6558" s="2"/>
    </row>
    <row r="6559" spans="153:170" x14ac:dyDescent="0.35">
      <c r="EW6559" s="48"/>
      <c r="FB6559" s="5"/>
      <c r="FI6559" s="5"/>
      <c r="FJ6559" s="164"/>
      <c r="FL6559" s="2"/>
      <c r="FN6559" s="2"/>
    </row>
    <row r="6560" spans="153:170" x14ac:dyDescent="0.35">
      <c r="EW6560" s="48"/>
      <c r="FB6560" s="5"/>
      <c r="FI6560" s="5"/>
      <c r="FJ6560" s="164"/>
      <c r="FL6560" s="2"/>
      <c r="FN6560" s="2"/>
    </row>
    <row r="6561" spans="153:170" x14ac:dyDescent="0.35">
      <c r="EW6561" s="48"/>
      <c r="FB6561" s="5"/>
      <c r="FI6561" s="5"/>
      <c r="FJ6561" s="164"/>
      <c r="FL6561" s="2"/>
      <c r="FN6561" s="2"/>
    </row>
    <row r="6562" spans="153:170" x14ac:dyDescent="0.35">
      <c r="EW6562" s="48"/>
      <c r="FB6562" s="5"/>
      <c r="FI6562" s="5"/>
      <c r="FJ6562" s="164"/>
      <c r="FL6562" s="2"/>
      <c r="FN6562" s="2"/>
    </row>
    <row r="6563" spans="153:170" x14ac:dyDescent="0.35">
      <c r="EW6563" s="48"/>
      <c r="FB6563" s="5"/>
      <c r="FI6563" s="5"/>
      <c r="FJ6563" s="164"/>
      <c r="FL6563" s="2"/>
      <c r="FN6563" s="2"/>
    </row>
    <row r="6564" spans="153:170" x14ac:dyDescent="0.35">
      <c r="EW6564" s="48"/>
      <c r="FB6564" s="5"/>
      <c r="FI6564" s="5"/>
      <c r="FJ6564" s="164"/>
      <c r="FL6564" s="2"/>
      <c r="FN6564" s="2"/>
    </row>
    <row r="6565" spans="153:170" x14ac:dyDescent="0.35">
      <c r="EW6565" s="48"/>
      <c r="FB6565" s="5"/>
      <c r="FI6565" s="5"/>
      <c r="FJ6565" s="164"/>
      <c r="FL6565" s="2"/>
      <c r="FN6565" s="2"/>
    </row>
    <row r="6566" spans="153:170" x14ac:dyDescent="0.35">
      <c r="EW6566" s="48"/>
      <c r="FB6566" s="5"/>
      <c r="FI6566" s="5"/>
      <c r="FJ6566" s="164"/>
      <c r="FL6566" s="2"/>
      <c r="FN6566" s="2"/>
    </row>
    <row r="6567" spans="153:170" x14ac:dyDescent="0.35">
      <c r="EW6567" s="48"/>
      <c r="FB6567" s="5"/>
      <c r="FI6567" s="5"/>
      <c r="FJ6567" s="164"/>
      <c r="FL6567" s="2"/>
      <c r="FN6567" s="2"/>
    </row>
    <row r="6568" spans="153:170" x14ac:dyDescent="0.35">
      <c r="EW6568" s="48"/>
      <c r="FB6568" s="5"/>
      <c r="FI6568" s="5"/>
      <c r="FJ6568" s="164"/>
      <c r="FL6568" s="2"/>
      <c r="FN6568" s="2"/>
    </row>
    <row r="6569" spans="153:170" x14ac:dyDescent="0.35">
      <c r="EW6569" s="48"/>
      <c r="FB6569" s="5"/>
      <c r="FI6569" s="5"/>
      <c r="FJ6569" s="164"/>
      <c r="FL6569" s="2"/>
      <c r="FN6569" s="2"/>
    </row>
    <row r="6570" spans="153:170" x14ac:dyDescent="0.35">
      <c r="EW6570" s="48"/>
      <c r="FB6570" s="5"/>
      <c r="FI6570" s="5"/>
      <c r="FJ6570" s="164"/>
      <c r="FL6570" s="2"/>
      <c r="FN6570" s="2"/>
    </row>
    <row r="6571" spans="153:170" x14ac:dyDescent="0.35">
      <c r="EW6571" s="48"/>
      <c r="FB6571" s="5"/>
      <c r="FI6571" s="5"/>
      <c r="FJ6571" s="164"/>
      <c r="FL6571" s="2"/>
      <c r="FN6571" s="2"/>
    </row>
    <row r="6572" spans="153:170" x14ac:dyDescent="0.35">
      <c r="EW6572" s="48"/>
      <c r="FB6572" s="5"/>
      <c r="FI6572" s="5"/>
      <c r="FJ6572" s="164"/>
      <c r="FL6572" s="2"/>
      <c r="FN6572" s="2"/>
    </row>
    <row r="6573" spans="153:170" x14ac:dyDescent="0.35">
      <c r="EW6573" s="48"/>
      <c r="FB6573" s="5"/>
      <c r="FI6573" s="5"/>
      <c r="FJ6573" s="164"/>
      <c r="FL6573" s="2"/>
      <c r="FN6573" s="2"/>
    </row>
    <row r="6574" spans="153:170" x14ac:dyDescent="0.35">
      <c r="EW6574" s="48"/>
      <c r="FB6574" s="5"/>
      <c r="FI6574" s="5"/>
      <c r="FJ6574" s="164"/>
      <c r="FL6574" s="2"/>
      <c r="FN6574" s="2"/>
    </row>
    <row r="6575" spans="153:170" x14ac:dyDescent="0.35">
      <c r="EW6575" s="48"/>
      <c r="FB6575" s="5"/>
      <c r="FI6575" s="5"/>
      <c r="FJ6575" s="164"/>
      <c r="FL6575" s="2"/>
      <c r="FN6575" s="2"/>
    </row>
    <row r="6576" spans="153:170" x14ac:dyDescent="0.35">
      <c r="EW6576" s="48"/>
      <c r="FB6576" s="5"/>
      <c r="FI6576" s="5"/>
      <c r="FJ6576" s="164"/>
      <c r="FL6576" s="2"/>
      <c r="FN6576" s="2"/>
    </row>
    <row r="6577" spans="153:170" x14ac:dyDescent="0.35">
      <c r="EW6577" s="48"/>
      <c r="FB6577" s="5"/>
      <c r="FI6577" s="5"/>
      <c r="FJ6577" s="164"/>
      <c r="FL6577" s="2"/>
      <c r="FN6577" s="2"/>
    </row>
    <row r="6578" spans="153:170" x14ac:dyDescent="0.35">
      <c r="EW6578" s="48"/>
      <c r="FB6578" s="5"/>
      <c r="FI6578" s="5"/>
      <c r="FJ6578" s="164"/>
      <c r="FL6578" s="2"/>
      <c r="FN6578" s="2"/>
    </row>
    <row r="6579" spans="153:170" x14ac:dyDescent="0.35">
      <c r="EW6579" s="48"/>
      <c r="FB6579" s="5"/>
      <c r="FI6579" s="5"/>
      <c r="FJ6579" s="164"/>
      <c r="FL6579" s="2"/>
      <c r="FN6579" s="2"/>
    </row>
    <row r="6580" spans="153:170" x14ac:dyDescent="0.35">
      <c r="EW6580" s="48"/>
      <c r="FB6580" s="5"/>
      <c r="FI6580" s="5"/>
      <c r="FJ6580" s="164"/>
      <c r="FL6580" s="2"/>
      <c r="FN6580" s="2"/>
    </row>
    <row r="6581" spans="153:170" x14ac:dyDescent="0.35">
      <c r="EW6581" s="48"/>
      <c r="FB6581" s="5"/>
      <c r="FI6581" s="5"/>
      <c r="FJ6581" s="164"/>
      <c r="FL6581" s="2"/>
      <c r="FN6581" s="2"/>
    </row>
    <row r="6582" spans="153:170" x14ac:dyDescent="0.35">
      <c r="EW6582" s="48"/>
      <c r="FB6582" s="5"/>
      <c r="FI6582" s="5"/>
      <c r="FJ6582" s="164"/>
      <c r="FL6582" s="2"/>
      <c r="FN6582" s="2"/>
    </row>
    <row r="6583" spans="153:170" x14ac:dyDescent="0.35">
      <c r="EW6583" s="48"/>
      <c r="FB6583" s="5"/>
      <c r="FI6583" s="5"/>
      <c r="FJ6583" s="164"/>
      <c r="FL6583" s="2"/>
      <c r="FN6583" s="2"/>
    </row>
    <row r="6584" spans="153:170" x14ac:dyDescent="0.35">
      <c r="EW6584" s="48"/>
      <c r="FB6584" s="5"/>
      <c r="FI6584" s="5"/>
      <c r="FJ6584" s="164"/>
      <c r="FL6584" s="2"/>
      <c r="FN6584" s="2"/>
    </row>
    <row r="6585" spans="153:170" x14ac:dyDescent="0.35">
      <c r="EW6585" s="48"/>
      <c r="FB6585" s="5"/>
      <c r="FI6585" s="5"/>
      <c r="FJ6585" s="164"/>
      <c r="FL6585" s="2"/>
      <c r="FN6585" s="2"/>
    </row>
    <row r="6586" spans="153:170" x14ac:dyDescent="0.35">
      <c r="EW6586" s="48"/>
      <c r="FB6586" s="5"/>
      <c r="FI6586" s="5"/>
      <c r="FJ6586" s="164"/>
      <c r="FL6586" s="2"/>
      <c r="FN6586" s="2"/>
    </row>
    <row r="6587" spans="153:170" x14ac:dyDescent="0.35">
      <c r="EW6587" s="48"/>
      <c r="FB6587" s="5"/>
      <c r="FI6587" s="5"/>
      <c r="FJ6587" s="164"/>
      <c r="FL6587" s="2"/>
      <c r="FN6587" s="2"/>
    </row>
    <row r="6588" spans="153:170" x14ac:dyDescent="0.35">
      <c r="EW6588" s="48"/>
      <c r="FB6588" s="5"/>
      <c r="FI6588" s="5"/>
      <c r="FJ6588" s="164"/>
      <c r="FL6588" s="2"/>
      <c r="FN6588" s="2"/>
    </row>
    <row r="6589" spans="153:170" x14ac:dyDescent="0.35">
      <c r="EW6589" s="48"/>
      <c r="FB6589" s="5"/>
      <c r="FI6589" s="5"/>
      <c r="FJ6589" s="164"/>
      <c r="FL6589" s="2"/>
      <c r="FN6589" s="2"/>
    </row>
    <row r="6590" spans="153:170" x14ac:dyDescent="0.35">
      <c r="EW6590" s="48"/>
      <c r="FB6590" s="5"/>
      <c r="FI6590" s="5"/>
      <c r="FJ6590" s="164"/>
      <c r="FL6590" s="2"/>
      <c r="FN6590" s="2"/>
    </row>
    <row r="6591" spans="153:170" x14ac:dyDescent="0.35">
      <c r="EW6591" s="48"/>
      <c r="FB6591" s="5"/>
      <c r="FI6591" s="5"/>
      <c r="FJ6591" s="164"/>
      <c r="FL6591" s="2"/>
      <c r="FN6591" s="2"/>
    </row>
    <row r="6592" spans="153:170" x14ac:dyDescent="0.35">
      <c r="EW6592" s="48"/>
      <c r="FB6592" s="5"/>
      <c r="FI6592" s="5"/>
      <c r="FJ6592" s="164"/>
      <c r="FL6592" s="2"/>
      <c r="FN6592" s="2"/>
    </row>
    <row r="6593" spans="153:170" x14ac:dyDescent="0.35">
      <c r="EW6593" s="48"/>
      <c r="FB6593" s="5"/>
      <c r="FI6593" s="5"/>
      <c r="FJ6593" s="164"/>
      <c r="FL6593" s="2"/>
      <c r="FN6593" s="2"/>
    </row>
    <row r="6594" spans="153:170" x14ac:dyDescent="0.35">
      <c r="EW6594" s="48"/>
      <c r="FB6594" s="5"/>
      <c r="FI6594" s="5"/>
      <c r="FJ6594" s="164"/>
      <c r="FL6594" s="2"/>
      <c r="FN6594" s="2"/>
    </row>
    <row r="6595" spans="153:170" x14ac:dyDescent="0.35">
      <c r="EW6595" s="48"/>
      <c r="FB6595" s="5"/>
      <c r="FI6595" s="5"/>
      <c r="FJ6595" s="164"/>
      <c r="FL6595" s="2"/>
      <c r="FN6595" s="2"/>
    </row>
    <row r="6596" spans="153:170" x14ac:dyDescent="0.35">
      <c r="EW6596" s="48"/>
      <c r="FB6596" s="5"/>
      <c r="FI6596" s="5"/>
      <c r="FJ6596" s="164"/>
      <c r="FL6596" s="2"/>
      <c r="FN6596" s="2"/>
    </row>
    <row r="6597" spans="153:170" x14ac:dyDescent="0.35">
      <c r="EW6597" s="48"/>
      <c r="FB6597" s="5"/>
      <c r="FI6597" s="5"/>
      <c r="FJ6597" s="164"/>
      <c r="FL6597" s="2"/>
      <c r="FN6597" s="2"/>
    </row>
    <row r="6598" spans="153:170" x14ac:dyDescent="0.35">
      <c r="EW6598" s="48"/>
      <c r="FB6598" s="5"/>
      <c r="FI6598" s="5"/>
      <c r="FJ6598" s="164"/>
      <c r="FL6598" s="2"/>
      <c r="FN6598" s="2"/>
    </row>
    <row r="6599" spans="153:170" x14ac:dyDescent="0.35">
      <c r="EW6599" s="48"/>
      <c r="FB6599" s="5"/>
      <c r="FI6599" s="5"/>
      <c r="FJ6599" s="164"/>
      <c r="FL6599" s="2"/>
      <c r="FN6599" s="2"/>
    </row>
    <row r="6600" spans="153:170" x14ac:dyDescent="0.35">
      <c r="EW6600" s="48"/>
      <c r="FB6600" s="5"/>
      <c r="FI6600" s="5"/>
      <c r="FJ6600" s="164"/>
      <c r="FL6600" s="2"/>
      <c r="FN6600" s="2"/>
    </row>
    <row r="6601" spans="153:170" x14ac:dyDescent="0.35">
      <c r="EW6601" s="48"/>
      <c r="FB6601" s="5"/>
      <c r="FI6601" s="5"/>
      <c r="FJ6601" s="164"/>
      <c r="FL6601" s="2"/>
      <c r="FN6601" s="2"/>
    </row>
    <row r="6602" spans="153:170" x14ac:dyDescent="0.35">
      <c r="EW6602" s="48"/>
      <c r="FB6602" s="5"/>
      <c r="FI6602" s="5"/>
      <c r="FJ6602" s="164"/>
      <c r="FL6602" s="2"/>
      <c r="FN6602" s="2"/>
    </row>
    <row r="6603" spans="153:170" x14ac:dyDescent="0.35">
      <c r="EW6603" s="48"/>
      <c r="FB6603" s="5"/>
      <c r="FI6603" s="5"/>
      <c r="FJ6603" s="164"/>
      <c r="FL6603" s="2"/>
      <c r="FN6603" s="2"/>
    </row>
    <row r="6604" spans="153:170" x14ac:dyDescent="0.35">
      <c r="EW6604" s="48"/>
      <c r="FB6604" s="5"/>
      <c r="FI6604" s="5"/>
      <c r="FJ6604" s="164"/>
      <c r="FL6604" s="2"/>
      <c r="FN6604" s="2"/>
    </row>
    <row r="6605" spans="153:170" x14ac:dyDescent="0.35">
      <c r="EW6605" s="48"/>
      <c r="FB6605" s="5"/>
      <c r="FI6605" s="5"/>
      <c r="FJ6605" s="164"/>
      <c r="FL6605" s="2"/>
      <c r="FN6605" s="2"/>
    </row>
    <row r="6606" spans="153:170" x14ac:dyDescent="0.35">
      <c r="EW6606" s="48"/>
      <c r="FB6606" s="5"/>
      <c r="FI6606" s="5"/>
      <c r="FJ6606" s="164"/>
      <c r="FL6606" s="2"/>
      <c r="FN6606" s="2"/>
    </row>
    <row r="6607" spans="153:170" x14ac:dyDescent="0.35">
      <c r="EW6607" s="48"/>
      <c r="FB6607" s="5"/>
      <c r="FI6607" s="5"/>
      <c r="FJ6607" s="164"/>
      <c r="FL6607" s="2"/>
      <c r="FN6607" s="2"/>
    </row>
    <row r="6608" spans="153:170" x14ac:dyDescent="0.35">
      <c r="EW6608" s="48"/>
      <c r="FB6608" s="5"/>
      <c r="FI6608" s="5"/>
      <c r="FJ6608" s="164"/>
      <c r="FL6608" s="2"/>
      <c r="FN6608" s="2"/>
    </row>
    <row r="6609" spans="153:170" x14ac:dyDescent="0.35">
      <c r="EW6609" s="48"/>
      <c r="FB6609" s="5"/>
      <c r="FI6609" s="5"/>
      <c r="FJ6609" s="164"/>
      <c r="FL6609" s="2"/>
      <c r="FN6609" s="2"/>
    </row>
    <row r="6610" spans="153:170" x14ac:dyDescent="0.35">
      <c r="EW6610" s="48"/>
      <c r="FB6610" s="5"/>
      <c r="FI6610" s="5"/>
      <c r="FJ6610" s="164"/>
      <c r="FL6610" s="2"/>
      <c r="FN6610" s="2"/>
    </row>
    <row r="6611" spans="153:170" x14ac:dyDescent="0.35">
      <c r="EW6611" s="48"/>
      <c r="FB6611" s="5"/>
      <c r="FI6611" s="5"/>
      <c r="FJ6611" s="164"/>
      <c r="FL6611" s="2"/>
      <c r="FN6611" s="2"/>
    </row>
    <row r="6612" spans="153:170" x14ac:dyDescent="0.35">
      <c r="EW6612" s="48"/>
      <c r="FB6612" s="5"/>
      <c r="FI6612" s="5"/>
      <c r="FJ6612" s="164"/>
      <c r="FL6612" s="2"/>
      <c r="FN6612" s="2"/>
    </row>
    <row r="6613" spans="153:170" x14ac:dyDescent="0.35">
      <c r="EW6613" s="48"/>
      <c r="FB6613" s="5"/>
      <c r="FI6613" s="5"/>
      <c r="FJ6613" s="164"/>
      <c r="FL6613" s="2"/>
      <c r="FN6613" s="2"/>
    </row>
    <row r="6614" spans="153:170" x14ac:dyDescent="0.35">
      <c r="EW6614" s="48"/>
      <c r="FB6614" s="5"/>
      <c r="FI6614" s="5"/>
      <c r="FJ6614" s="164"/>
      <c r="FL6614" s="2"/>
      <c r="FN6614" s="2"/>
    </row>
    <row r="6615" spans="153:170" x14ac:dyDescent="0.35">
      <c r="EW6615" s="48"/>
      <c r="FB6615" s="5"/>
      <c r="FI6615" s="5"/>
      <c r="FJ6615" s="164"/>
      <c r="FL6615" s="2"/>
      <c r="FN6615" s="2"/>
    </row>
    <row r="6616" spans="153:170" x14ac:dyDescent="0.35">
      <c r="EW6616" s="48"/>
      <c r="FB6616" s="5"/>
      <c r="FI6616" s="5"/>
      <c r="FJ6616" s="164"/>
      <c r="FL6616" s="2"/>
      <c r="FN6616" s="2"/>
    </row>
    <row r="6617" spans="153:170" x14ac:dyDescent="0.35">
      <c r="EW6617" s="48"/>
      <c r="FB6617" s="5"/>
      <c r="FI6617" s="5"/>
      <c r="FJ6617" s="164"/>
      <c r="FL6617" s="2"/>
      <c r="FN6617" s="2"/>
    </row>
    <row r="6618" spans="153:170" x14ac:dyDescent="0.35">
      <c r="EW6618" s="48"/>
      <c r="FB6618" s="5"/>
      <c r="FI6618" s="5"/>
      <c r="FJ6618" s="164"/>
      <c r="FL6618" s="2"/>
      <c r="FN6618" s="2"/>
    </row>
    <row r="6619" spans="153:170" x14ac:dyDescent="0.35">
      <c r="EW6619" s="48"/>
      <c r="FB6619" s="5"/>
      <c r="FI6619" s="5"/>
      <c r="FJ6619" s="164"/>
      <c r="FL6619" s="2"/>
      <c r="FN6619" s="2"/>
    </row>
    <row r="6620" spans="153:170" x14ac:dyDescent="0.35">
      <c r="EW6620" s="48"/>
      <c r="FB6620" s="5"/>
      <c r="FI6620" s="5"/>
      <c r="FJ6620" s="164"/>
      <c r="FL6620" s="2"/>
      <c r="FN6620" s="2"/>
    </row>
    <row r="6621" spans="153:170" x14ac:dyDescent="0.35">
      <c r="EW6621" s="48"/>
      <c r="FB6621" s="5"/>
      <c r="FI6621" s="5"/>
      <c r="FJ6621" s="164"/>
      <c r="FL6621" s="2"/>
      <c r="FN6621" s="2"/>
    </row>
    <row r="6622" spans="153:170" x14ac:dyDescent="0.35">
      <c r="EW6622" s="48"/>
      <c r="FB6622" s="5"/>
      <c r="FI6622" s="5"/>
      <c r="FJ6622" s="164"/>
      <c r="FL6622" s="2"/>
      <c r="FN6622" s="2"/>
    </row>
    <row r="6623" spans="153:170" x14ac:dyDescent="0.35">
      <c r="EW6623" s="48"/>
      <c r="FB6623" s="5"/>
      <c r="FI6623" s="5"/>
      <c r="FJ6623" s="164"/>
      <c r="FL6623" s="2"/>
      <c r="FN6623" s="2"/>
    </row>
    <row r="6624" spans="153:170" x14ac:dyDescent="0.35">
      <c r="EW6624" s="48"/>
      <c r="FB6624" s="5"/>
      <c r="FI6624" s="5"/>
      <c r="FJ6624" s="164"/>
      <c r="FL6624" s="2"/>
      <c r="FN6624" s="2"/>
    </row>
    <row r="6625" spans="153:170" x14ac:dyDescent="0.35">
      <c r="EW6625" s="48"/>
      <c r="FB6625" s="5"/>
      <c r="FI6625" s="5"/>
      <c r="FJ6625" s="164"/>
      <c r="FL6625" s="2"/>
      <c r="FN6625" s="2"/>
    </row>
    <row r="6626" spans="153:170" x14ac:dyDescent="0.35">
      <c r="EW6626" s="48"/>
      <c r="FB6626" s="5"/>
      <c r="FI6626" s="5"/>
      <c r="FJ6626" s="164"/>
      <c r="FL6626" s="2"/>
      <c r="FN6626" s="2"/>
    </row>
    <row r="6627" spans="153:170" x14ac:dyDescent="0.35">
      <c r="EW6627" s="48"/>
      <c r="FB6627" s="5"/>
      <c r="FI6627" s="5"/>
      <c r="FJ6627" s="164"/>
      <c r="FL6627" s="2"/>
      <c r="FN6627" s="2"/>
    </row>
    <row r="6628" spans="153:170" x14ac:dyDescent="0.35">
      <c r="EW6628" s="48"/>
      <c r="FB6628" s="5"/>
      <c r="FI6628" s="5"/>
      <c r="FJ6628" s="164"/>
      <c r="FL6628" s="2"/>
      <c r="FN6628" s="2"/>
    </row>
    <row r="6629" spans="153:170" x14ac:dyDescent="0.35">
      <c r="EW6629" s="48"/>
      <c r="FB6629" s="5"/>
      <c r="FI6629" s="5"/>
      <c r="FJ6629" s="164"/>
      <c r="FL6629" s="2"/>
      <c r="FN6629" s="2"/>
    </row>
    <row r="6630" spans="153:170" x14ac:dyDescent="0.35">
      <c r="EW6630" s="48"/>
      <c r="FB6630" s="5"/>
      <c r="FI6630" s="5"/>
      <c r="FJ6630" s="164"/>
      <c r="FL6630" s="2"/>
      <c r="FN6630" s="2"/>
    </row>
    <row r="6631" spans="153:170" x14ac:dyDescent="0.35">
      <c r="EW6631" s="48"/>
      <c r="FB6631" s="5"/>
      <c r="FI6631" s="5"/>
      <c r="FJ6631" s="164"/>
      <c r="FL6631" s="2"/>
      <c r="FN6631" s="2"/>
    </row>
    <row r="6632" spans="153:170" x14ac:dyDescent="0.35">
      <c r="EW6632" s="48"/>
      <c r="FB6632" s="5"/>
      <c r="FI6632" s="5"/>
      <c r="FJ6632" s="164"/>
      <c r="FL6632" s="2"/>
      <c r="FN6632" s="2"/>
    </row>
    <row r="6633" spans="153:170" x14ac:dyDescent="0.35">
      <c r="EW6633" s="48"/>
      <c r="FB6633" s="5"/>
      <c r="FI6633" s="5"/>
      <c r="FJ6633" s="164"/>
      <c r="FL6633" s="2"/>
      <c r="FN6633" s="2"/>
    </row>
    <row r="6634" spans="153:170" x14ac:dyDescent="0.35">
      <c r="EW6634" s="48"/>
      <c r="FB6634" s="5"/>
      <c r="FI6634" s="5"/>
      <c r="FJ6634" s="164"/>
      <c r="FL6634" s="2"/>
      <c r="FN6634" s="2"/>
    </row>
    <row r="6635" spans="153:170" x14ac:dyDescent="0.35">
      <c r="EW6635" s="48"/>
      <c r="FB6635" s="5"/>
      <c r="FI6635" s="5"/>
      <c r="FJ6635" s="164"/>
      <c r="FL6635" s="2"/>
      <c r="FN6635" s="2"/>
    </row>
    <row r="6636" spans="153:170" x14ac:dyDescent="0.35">
      <c r="EW6636" s="48"/>
      <c r="FB6636" s="5"/>
      <c r="FI6636" s="5"/>
      <c r="FJ6636" s="164"/>
      <c r="FL6636" s="2"/>
      <c r="FN6636" s="2"/>
    </row>
    <row r="6637" spans="153:170" x14ac:dyDescent="0.35">
      <c r="EW6637" s="48"/>
      <c r="FB6637" s="5"/>
      <c r="FI6637" s="5"/>
      <c r="FJ6637" s="164"/>
      <c r="FL6637" s="2"/>
      <c r="FN6637" s="2"/>
    </row>
    <row r="6638" spans="153:170" x14ac:dyDescent="0.35">
      <c r="EW6638" s="48"/>
      <c r="FB6638" s="5"/>
      <c r="FI6638" s="5"/>
      <c r="FJ6638" s="164"/>
      <c r="FL6638" s="2"/>
      <c r="FN6638" s="2"/>
    </row>
    <row r="6639" spans="153:170" x14ac:dyDescent="0.35">
      <c r="EW6639" s="48"/>
      <c r="FB6639" s="5"/>
      <c r="FI6639" s="5"/>
      <c r="FJ6639" s="164"/>
      <c r="FL6639" s="2"/>
      <c r="FN6639" s="2"/>
    </row>
    <row r="6640" spans="153:170" x14ac:dyDescent="0.35">
      <c r="EW6640" s="48"/>
      <c r="FB6640" s="5"/>
      <c r="FI6640" s="5"/>
      <c r="FJ6640" s="164"/>
      <c r="FL6640" s="2"/>
      <c r="FN6640" s="2"/>
    </row>
    <row r="6641" spans="153:170" x14ac:dyDescent="0.35">
      <c r="EW6641" s="48"/>
      <c r="FB6641" s="5"/>
      <c r="FI6641" s="5"/>
      <c r="FJ6641" s="164"/>
      <c r="FL6641" s="2"/>
      <c r="FN6641" s="2"/>
    </row>
    <row r="6642" spans="153:170" x14ac:dyDescent="0.35">
      <c r="EW6642" s="48"/>
      <c r="FB6642" s="5"/>
      <c r="FI6642" s="5"/>
      <c r="FJ6642" s="164"/>
      <c r="FL6642" s="2"/>
      <c r="FN6642" s="2"/>
    </row>
    <row r="6643" spans="153:170" x14ac:dyDescent="0.35">
      <c r="EW6643" s="48"/>
      <c r="FB6643" s="5"/>
      <c r="FI6643" s="5"/>
      <c r="FJ6643" s="164"/>
      <c r="FL6643" s="2"/>
      <c r="FN6643" s="2"/>
    </row>
    <row r="6644" spans="153:170" x14ac:dyDescent="0.35">
      <c r="EW6644" s="48"/>
      <c r="FB6644" s="5"/>
      <c r="FI6644" s="5"/>
      <c r="FJ6644" s="164"/>
      <c r="FL6644" s="2"/>
      <c r="FN6644" s="2"/>
    </row>
    <row r="6645" spans="153:170" x14ac:dyDescent="0.35">
      <c r="EW6645" s="48"/>
      <c r="FB6645" s="5"/>
      <c r="FI6645" s="5"/>
      <c r="FJ6645" s="164"/>
      <c r="FL6645" s="2"/>
      <c r="FN6645" s="2"/>
    </row>
    <row r="6646" spans="153:170" x14ac:dyDescent="0.35">
      <c r="EW6646" s="48"/>
      <c r="FB6646" s="5"/>
      <c r="FI6646" s="5"/>
      <c r="FJ6646" s="164"/>
      <c r="FL6646" s="2"/>
      <c r="FN6646" s="2"/>
    </row>
    <row r="6647" spans="153:170" x14ac:dyDescent="0.35">
      <c r="EW6647" s="48"/>
      <c r="FB6647" s="5"/>
      <c r="FI6647" s="5"/>
      <c r="FJ6647" s="164"/>
      <c r="FL6647" s="2"/>
      <c r="FN6647" s="2"/>
    </row>
    <row r="6648" spans="153:170" x14ac:dyDescent="0.35">
      <c r="EW6648" s="48"/>
      <c r="FB6648" s="5"/>
      <c r="FI6648" s="5"/>
      <c r="FJ6648" s="164"/>
      <c r="FL6648" s="2"/>
      <c r="FN6648" s="2"/>
    </row>
    <row r="6649" spans="153:170" x14ac:dyDescent="0.35">
      <c r="EW6649" s="48"/>
      <c r="FB6649" s="5"/>
      <c r="FI6649" s="5"/>
      <c r="FJ6649" s="164"/>
      <c r="FL6649" s="2"/>
      <c r="FN6649" s="2"/>
    </row>
    <row r="6650" spans="153:170" x14ac:dyDescent="0.35">
      <c r="EW6650" s="48"/>
      <c r="FB6650" s="5"/>
      <c r="FI6650" s="5"/>
      <c r="FJ6650" s="164"/>
      <c r="FL6650" s="2"/>
      <c r="FN6650" s="2"/>
    </row>
    <row r="6651" spans="153:170" x14ac:dyDescent="0.35">
      <c r="EW6651" s="48"/>
      <c r="FB6651" s="5"/>
      <c r="FI6651" s="5"/>
      <c r="FJ6651" s="164"/>
      <c r="FL6651" s="2"/>
      <c r="FN6651" s="2"/>
    </row>
    <row r="6652" spans="153:170" x14ac:dyDescent="0.35">
      <c r="EW6652" s="48"/>
      <c r="FB6652" s="5"/>
      <c r="FI6652" s="5"/>
      <c r="FJ6652" s="164"/>
      <c r="FL6652" s="2"/>
      <c r="FN6652" s="2"/>
    </row>
    <row r="6653" spans="153:170" x14ac:dyDescent="0.35">
      <c r="EW6653" s="48"/>
      <c r="FB6653" s="5"/>
      <c r="FI6653" s="5"/>
      <c r="FJ6653" s="164"/>
      <c r="FL6653" s="2"/>
      <c r="FN6653" s="2"/>
    </row>
    <row r="6654" spans="153:170" x14ac:dyDescent="0.35">
      <c r="EW6654" s="48"/>
      <c r="FB6654" s="5"/>
      <c r="FI6654" s="5"/>
      <c r="FJ6654" s="164"/>
      <c r="FL6654" s="2"/>
      <c r="FN6654" s="2"/>
    </row>
    <row r="6655" spans="153:170" x14ac:dyDescent="0.35">
      <c r="EW6655" s="48"/>
      <c r="FB6655" s="5"/>
      <c r="FI6655" s="5"/>
      <c r="FJ6655" s="164"/>
      <c r="FL6655" s="2"/>
      <c r="FN6655" s="2"/>
    </row>
    <row r="6656" spans="153:170" x14ac:dyDescent="0.35">
      <c r="EW6656" s="48"/>
      <c r="FB6656" s="5"/>
      <c r="FI6656" s="5"/>
      <c r="FJ6656" s="164"/>
      <c r="FL6656" s="2"/>
      <c r="FN6656" s="2"/>
    </row>
    <row r="6657" spans="153:170" x14ac:dyDescent="0.35">
      <c r="EW6657" s="48"/>
      <c r="FB6657" s="5"/>
      <c r="FI6657" s="5"/>
      <c r="FJ6657" s="164"/>
      <c r="FL6657" s="2"/>
      <c r="FN6657" s="2"/>
    </row>
    <row r="6658" spans="153:170" x14ac:dyDescent="0.35">
      <c r="EW6658" s="48"/>
      <c r="FB6658" s="5"/>
      <c r="FI6658" s="5"/>
      <c r="FJ6658" s="164"/>
      <c r="FL6658" s="2"/>
      <c r="FN6658" s="2"/>
    </row>
    <row r="6659" spans="153:170" x14ac:dyDescent="0.35">
      <c r="EW6659" s="48"/>
      <c r="FB6659" s="5"/>
      <c r="FI6659" s="5"/>
      <c r="FJ6659" s="164"/>
      <c r="FL6659" s="2"/>
      <c r="FN6659" s="2"/>
    </row>
    <row r="6660" spans="153:170" x14ac:dyDescent="0.35">
      <c r="EW6660" s="48"/>
      <c r="FB6660" s="5"/>
      <c r="FI6660" s="5"/>
      <c r="FJ6660" s="164"/>
      <c r="FL6660" s="2"/>
      <c r="FN6660" s="2"/>
    </row>
    <row r="6661" spans="153:170" x14ac:dyDescent="0.35">
      <c r="EW6661" s="48"/>
      <c r="FB6661" s="5"/>
      <c r="FI6661" s="5"/>
      <c r="FJ6661" s="164"/>
      <c r="FL6661" s="2"/>
      <c r="FN6661" s="2"/>
    </row>
    <row r="6662" spans="153:170" x14ac:dyDescent="0.35">
      <c r="EW6662" s="48"/>
      <c r="FB6662" s="5"/>
      <c r="FI6662" s="5"/>
      <c r="FJ6662" s="164"/>
      <c r="FL6662" s="2"/>
      <c r="FN6662" s="2"/>
    </row>
    <row r="6663" spans="153:170" x14ac:dyDescent="0.35">
      <c r="EW6663" s="48"/>
      <c r="FB6663" s="5"/>
      <c r="FI6663" s="5"/>
      <c r="FJ6663" s="164"/>
      <c r="FL6663" s="2"/>
      <c r="FN6663" s="2"/>
    </row>
    <row r="6664" spans="153:170" x14ac:dyDescent="0.35">
      <c r="EW6664" s="48"/>
      <c r="FB6664" s="5"/>
      <c r="FI6664" s="5"/>
      <c r="FJ6664" s="164"/>
      <c r="FL6664" s="2"/>
      <c r="FN6664" s="2"/>
    </row>
    <row r="6665" spans="153:170" x14ac:dyDescent="0.35">
      <c r="EW6665" s="48"/>
      <c r="FB6665" s="5"/>
      <c r="FI6665" s="5"/>
      <c r="FJ6665" s="164"/>
      <c r="FL6665" s="2"/>
      <c r="FN6665" s="2"/>
    </row>
    <row r="6666" spans="153:170" x14ac:dyDescent="0.35">
      <c r="EW6666" s="48"/>
      <c r="FB6666" s="5"/>
      <c r="FI6666" s="5"/>
      <c r="FJ6666" s="164"/>
      <c r="FL6666" s="2"/>
      <c r="FN6666" s="2"/>
    </row>
    <row r="6667" spans="153:170" x14ac:dyDescent="0.35">
      <c r="EW6667" s="48"/>
      <c r="FB6667" s="5"/>
      <c r="FI6667" s="5"/>
      <c r="FJ6667" s="164"/>
      <c r="FL6667" s="2"/>
      <c r="FN6667" s="2"/>
    </row>
    <row r="6668" spans="153:170" x14ac:dyDescent="0.35">
      <c r="EW6668" s="48"/>
      <c r="FB6668" s="5"/>
      <c r="FI6668" s="5"/>
      <c r="FJ6668" s="164"/>
      <c r="FL6668" s="2"/>
      <c r="FN6668" s="2"/>
    </row>
    <row r="6669" spans="153:170" x14ac:dyDescent="0.35">
      <c r="EW6669" s="48"/>
      <c r="FB6669" s="5"/>
      <c r="FI6669" s="5"/>
      <c r="FJ6669" s="164"/>
      <c r="FL6669" s="2"/>
      <c r="FN6669" s="2"/>
    </row>
    <row r="6670" spans="153:170" x14ac:dyDescent="0.35">
      <c r="EW6670" s="48"/>
      <c r="FB6670" s="5"/>
      <c r="FI6670" s="5"/>
      <c r="FJ6670" s="164"/>
      <c r="FL6670" s="2"/>
      <c r="FN6670" s="2"/>
    </row>
    <row r="6671" spans="153:170" x14ac:dyDescent="0.35">
      <c r="EW6671" s="48"/>
      <c r="FB6671" s="5"/>
      <c r="FI6671" s="5"/>
      <c r="FJ6671" s="164"/>
      <c r="FL6671" s="2"/>
      <c r="FN6671" s="2"/>
    </row>
    <row r="6672" spans="153:170" x14ac:dyDescent="0.35">
      <c r="EW6672" s="48"/>
      <c r="FB6672" s="5"/>
      <c r="FI6672" s="5"/>
      <c r="FJ6672" s="164"/>
      <c r="FL6672" s="2"/>
      <c r="FN6672" s="2"/>
    </row>
    <row r="6673" spans="153:170" x14ac:dyDescent="0.35">
      <c r="EW6673" s="48"/>
      <c r="FB6673" s="5"/>
      <c r="FI6673" s="5"/>
      <c r="FJ6673" s="164"/>
      <c r="FL6673" s="2"/>
      <c r="FN6673" s="2"/>
    </row>
    <row r="6674" spans="153:170" x14ac:dyDescent="0.35">
      <c r="EW6674" s="48"/>
      <c r="FB6674" s="5"/>
      <c r="FI6674" s="5"/>
      <c r="FJ6674" s="164"/>
      <c r="FL6674" s="2"/>
      <c r="FN6674" s="2"/>
    </row>
    <row r="6675" spans="153:170" x14ac:dyDescent="0.35">
      <c r="EW6675" s="48"/>
      <c r="FB6675" s="5"/>
      <c r="FI6675" s="5"/>
      <c r="FJ6675" s="164"/>
      <c r="FL6675" s="2"/>
      <c r="FN6675" s="2"/>
    </row>
    <row r="6676" spans="153:170" x14ac:dyDescent="0.35">
      <c r="EW6676" s="48"/>
      <c r="FB6676" s="5"/>
      <c r="FI6676" s="5"/>
      <c r="FJ6676" s="164"/>
      <c r="FL6676" s="2"/>
      <c r="FN6676" s="2"/>
    </row>
    <row r="6677" spans="153:170" x14ac:dyDescent="0.35">
      <c r="EW6677" s="48"/>
      <c r="FB6677" s="5"/>
      <c r="FI6677" s="5"/>
      <c r="FJ6677" s="164"/>
      <c r="FL6677" s="2"/>
      <c r="FN6677" s="2"/>
    </row>
    <row r="6678" spans="153:170" x14ac:dyDescent="0.35">
      <c r="EW6678" s="48"/>
      <c r="FB6678" s="5"/>
      <c r="FI6678" s="5"/>
      <c r="FJ6678" s="164"/>
      <c r="FL6678" s="2"/>
      <c r="FN6678" s="2"/>
    </row>
    <row r="6679" spans="153:170" x14ac:dyDescent="0.35">
      <c r="EW6679" s="48"/>
      <c r="FB6679" s="5"/>
      <c r="FI6679" s="5"/>
      <c r="FJ6679" s="164"/>
      <c r="FL6679" s="2"/>
      <c r="FN6679" s="2"/>
    </row>
    <row r="6680" spans="153:170" x14ac:dyDescent="0.35">
      <c r="EW6680" s="48"/>
      <c r="FB6680" s="5"/>
      <c r="FI6680" s="5"/>
      <c r="FJ6680" s="164"/>
      <c r="FL6680" s="2"/>
      <c r="FN6680" s="2"/>
    </row>
    <row r="6681" spans="153:170" x14ac:dyDescent="0.35">
      <c r="EW6681" s="48"/>
      <c r="FB6681" s="5"/>
      <c r="FI6681" s="5"/>
      <c r="FJ6681" s="164"/>
      <c r="FL6681" s="2"/>
      <c r="FN6681" s="2"/>
    </row>
    <row r="6682" spans="153:170" x14ac:dyDescent="0.35">
      <c r="EW6682" s="48"/>
      <c r="FB6682" s="5"/>
      <c r="FI6682" s="5"/>
      <c r="FJ6682" s="164"/>
      <c r="FL6682" s="2"/>
      <c r="FN6682" s="2"/>
    </row>
    <row r="6683" spans="153:170" x14ac:dyDescent="0.35">
      <c r="EW6683" s="48"/>
      <c r="FB6683" s="5"/>
      <c r="FI6683" s="5"/>
      <c r="FJ6683" s="164"/>
      <c r="FL6683" s="2"/>
      <c r="FN6683" s="2"/>
    </row>
    <row r="6684" spans="153:170" x14ac:dyDescent="0.35">
      <c r="EW6684" s="48"/>
      <c r="FB6684" s="5"/>
      <c r="FI6684" s="5"/>
      <c r="FJ6684" s="164"/>
      <c r="FL6684" s="2"/>
      <c r="FN6684" s="2"/>
    </row>
    <row r="6685" spans="153:170" x14ac:dyDescent="0.35">
      <c r="EW6685" s="48"/>
      <c r="FB6685" s="5"/>
      <c r="FI6685" s="5"/>
      <c r="FJ6685" s="164"/>
      <c r="FL6685" s="2"/>
      <c r="FN6685" s="2"/>
    </row>
    <row r="6686" spans="153:170" x14ac:dyDescent="0.35">
      <c r="EW6686" s="48"/>
      <c r="FB6686" s="5"/>
      <c r="FI6686" s="5"/>
      <c r="FJ6686" s="164"/>
      <c r="FL6686" s="2"/>
      <c r="FN6686" s="2"/>
    </row>
    <row r="6687" spans="153:170" x14ac:dyDescent="0.35">
      <c r="EW6687" s="48"/>
      <c r="FB6687" s="5"/>
      <c r="FI6687" s="5"/>
      <c r="FJ6687" s="164"/>
      <c r="FL6687" s="2"/>
      <c r="FN6687" s="2"/>
    </row>
    <row r="6688" spans="153:170" x14ac:dyDescent="0.35">
      <c r="EW6688" s="48"/>
      <c r="FB6688" s="5"/>
      <c r="FI6688" s="5"/>
      <c r="FJ6688" s="164"/>
      <c r="FL6688" s="2"/>
      <c r="FN6688" s="2"/>
    </row>
    <row r="6689" spans="153:170" x14ac:dyDescent="0.35">
      <c r="EW6689" s="48"/>
      <c r="FB6689" s="5"/>
      <c r="FI6689" s="5"/>
      <c r="FJ6689" s="164"/>
      <c r="FL6689" s="2"/>
      <c r="FN6689" s="2"/>
    </row>
    <row r="6690" spans="153:170" x14ac:dyDescent="0.35">
      <c r="EW6690" s="48"/>
      <c r="FB6690" s="5"/>
      <c r="FI6690" s="5"/>
      <c r="FJ6690" s="164"/>
      <c r="FL6690" s="2"/>
      <c r="FN6690" s="2"/>
    </row>
    <row r="6691" spans="153:170" x14ac:dyDescent="0.35">
      <c r="EW6691" s="48"/>
      <c r="FB6691" s="5"/>
      <c r="FI6691" s="5"/>
      <c r="FJ6691" s="164"/>
      <c r="FL6691" s="2"/>
      <c r="FN6691" s="2"/>
    </row>
    <row r="6692" spans="153:170" x14ac:dyDescent="0.35">
      <c r="EW6692" s="48"/>
      <c r="FB6692" s="5"/>
      <c r="FI6692" s="5"/>
      <c r="FJ6692" s="164"/>
      <c r="FL6692" s="2"/>
      <c r="FN6692" s="2"/>
    </row>
    <row r="6693" spans="153:170" x14ac:dyDescent="0.35">
      <c r="EW6693" s="48"/>
      <c r="FB6693" s="5"/>
      <c r="FI6693" s="5"/>
      <c r="FJ6693" s="164"/>
      <c r="FL6693" s="2"/>
      <c r="FN6693" s="2"/>
    </row>
    <row r="6694" spans="153:170" x14ac:dyDescent="0.35">
      <c r="EW6694" s="48"/>
      <c r="FB6694" s="5"/>
      <c r="FI6694" s="5"/>
      <c r="FJ6694" s="164"/>
      <c r="FL6694" s="2"/>
      <c r="FN6694" s="2"/>
    </row>
    <row r="6695" spans="153:170" x14ac:dyDescent="0.35">
      <c r="EW6695" s="48"/>
      <c r="FB6695" s="5"/>
      <c r="FI6695" s="5"/>
      <c r="FJ6695" s="164"/>
      <c r="FL6695" s="2"/>
      <c r="FN6695" s="2"/>
    </row>
    <row r="6696" spans="153:170" x14ac:dyDescent="0.35">
      <c r="EW6696" s="48"/>
      <c r="FB6696" s="5"/>
      <c r="FI6696" s="5"/>
      <c r="FJ6696" s="164"/>
      <c r="FL6696" s="2"/>
      <c r="FN6696" s="2"/>
    </row>
    <row r="6697" spans="153:170" x14ac:dyDescent="0.35">
      <c r="EW6697" s="48"/>
      <c r="FB6697" s="5"/>
      <c r="FI6697" s="5"/>
      <c r="FJ6697" s="164"/>
      <c r="FL6697" s="2"/>
      <c r="FN6697" s="2"/>
    </row>
    <row r="6698" spans="153:170" x14ac:dyDescent="0.35">
      <c r="EW6698" s="48"/>
      <c r="FB6698" s="5"/>
      <c r="FI6698" s="5"/>
      <c r="FJ6698" s="164"/>
      <c r="FL6698" s="2"/>
      <c r="FN6698" s="2"/>
    </row>
    <row r="6699" spans="153:170" x14ac:dyDescent="0.35">
      <c r="EW6699" s="48"/>
      <c r="FB6699" s="5"/>
      <c r="FI6699" s="5"/>
      <c r="FJ6699" s="164"/>
      <c r="FL6699" s="2"/>
      <c r="FN6699" s="2"/>
    </row>
    <row r="6700" spans="153:170" x14ac:dyDescent="0.35">
      <c r="EW6700" s="48"/>
      <c r="FB6700" s="5"/>
      <c r="FI6700" s="5"/>
      <c r="FJ6700" s="164"/>
      <c r="FL6700" s="2"/>
      <c r="FN6700" s="2"/>
    </row>
    <row r="6701" spans="153:170" x14ac:dyDescent="0.35">
      <c r="EW6701" s="48"/>
      <c r="FB6701" s="5"/>
      <c r="FI6701" s="5"/>
      <c r="FJ6701" s="164"/>
      <c r="FL6701" s="2"/>
      <c r="FN6701" s="2"/>
    </row>
    <row r="6702" spans="153:170" x14ac:dyDescent="0.35">
      <c r="EW6702" s="48"/>
      <c r="FB6702" s="5"/>
      <c r="FI6702" s="5"/>
      <c r="FJ6702" s="164"/>
      <c r="FL6702" s="2"/>
      <c r="FN6702" s="2"/>
    </row>
    <row r="6703" spans="153:170" x14ac:dyDescent="0.35">
      <c r="EW6703" s="48"/>
      <c r="FB6703" s="5"/>
      <c r="FI6703" s="5"/>
      <c r="FJ6703" s="164"/>
      <c r="FL6703" s="2"/>
      <c r="FN6703" s="2"/>
    </row>
    <row r="6704" spans="153:170" x14ac:dyDescent="0.35">
      <c r="EW6704" s="48"/>
      <c r="FB6704" s="5"/>
      <c r="FI6704" s="5"/>
      <c r="FJ6704" s="164"/>
      <c r="FL6704" s="2"/>
      <c r="FN6704" s="2"/>
    </row>
    <row r="6705" spans="153:170" x14ac:dyDescent="0.35">
      <c r="EW6705" s="48"/>
      <c r="FB6705" s="5"/>
      <c r="FI6705" s="5"/>
      <c r="FJ6705" s="164"/>
      <c r="FL6705" s="2"/>
      <c r="FN6705" s="2"/>
    </row>
    <row r="6706" spans="153:170" x14ac:dyDescent="0.35">
      <c r="EW6706" s="48"/>
      <c r="FB6706" s="5"/>
      <c r="FI6706" s="5"/>
      <c r="FJ6706" s="164"/>
      <c r="FL6706" s="2"/>
      <c r="FN6706" s="2"/>
    </row>
    <row r="6707" spans="153:170" x14ac:dyDescent="0.35">
      <c r="EW6707" s="48"/>
      <c r="FB6707" s="5"/>
      <c r="FI6707" s="5"/>
      <c r="FJ6707" s="164"/>
      <c r="FL6707" s="2"/>
      <c r="FN6707" s="2"/>
    </row>
    <row r="6708" spans="153:170" x14ac:dyDescent="0.35">
      <c r="EW6708" s="48"/>
      <c r="FB6708" s="5"/>
      <c r="FI6708" s="5"/>
      <c r="FJ6708" s="164"/>
      <c r="FL6708" s="2"/>
      <c r="FN6708" s="2"/>
    </row>
    <row r="6709" spans="153:170" x14ac:dyDescent="0.35">
      <c r="EW6709" s="48"/>
      <c r="FB6709" s="5"/>
      <c r="FI6709" s="5"/>
      <c r="FJ6709" s="164"/>
      <c r="FL6709" s="2"/>
      <c r="FN6709" s="2"/>
    </row>
    <row r="6710" spans="153:170" x14ac:dyDescent="0.35">
      <c r="EW6710" s="48"/>
      <c r="FB6710" s="5"/>
      <c r="FI6710" s="5"/>
      <c r="FJ6710" s="164"/>
      <c r="FL6710" s="2"/>
      <c r="FN6710" s="2"/>
    </row>
    <row r="6711" spans="153:170" x14ac:dyDescent="0.35">
      <c r="EW6711" s="48"/>
      <c r="FB6711" s="5"/>
      <c r="FI6711" s="5"/>
      <c r="FJ6711" s="164"/>
      <c r="FL6711" s="2"/>
      <c r="FN6711" s="2"/>
    </row>
    <row r="6712" spans="153:170" x14ac:dyDescent="0.35">
      <c r="EW6712" s="48"/>
      <c r="FB6712" s="5"/>
      <c r="FI6712" s="5"/>
      <c r="FJ6712" s="164"/>
      <c r="FL6712" s="2"/>
      <c r="FN6712" s="2"/>
    </row>
    <row r="6713" spans="153:170" x14ac:dyDescent="0.35">
      <c r="EW6713" s="48"/>
      <c r="FB6713" s="5"/>
      <c r="FI6713" s="5"/>
      <c r="FJ6713" s="164"/>
      <c r="FL6713" s="2"/>
      <c r="FN6713" s="2"/>
    </row>
    <row r="6714" spans="153:170" x14ac:dyDescent="0.35">
      <c r="EW6714" s="48"/>
      <c r="FB6714" s="5"/>
      <c r="FI6714" s="5"/>
      <c r="FJ6714" s="164"/>
      <c r="FL6714" s="2"/>
      <c r="FN6714" s="2"/>
    </row>
    <row r="6715" spans="153:170" x14ac:dyDescent="0.35">
      <c r="EW6715" s="48"/>
      <c r="FB6715" s="5"/>
      <c r="FI6715" s="5"/>
      <c r="FJ6715" s="164"/>
      <c r="FL6715" s="2"/>
      <c r="FN6715" s="2"/>
    </row>
    <row r="6716" spans="153:170" x14ac:dyDescent="0.35">
      <c r="EW6716" s="48"/>
      <c r="FB6716" s="5"/>
      <c r="FI6716" s="5"/>
      <c r="FJ6716" s="164"/>
      <c r="FL6716" s="2"/>
      <c r="FN6716" s="2"/>
    </row>
    <row r="6717" spans="153:170" x14ac:dyDescent="0.35">
      <c r="EW6717" s="48"/>
      <c r="FB6717" s="5"/>
      <c r="FI6717" s="5"/>
      <c r="FJ6717" s="164"/>
      <c r="FL6717" s="2"/>
      <c r="FN6717" s="2"/>
    </row>
    <row r="6718" spans="153:170" x14ac:dyDescent="0.35">
      <c r="EW6718" s="48"/>
      <c r="FB6718" s="5"/>
      <c r="FI6718" s="5"/>
      <c r="FJ6718" s="164"/>
      <c r="FL6718" s="2"/>
      <c r="FN6718" s="2"/>
    </row>
    <row r="6719" spans="153:170" x14ac:dyDescent="0.35">
      <c r="EW6719" s="48"/>
      <c r="FB6719" s="5"/>
      <c r="FI6719" s="5"/>
      <c r="FJ6719" s="164"/>
      <c r="FL6719" s="2"/>
      <c r="FN6719" s="2"/>
    </row>
    <row r="6720" spans="153:170" x14ac:dyDescent="0.35">
      <c r="EW6720" s="48"/>
      <c r="FB6720" s="5"/>
      <c r="FI6720" s="5"/>
      <c r="FJ6720" s="164"/>
      <c r="FL6720" s="2"/>
      <c r="FN6720" s="2"/>
    </row>
    <row r="6721" spans="153:170" x14ac:dyDescent="0.35">
      <c r="EW6721" s="48"/>
      <c r="FB6721" s="5"/>
      <c r="FI6721" s="5"/>
      <c r="FJ6721" s="164"/>
      <c r="FL6721" s="2"/>
      <c r="FN6721" s="2"/>
    </row>
    <row r="6722" spans="153:170" x14ac:dyDescent="0.35">
      <c r="EW6722" s="48"/>
      <c r="FB6722" s="5"/>
      <c r="FI6722" s="5"/>
      <c r="FJ6722" s="164"/>
      <c r="FL6722" s="2"/>
      <c r="FN6722" s="2"/>
    </row>
    <row r="6723" spans="153:170" x14ac:dyDescent="0.35">
      <c r="EW6723" s="48"/>
      <c r="FB6723" s="5"/>
      <c r="FI6723" s="5"/>
      <c r="FJ6723" s="164"/>
      <c r="FL6723" s="2"/>
      <c r="FN6723" s="2"/>
    </row>
    <row r="6724" spans="153:170" x14ac:dyDescent="0.35">
      <c r="EW6724" s="48"/>
      <c r="FB6724" s="5"/>
      <c r="FI6724" s="5"/>
      <c r="FJ6724" s="164"/>
      <c r="FL6724" s="2"/>
      <c r="FN6724" s="2"/>
    </row>
    <row r="6725" spans="153:170" x14ac:dyDescent="0.35">
      <c r="EW6725" s="48"/>
      <c r="FB6725" s="5"/>
      <c r="FI6725" s="5"/>
      <c r="FJ6725" s="164"/>
      <c r="FL6725" s="2"/>
      <c r="FN6725" s="2"/>
    </row>
    <row r="6726" spans="153:170" x14ac:dyDescent="0.35">
      <c r="EW6726" s="48"/>
      <c r="FB6726" s="5"/>
      <c r="FI6726" s="5"/>
      <c r="FJ6726" s="164"/>
      <c r="FL6726" s="2"/>
      <c r="FN6726" s="2"/>
    </row>
    <row r="6727" spans="153:170" x14ac:dyDescent="0.35">
      <c r="EW6727" s="48"/>
      <c r="FB6727" s="5"/>
      <c r="FI6727" s="5"/>
      <c r="FJ6727" s="164"/>
      <c r="FL6727" s="2"/>
      <c r="FN6727" s="2"/>
    </row>
    <row r="6728" spans="153:170" x14ac:dyDescent="0.35">
      <c r="EW6728" s="48"/>
      <c r="FB6728" s="5"/>
      <c r="FI6728" s="5"/>
      <c r="FJ6728" s="164"/>
      <c r="FL6728" s="2"/>
      <c r="FN6728" s="2"/>
    </row>
    <row r="6729" spans="153:170" x14ac:dyDescent="0.35">
      <c r="EW6729" s="48"/>
      <c r="FB6729" s="5"/>
      <c r="FI6729" s="5"/>
      <c r="FJ6729" s="164"/>
      <c r="FL6729" s="2"/>
      <c r="FN6729" s="2"/>
    </row>
    <row r="6730" spans="153:170" x14ac:dyDescent="0.35">
      <c r="EW6730" s="48"/>
      <c r="FB6730" s="5"/>
      <c r="FI6730" s="5"/>
      <c r="FJ6730" s="164"/>
      <c r="FL6730" s="2"/>
      <c r="FN6730" s="2"/>
    </row>
    <row r="6731" spans="153:170" x14ac:dyDescent="0.35">
      <c r="EW6731" s="48"/>
      <c r="FB6731" s="5"/>
      <c r="FI6731" s="5"/>
      <c r="FJ6731" s="164"/>
      <c r="FL6731" s="2"/>
      <c r="FN6731" s="2"/>
    </row>
    <row r="6732" spans="153:170" x14ac:dyDescent="0.35">
      <c r="EW6732" s="48"/>
      <c r="FB6732" s="5"/>
      <c r="FI6732" s="5"/>
      <c r="FJ6732" s="164"/>
      <c r="FL6732" s="2"/>
      <c r="FN6732" s="2"/>
    </row>
    <row r="6733" spans="153:170" x14ac:dyDescent="0.35">
      <c r="EW6733" s="48"/>
      <c r="FB6733" s="5"/>
      <c r="FI6733" s="5"/>
      <c r="FJ6733" s="164"/>
      <c r="FL6733" s="2"/>
      <c r="FN6733" s="2"/>
    </row>
    <row r="6734" spans="153:170" x14ac:dyDescent="0.35">
      <c r="EW6734" s="48"/>
      <c r="FB6734" s="5"/>
      <c r="FI6734" s="5"/>
      <c r="FJ6734" s="164"/>
      <c r="FL6734" s="2"/>
      <c r="FN6734" s="2"/>
    </row>
    <row r="6735" spans="153:170" x14ac:dyDescent="0.35">
      <c r="EW6735" s="48"/>
      <c r="FB6735" s="5"/>
      <c r="FI6735" s="5"/>
      <c r="FJ6735" s="164"/>
      <c r="FL6735" s="2"/>
      <c r="FN6735" s="2"/>
    </row>
    <row r="6736" spans="153:170" x14ac:dyDescent="0.35">
      <c r="EW6736" s="48"/>
      <c r="FB6736" s="5"/>
      <c r="FI6736" s="5"/>
      <c r="FJ6736" s="164"/>
      <c r="FL6736" s="2"/>
      <c r="FN6736" s="2"/>
    </row>
    <row r="6737" spans="153:170" x14ac:dyDescent="0.35">
      <c r="EW6737" s="48"/>
      <c r="FB6737" s="5"/>
      <c r="FI6737" s="5"/>
      <c r="FJ6737" s="164"/>
      <c r="FL6737" s="2"/>
      <c r="FN6737" s="2"/>
    </row>
    <row r="6738" spans="153:170" x14ac:dyDescent="0.35">
      <c r="EW6738" s="48"/>
      <c r="FB6738" s="5"/>
      <c r="FI6738" s="5"/>
      <c r="FJ6738" s="164"/>
      <c r="FL6738" s="2"/>
      <c r="FN6738" s="2"/>
    </row>
    <row r="6739" spans="153:170" x14ac:dyDescent="0.35">
      <c r="EW6739" s="48"/>
      <c r="FB6739" s="5"/>
      <c r="FI6739" s="5"/>
      <c r="FJ6739" s="164"/>
      <c r="FL6739" s="2"/>
      <c r="FN6739" s="2"/>
    </row>
    <row r="6740" spans="153:170" x14ac:dyDescent="0.35">
      <c r="EW6740" s="48"/>
      <c r="FB6740" s="5"/>
      <c r="FI6740" s="5"/>
      <c r="FJ6740" s="164"/>
      <c r="FL6740" s="2"/>
      <c r="FN6740" s="2"/>
    </row>
    <row r="6741" spans="153:170" x14ac:dyDescent="0.35">
      <c r="EW6741" s="48"/>
      <c r="FB6741" s="5"/>
      <c r="FI6741" s="5"/>
      <c r="FJ6741" s="164"/>
      <c r="FL6741" s="2"/>
      <c r="FN6741" s="2"/>
    </row>
    <row r="6742" spans="153:170" x14ac:dyDescent="0.35">
      <c r="EW6742" s="48"/>
      <c r="FB6742" s="5"/>
      <c r="FI6742" s="5"/>
      <c r="FJ6742" s="164"/>
      <c r="FL6742" s="2"/>
      <c r="FN6742" s="2"/>
    </row>
    <row r="6743" spans="153:170" x14ac:dyDescent="0.35">
      <c r="EW6743" s="48"/>
      <c r="FB6743" s="5"/>
      <c r="FI6743" s="5"/>
      <c r="FJ6743" s="164"/>
      <c r="FL6743" s="2"/>
      <c r="FN6743" s="2"/>
    </row>
    <row r="6744" spans="153:170" x14ac:dyDescent="0.35">
      <c r="EW6744" s="48"/>
      <c r="FB6744" s="5"/>
      <c r="FI6744" s="5"/>
      <c r="FJ6744" s="164"/>
      <c r="FL6744" s="2"/>
      <c r="FN6744" s="2"/>
    </row>
    <row r="6745" spans="153:170" x14ac:dyDescent="0.35">
      <c r="EW6745" s="48"/>
      <c r="FB6745" s="5"/>
      <c r="FI6745" s="5"/>
      <c r="FJ6745" s="164"/>
      <c r="FL6745" s="2"/>
      <c r="FN6745" s="2"/>
    </row>
    <row r="6746" spans="153:170" x14ac:dyDescent="0.35">
      <c r="EW6746" s="48"/>
      <c r="FB6746" s="5"/>
      <c r="FI6746" s="5"/>
      <c r="FJ6746" s="164"/>
      <c r="FL6746" s="2"/>
      <c r="FN6746" s="2"/>
    </row>
    <row r="6747" spans="153:170" x14ac:dyDescent="0.35">
      <c r="EW6747" s="48"/>
      <c r="FB6747" s="5"/>
      <c r="FI6747" s="5"/>
      <c r="FJ6747" s="164"/>
      <c r="FL6747" s="2"/>
      <c r="FN6747" s="2"/>
    </row>
    <row r="6748" spans="153:170" x14ac:dyDescent="0.35">
      <c r="EW6748" s="48"/>
      <c r="FB6748" s="5"/>
      <c r="FI6748" s="5"/>
      <c r="FJ6748" s="164"/>
      <c r="FL6748" s="2"/>
      <c r="FN6748" s="2"/>
    </row>
    <row r="6749" spans="153:170" x14ac:dyDescent="0.35">
      <c r="EW6749" s="48"/>
      <c r="FB6749" s="5"/>
      <c r="FI6749" s="5"/>
      <c r="FJ6749" s="164"/>
      <c r="FL6749" s="2"/>
      <c r="FN6749" s="2"/>
    </row>
    <row r="6750" spans="153:170" x14ac:dyDescent="0.35">
      <c r="EW6750" s="48"/>
      <c r="FB6750" s="5"/>
      <c r="FI6750" s="5"/>
      <c r="FJ6750" s="164"/>
      <c r="FL6750" s="2"/>
      <c r="FN6750" s="2"/>
    </row>
    <row r="6751" spans="153:170" x14ac:dyDescent="0.35">
      <c r="EW6751" s="48"/>
      <c r="FB6751" s="5"/>
      <c r="FI6751" s="5"/>
      <c r="FJ6751" s="164"/>
      <c r="FL6751" s="2"/>
      <c r="FN6751" s="2"/>
    </row>
    <row r="6752" spans="153:170" x14ac:dyDescent="0.35">
      <c r="EW6752" s="48"/>
      <c r="FB6752" s="5"/>
      <c r="FI6752" s="5"/>
      <c r="FJ6752" s="164"/>
      <c r="FL6752" s="2"/>
      <c r="FN6752" s="2"/>
    </row>
    <row r="6753" spans="153:170" x14ac:dyDescent="0.35">
      <c r="EW6753" s="48"/>
      <c r="FB6753" s="5"/>
      <c r="FI6753" s="5"/>
      <c r="FJ6753" s="164"/>
      <c r="FL6753" s="2"/>
      <c r="FN6753" s="2"/>
    </row>
    <row r="6754" spans="153:170" x14ac:dyDescent="0.35">
      <c r="EW6754" s="48"/>
      <c r="FB6754" s="5"/>
      <c r="FI6754" s="5"/>
      <c r="FJ6754" s="164"/>
      <c r="FL6754" s="2"/>
      <c r="FN6754" s="2"/>
    </row>
    <row r="6755" spans="153:170" x14ac:dyDescent="0.35">
      <c r="EW6755" s="48"/>
      <c r="FB6755" s="5"/>
      <c r="FI6755" s="5"/>
      <c r="FJ6755" s="164"/>
      <c r="FL6755" s="2"/>
      <c r="FN6755" s="2"/>
    </row>
    <row r="6756" spans="153:170" x14ac:dyDescent="0.35">
      <c r="EW6756" s="48"/>
      <c r="FB6756" s="5"/>
      <c r="FI6756" s="5"/>
      <c r="FJ6756" s="164"/>
      <c r="FL6756" s="2"/>
      <c r="FN6756" s="2"/>
    </row>
    <row r="6757" spans="153:170" x14ac:dyDescent="0.35">
      <c r="EW6757" s="48"/>
      <c r="FB6757" s="5"/>
      <c r="FI6757" s="5"/>
      <c r="FJ6757" s="164"/>
      <c r="FL6757" s="2"/>
      <c r="FN6757" s="2"/>
    </row>
    <row r="6758" spans="153:170" x14ac:dyDescent="0.35">
      <c r="EW6758" s="48"/>
      <c r="FB6758" s="5"/>
      <c r="FI6758" s="5"/>
      <c r="FJ6758" s="164"/>
      <c r="FL6758" s="2"/>
      <c r="FN6758" s="2"/>
    </row>
    <row r="6759" spans="153:170" x14ac:dyDescent="0.35">
      <c r="EW6759" s="48"/>
      <c r="FB6759" s="5"/>
      <c r="FI6759" s="5"/>
      <c r="FJ6759" s="164"/>
      <c r="FL6759" s="2"/>
      <c r="FN6759" s="2"/>
    </row>
    <row r="6760" spans="153:170" x14ac:dyDescent="0.35">
      <c r="EW6760" s="48"/>
      <c r="FB6760" s="5"/>
      <c r="FI6760" s="5"/>
      <c r="FJ6760" s="164"/>
      <c r="FL6760" s="2"/>
      <c r="FN6760" s="2"/>
    </row>
    <row r="6761" spans="153:170" x14ac:dyDescent="0.35">
      <c r="EW6761" s="48"/>
      <c r="FB6761" s="5"/>
      <c r="FI6761" s="5"/>
      <c r="FJ6761" s="164"/>
      <c r="FL6761" s="2"/>
      <c r="FN6761" s="2"/>
    </row>
    <row r="6762" spans="153:170" x14ac:dyDescent="0.35">
      <c r="EW6762" s="48"/>
      <c r="FB6762" s="5"/>
      <c r="FI6762" s="5"/>
      <c r="FJ6762" s="164"/>
      <c r="FL6762" s="2"/>
      <c r="FN6762" s="2"/>
    </row>
    <row r="6763" spans="153:170" x14ac:dyDescent="0.35">
      <c r="EW6763" s="48"/>
      <c r="FB6763" s="5"/>
      <c r="FI6763" s="5"/>
      <c r="FJ6763" s="164"/>
      <c r="FL6763" s="2"/>
      <c r="FN6763" s="2"/>
    </row>
    <row r="6764" spans="153:170" x14ac:dyDescent="0.35">
      <c r="EW6764" s="48"/>
      <c r="FB6764" s="5"/>
      <c r="FI6764" s="5"/>
      <c r="FJ6764" s="164"/>
      <c r="FL6764" s="2"/>
      <c r="FN6764" s="2"/>
    </row>
    <row r="6765" spans="153:170" x14ac:dyDescent="0.35">
      <c r="EW6765" s="48"/>
      <c r="FB6765" s="5"/>
      <c r="FI6765" s="5"/>
      <c r="FJ6765" s="164"/>
      <c r="FL6765" s="2"/>
      <c r="FN6765" s="2"/>
    </row>
    <row r="6766" spans="153:170" x14ac:dyDescent="0.35">
      <c r="EW6766" s="48"/>
      <c r="FB6766" s="5"/>
      <c r="FI6766" s="5"/>
      <c r="FJ6766" s="164"/>
      <c r="FL6766" s="2"/>
      <c r="FN6766" s="2"/>
    </row>
    <row r="6767" spans="153:170" x14ac:dyDescent="0.35">
      <c r="EW6767" s="48"/>
      <c r="FB6767" s="5"/>
      <c r="FI6767" s="5"/>
      <c r="FJ6767" s="164"/>
      <c r="FL6767" s="2"/>
      <c r="FN6767" s="2"/>
    </row>
    <row r="6768" spans="153:170" x14ac:dyDescent="0.35">
      <c r="EW6768" s="48"/>
      <c r="FB6768" s="5"/>
      <c r="FI6768" s="5"/>
      <c r="FJ6768" s="164"/>
      <c r="FL6768" s="2"/>
      <c r="FN6768" s="2"/>
    </row>
    <row r="6769" spans="153:170" x14ac:dyDescent="0.35">
      <c r="EW6769" s="48"/>
      <c r="FB6769" s="5"/>
      <c r="FI6769" s="5"/>
      <c r="FJ6769" s="164"/>
      <c r="FL6769" s="2"/>
      <c r="FN6769" s="2"/>
    </row>
    <row r="6770" spans="153:170" x14ac:dyDescent="0.35">
      <c r="EW6770" s="48"/>
      <c r="FB6770" s="5"/>
      <c r="FI6770" s="5"/>
      <c r="FJ6770" s="164"/>
      <c r="FL6770" s="2"/>
      <c r="FN6770" s="2"/>
    </row>
    <row r="6771" spans="153:170" x14ac:dyDescent="0.35">
      <c r="EW6771" s="48"/>
      <c r="FB6771" s="5"/>
      <c r="FI6771" s="5"/>
      <c r="FJ6771" s="164"/>
      <c r="FL6771" s="2"/>
      <c r="FN6771" s="2"/>
    </row>
    <row r="6772" spans="153:170" x14ac:dyDescent="0.35">
      <c r="EW6772" s="48"/>
      <c r="FB6772" s="5"/>
      <c r="FI6772" s="5"/>
      <c r="FJ6772" s="164"/>
      <c r="FL6772" s="2"/>
      <c r="FN6772" s="2"/>
    </row>
    <row r="6773" spans="153:170" x14ac:dyDescent="0.35">
      <c r="EW6773" s="48"/>
      <c r="FB6773" s="5"/>
      <c r="FI6773" s="5"/>
      <c r="FJ6773" s="164"/>
      <c r="FL6773" s="2"/>
      <c r="FN6773" s="2"/>
    </row>
    <row r="6774" spans="153:170" x14ac:dyDescent="0.35">
      <c r="EW6774" s="48"/>
      <c r="FB6774" s="5"/>
      <c r="FI6774" s="5"/>
      <c r="FJ6774" s="164"/>
      <c r="FL6774" s="2"/>
      <c r="FN6774" s="2"/>
    </row>
    <row r="6775" spans="153:170" x14ac:dyDescent="0.35">
      <c r="EW6775" s="48"/>
      <c r="FB6775" s="5"/>
      <c r="FI6775" s="5"/>
      <c r="FJ6775" s="164"/>
      <c r="FL6775" s="2"/>
      <c r="FN6775" s="2"/>
    </row>
    <row r="6776" spans="153:170" x14ac:dyDescent="0.35">
      <c r="EW6776" s="48"/>
      <c r="FB6776" s="5"/>
      <c r="FI6776" s="5"/>
      <c r="FJ6776" s="164"/>
      <c r="FL6776" s="2"/>
      <c r="FN6776" s="2"/>
    </row>
    <row r="6777" spans="153:170" x14ac:dyDescent="0.35">
      <c r="EW6777" s="48"/>
      <c r="FB6777" s="5"/>
      <c r="FI6777" s="5"/>
      <c r="FJ6777" s="164"/>
      <c r="FL6777" s="2"/>
      <c r="FN6777" s="2"/>
    </row>
    <row r="6778" spans="153:170" x14ac:dyDescent="0.35">
      <c r="EW6778" s="48"/>
      <c r="FB6778" s="5"/>
      <c r="FI6778" s="5"/>
      <c r="FJ6778" s="164"/>
      <c r="FL6778" s="2"/>
      <c r="FN6778" s="2"/>
    </row>
    <row r="6779" spans="153:170" x14ac:dyDescent="0.35">
      <c r="EW6779" s="48"/>
      <c r="FB6779" s="5"/>
      <c r="FI6779" s="5"/>
      <c r="FJ6779" s="164"/>
      <c r="FL6779" s="2"/>
      <c r="FN6779" s="2"/>
    </row>
    <row r="6780" spans="153:170" x14ac:dyDescent="0.35">
      <c r="EW6780" s="48"/>
      <c r="FB6780" s="5"/>
      <c r="FI6780" s="5"/>
      <c r="FJ6780" s="164"/>
      <c r="FL6780" s="2"/>
      <c r="FN6780" s="2"/>
    </row>
    <row r="6781" spans="153:170" x14ac:dyDescent="0.35">
      <c r="EW6781" s="48"/>
      <c r="FB6781" s="5"/>
      <c r="FI6781" s="5"/>
      <c r="FJ6781" s="164"/>
      <c r="FL6781" s="2"/>
      <c r="FN6781" s="2"/>
    </row>
    <row r="6782" spans="153:170" x14ac:dyDescent="0.35">
      <c r="EW6782" s="48"/>
      <c r="FB6782" s="5"/>
      <c r="FI6782" s="5"/>
      <c r="FJ6782" s="164"/>
      <c r="FL6782" s="2"/>
      <c r="FN6782" s="2"/>
    </row>
    <row r="6783" spans="153:170" x14ac:dyDescent="0.35">
      <c r="EW6783" s="48"/>
      <c r="FB6783" s="5"/>
      <c r="FI6783" s="5"/>
      <c r="FJ6783" s="164"/>
      <c r="FL6783" s="2"/>
      <c r="FN6783" s="2"/>
    </row>
    <row r="6784" spans="153:170" x14ac:dyDescent="0.35">
      <c r="EW6784" s="48"/>
      <c r="FB6784" s="5"/>
      <c r="FI6784" s="5"/>
      <c r="FJ6784" s="164"/>
      <c r="FL6784" s="2"/>
      <c r="FN6784" s="2"/>
    </row>
    <row r="6785" spans="153:170" x14ac:dyDescent="0.35">
      <c r="EW6785" s="48"/>
      <c r="FB6785" s="5"/>
      <c r="FI6785" s="5"/>
      <c r="FJ6785" s="164"/>
      <c r="FL6785" s="2"/>
      <c r="FN6785" s="2"/>
    </row>
    <row r="6786" spans="153:170" x14ac:dyDescent="0.35">
      <c r="EW6786" s="48"/>
      <c r="FB6786" s="5"/>
      <c r="FI6786" s="5"/>
      <c r="FJ6786" s="164"/>
      <c r="FL6786" s="2"/>
      <c r="FN6786" s="2"/>
    </row>
    <row r="6787" spans="153:170" x14ac:dyDescent="0.35">
      <c r="EW6787" s="48"/>
      <c r="FB6787" s="5"/>
      <c r="FI6787" s="5"/>
      <c r="FJ6787" s="164"/>
      <c r="FL6787" s="2"/>
      <c r="FN6787" s="2"/>
    </row>
    <row r="6788" spans="153:170" x14ac:dyDescent="0.35">
      <c r="EW6788" s="48"/>
      <c r="FB6788" s="5"/>
      <c r="FI6788" s="5"/>
      <c r="FJ6788" s="164"/>
      <c r="FL6788" s="2"/>
      <c r="FN6788" s="2"/>
    </row>
    <row r="6789" spans="153:170" x14ac:dyDescent="0.35">
      <c r="EW6789" s="48"/>
      <c r="FB6789" s="5"/>
      <c r="FI6789" s="5"/>
      <c r="FJ6789" s="164"/>
      <c r="FL6789" s="2"/>
      <c r="FN6789" s="2"/>
    </row>
    <row r="6790" spans="153:170" x14ac:dyDescent="0.35">
      <c r="EW6790" s="48"/>
      <c r="FB6790" s="5"/>
      <c r="FI6790" s="5"/>
      <c r="FJ6790" s="164"/>
      <c r="FL6790" s="2"/>
      <c r="FN6790" s="2"/>
    </row>
    <row r="6791" spans="153:170" x14ac:dyDescent="0.35">
      <c r="EW6791" s="48"/>
      <c r="FB6791" s="5"/>
      <c r="FI6791" s="5"/>
      <c r="FJ6791" s="164"/>
      <c r="FL6791" s="2"/>
      <c r="FN6791" s="2"/>
    </row>
    <row r="6792" spans="153:170" x14ac:dyDescent="0.35">
      <c r="EW6792" s="48"/>
      <c r="FB6792" s="5"/>
      <c r="FI6792" s="5"/>
      <c r="FJ6792" s="164"/>
      <c r="FL6792" s="2"/>
      <c r="FN6792" s="2"/>
    </row>
    <row r="6793" spans="153:170" x14ac:dyDescent="0.35">
      <c r="EW6793" s="48"/>
      <c r="FB6793" s="5"/>
      <c r="FI6793" s="5"/>
      <c r="FJ6793" s="164"/>
      <c r="FL6793" s="2"/>
      <c r="FN6793" s="2"/>
    </row>
    <row r="6794" spans="153:170" x14ac:dyDescent="0.35">
      <c r="EW6794" s="48"/>
      <c r="FB6794" s="5"/>
      <c r="FI6794" s="5"/>
      <c r="FJ6794" s="164"/>
      <c r="FL6794" s="2"/>
      <c r="FN6794" s="2"/>
    </row>
    <row r="6795" spans="153:170" x14ac:dyDescent="0.35">
      <c r="EW6795" s="48"/>
      <c r="FB6795" s="5"/>
      <c r="FI6795" s="5"/>
      <c r="FJ6795" s="164"/>
      <c r="FL6795" s="2"/>
      <c r="FN6795" s="2"/>
    </row>
    <row r="6796" spans="153:170" x14ac:dyDescent="0.35">
      <c r="EW6796" s="48"/>
      <c r="FB6796" s="5"/>
      <c r="FI6796" s="5"/>
      <c r="FJ6796" s="164"/>
      <c r="FL6796" s="2"/>
      <c r="FN6796" s="2"/>
    </row>
    <row r="6797" spans="153:170" x14ac:dyDescent="0.35">
      <c r="EW6797" s="48"/>
      <c r="FB6797" s="5"/>
      <c r="FI6797" s="5"/>
      <c r="FJ6797" s="164"/>
      <c r="FL6797" s="2"/>
      <c r="FN6797" s="2"/>
    </row>
    <row r="6798" spans="153:170" x14ac:dyDescent="0.35">
      <c r="EW6798" s="48"/>
      <c r="FB6798" s="5"/>
      <c r="FI6798" s="5"/>
      <c r="FJ6798" s="164"/>
      <c r="FL6798" s="2"/>
      <c r="FN6798" s="2"/>
    </row>
    <row r="6799" spans="153:170" x14ac:dyDescent="0.35">
      <c r="EW6799" s="48"/>
      <c r="FB6799" s="5"/>
      <c r="FI6799" s="5"/>
      <c r="FJ6799" s="164"/>
      <c r="FL6799" s="2"/>
      <c r="FN6799" s="2"/>
    </row>
    <row r="6800" spans="153:170" x14ac:dyDescent="0.35">
      <c r="EW6800" s="48"/>
      <c r="FB6800" s="5"/>
      <c r="FI6800" s="5"/>
      <c r="FJ6800" s="164"/>
      <c r="FL6800" s="2"/>
      <c r="FN6800" s="2"/>
    </row>
    <row r="6801" spans="153:170" x14ac:dyDescent="0.35">
      <c r="EW6801" s="48"/>
      <c r="FB6801" s="5"/>
      <c r="FI6801" s="5"/>
      <c r="FJ6801" s="164"/>
      <c r="FL6801" s="2"/>
      <c r="FN6801" s="2"/>
    </row>
    <row r="6802" spans="153:170" x14ac:dyDescent="0.35">
      <c r="EW6802" s="48"/>
      <c r="FB6802" s="5"/>
      <c r="FI6802" s="5"/>
      <c r="FJ6802" s="164"/>
      <c r="FL6802" s="2"/>
      <c r="FN6802" s="2"/>
    </row>
    <row r="6803" spans="153:170" x14ac:dyDescent="0.35">
      <c r="EW6803" s="48"/>
      <c r="FB6803" s="5"/>
      <c r="FI6803" s="5"/>
      <c r="FJ6803" s="164"/>
      <c r="FL6803" s="2"/>
      <c r="FN6803" s="2"/>
    </row>
    <row r="6804" spans="153:170" x14ac:dyDescent="0.35">
      <c r="EW6804" s="48"/>
      <c r="FB6804" s="5"/>
      <c r="FI6804" s="5"/>
      <c r="FJ6804" s="164"/>
      <c r="FL6804" s="2"/>
      <c r="FN6804" s="2"/>
    </row>
    <row r="6805" spans="153:170" x14ac:dyDescent="0.35">
      <c r="EW6805" s="48"/>
      <c r="FB6805" s="5"/>
      <c r="FI6805" s="5"/>
      <c r="FJ6805" s="164"/>
      <c r="FL6805" s="2"/>
      <c r="FN6805" s="2"/>
    </row>
    <row r="6806" spans="153:170" x14ac:dyDescent="0.35">
      <c r="EW6806" s="48"/>
      <c r="FB6806" s="5"/>
      <c r="FI6806" s="5"/>
      <c r="FJ6806" s="164"/>
      <c r="FL6806" s="2"/>
      <c r="FN6806" s="2"/>
    </row>
    <row r="6807" spans="153:170" x14ac:dyDescent="0.35">
      <c r="EW6807" s="48"/>
      <c r="FB6807" s="5"/>
      <c r="FI6807" s="5"/>
      <c r="FJ6807" s="164"/>
      <c r="FL6807" s="2"/>
      <c r="FN6807" s="2"/>
    </row>
    <row r="6808" spans="153:170" x14ac:dyDescent="0.35">
      <c r="EW6808" s="48"/>
      <c r="FB6808" s="5"/>
      <c r="FI6808" s="5"/>
      <c r="FJ6808" s="164"/>
      <c r="FL6808" s="2"/>
      <c r="FN6808" s="2"/>
    </row>
    <row r="6809" spans="153:170" x14ac:dyDescent="0.35">
      <c r="EW6809" s="48"/>
      <c r="FB6809" s="5"/>
      <c r="FI6809" s="5"/>
      <c r="FJ6809" s="164"/>
      <c r="FL6809" s="2"/>
      <c r="FN6809" s="2"/>
    </row>
    <row r="6810" spans="153:170" x14ac:dyDescent="0.35">
      <c r="EW6810" s="48"/>
      <c r="FB6810" s="5"/>
      <c r="FI6810" s="5"/>
      <c r="FJ6810" s="164"/>
      <c r="FL6810" s="2"/>
      <c r="FN6810" s="2"/>
    </row>
    <row r="6811" spans="153:170" x14ac:dyDescent="0.35">
      <c r="EW6811" s="48"/>
      <c r="FB6811" s="5"/>
      <c r="FI6811" s="5"/>
      <c r="FJ6811" s="164"/>
      <c r="FL6811" s="2"/>
      <c r="FN6811" s="2"/>
    </row>
    <row r="6812" spans="153:170" x14ac:dyDescent="0.35">
      <c r="EW6812" s="48"/>
      <c r="FB6812" s="5"/>
      <c r="FI6812" s="5"/>
      <c r="FJ6812" s="164"/>
      <c r="FL6812" s="2"/>
      <c r="FN6812" s="2"/>
    </row>
    <row r="6813" spans="153:170" x14ac:dyDescent="0.35">
      <c r="EW6813" s="48"/>
      <c r="FB6813" s="5"/>
      <c r="FI6813" s="5"/>
      <c r="FJ6813" s="164"/>
      <c r="FL6813" s="2"/>
      <c r="FN6813" s="2"/>
    </row>
    <row r="6814" spans="153:170" x14ac:dyDescent="0.35">
      <c r="EW6814" s="48"/>
      <c r="FB6814" s="5"/>
      <c r="FI6814" s="5"/>
      <c r="FJ6814" s="164"/>
      <c r="FL6814" s="2"/>
      <c r="FN6814" s="2"/>
    </row>
    <row r="6815" spans="153:170" x14ac:dyDescent="0.35">
      <c r="EW6815" s="48"/>
      <c r="FB6815" s="5"/>
      <c r="FI6815" s="5"/>
      <c r="FJ6815" s="164"/>
      <c r="FL6815" s="2"/>
      <c r="FN6815" s="2"/>
    </row>
    <row r="6816" spans="153:170" x14ac:dyDescent="0.35">
      <c r="EW6816" s="48"/>
      <c r="FB6816" s="5"/>
      <c r="FI6816" s="5"/>
      <c r="FJ6816" s="164"/>
      <c r="FL6816" s="2"/>
      <c r="FN6816" s="2"/>
    </row>
    <row r="6817" spans="153:170" x14ac:dyDescent="0.35">
      <c r="EW6817" s="48"/>
      <c r="FB6817" s="5"/>
      <c r="FI6817" s="5"/>
      <c r="FJ6817" s="164"/>
      <c r="FL6817" s="2"/>
      <c r="FN6817" s="2"/>
    </row>
    <row r="6818" spans="153:170" x14ac:dyDescent="0.35">
      <c r="EW6818" s="48"/>
      <c r="FB6818" s="5"/>
      <c r="FI6818" s="5"/>
      <c r="FJ6818" s="164"/>
      <c r="FL6818" s="2"/>
      <c r="FN6818" s="2"/>
    </row>
    <row r="6819" spans="153:170" x14ac:dyDescent="0.35">
      <c r="EW6819" s="48"/>
      <c r="FB6819" s="5"/>
      <c r="FI6819" s="5"/>
      <c r="FJ6819" s="164"/>
      <c r="FL6819" s="2"/>
      <c r="FN6819" s="2"/>
    </row>
    <row r="6820" spans="153:170" x14ac:dyDescent="0.35">
      <c r="EW6820" s="48"/>
      <c r="FB6820" s="5"/>
      <c r="FI6820" s="5"/>
      <c r="FJ6820" s="164"/>
      <c r="FL6820" s="2"/>
      <c r="FN6820" s="2"/>
    </row>
    <row r="6821" spans="153:170" x14ac:dyDescent="0.35">
      <c r="EW6821" s="48"/>
      <c r="FB6821" s="5"/>
      <c r="FI6821" s="5"/>
      <c r="FJ6821" s="164"/>
      <c r="FL6821" s="2"/>
      <c r="FN6821" s="2"/>
    </row>
    <row r="6822" spans="153:170" x14ac:dyDescent="0.35">
      <c r="EW6822" s="48"/>
      <c r="FB6822" s="5"/>
      <c r="FI6822" s="5"/>
      <c r="FJ6822" s="164"/>
      <c r="FL6822" s="2"/>
      <c r="FN6822" s="2"/>
    </row>
    <row r="6823" spans="153:170" x14ac:dyDescent="0.35">
      <c r="EW6823" s="48"/>
      <c r="FB6823" s="5"/>
      <c r="FI6823" s="5"/>
      <c r="FJ6823" s="164"/>
      <c r="FL6823" s="2"/>
      <c r="FN6823" s="2"/>
    </row>
    <row r="6824" spans="153:170" x14ac:dyDescent="0.35">
      <c r="EW6824" s="48"/>
      <c r="FB6824" s="5"/>
      <c r="FI6824" s="5"/>
      <c r="FJ6824" s="164"/>
      <c r="FL6824" s="2"/>
      <c r="FN6824" s="2"/>
    </row>
    <row r="6825" spans="153:170" x14ac:dyDescent="0.35">
      <c r="EW6825" s="48"/>
      <c r="FB6825" s="5"/>
      <c r="FI6825" s="5"/>
      <c r="FJ6825" s="164"/>
      <c r="FL6825" s="2"/>
      <c r="FN6825" s="2"/>
    </row>
    <row r="6826" spans="153:170" x14ac:dyDescent="0.35">
      <c r="EW6826" s="48"/>
      <c r="FB6826" s="5"/>
      <c r="FI6826" s="5"/>
      <c r="FJ6826" s="164"/>
      <c r="FL6826" s="2"/>
      <c r="FN6826" s="2"/>
    </row>
    <row r="6827" spans="153:170" x14ac:dyDescent="0.35">
      <c r="EW6827" s="48"/>
      <c r="FB6827" s="5"/>
      <c r="FI6827" s="5"/>
      <c r="FJ6827" s="164"/>
      <c r="FL6827" s="2"/>
      <c r="FN6827" s="2"/>
    </row>
    <row r="6828" spans="153:170" x14ac:dyDescent="0.35">
      <c r="EW6828" s="48"/>
      <c r="FB6828" s="5"/>
      <c r="FI6828" s="5"/>
      <c r="FJ6828" s="164"/>
      <c r="FL6828" s="2"/>
      <c r="FN6828" s="2"/>
    </row>
    <row r="6829" spans="153:170" x14ac:dyDescent="0.35">
      <c r="EW6829" s="48"/>
      <c r="FB6829" s="5"/>
      <c r="FI6829" s="5"/>
      <c r="FJ6829" s="164"/>
      <c r="FL6829" s="2"/>
      <c r="FN6829" s="2"/>
    </row>
    <row r="6830" spans="153:170" x14ac:dyDescent="0.35">
      <c r="EW6830" s="48"/>
      <c r="FB6830" s="5"/>
      <c r="FI6830" s="5"/>
      <c r="FJ6830" s="164"/>
      <c r="FL6830" s="2"/>
      <c r="FN6830" s="2"/>
    </row>
    <row r="6831" spans="153:170" x14ac:dyDescent="0.35">
      <c r="EW6831" s="48"/>
      <c r="FB6831" s="5"/>
      <c r="FI6831" s="5"/>
      <c r="FJ6831" s="164"/>
      <c r="FL6831" s="2"/>
      <c r="FN6831" s="2"/>
    </row>
    <row r="6832" spans="153:170" x14ac:dyDescent="0.35">
      <c r="EW6832" s="48"/>
      <c r="FB6832" s="5"/>
      <c r="FI6832" s="5"/>
      <c r="FJ6832" s="164"/>
      <c r="FL6832" s="2"/>
      <c r="FN6832" s="2"/>
    </row>
    <row r="6833" spans="153:170" x14ac:dyDescent="0.35">
      <c r="EW6833" s="48"/>
      <c r="FB6833" s="5"/>
      <c r="FI6833" s="5"/>
      <c r="FJ6833" s="164"/>
      <c r="FL6833" s="2"/>
      <c r="FN6833" s="2"/>
    </row>
    <row r="6834" spans="153:170" x14ac:dyDescent="0.35">
      <c r="EW6834" s="48"/>
      <c r="FB6834" s="5"/>
      <c r="FI6834" s="5"/>
      <c r="FJ6834" s="164"/>
      <c r="FL6834" s="2"/>
      <c r="FN6834" s="2"/>
    </row>
    <row r="6835" spans="153:170" x14ac:dyDescent="0.35">
      <c r="EW6835" s="48"/>
      <c r="FB6835" s="5"/>
      <c r="FI6835" s="5"/>
      <c r="FJ6835" s="164"/>
      <c r="FL6835" s="2"/>
      <c r="FN6835" s="2"/>
    </row>
    <row r="6836" spans="153:170" x14ac:dyDescent="0.35">
      <c r="EW6836" s="48"/>
      <c r="FB6836" s="5"/>
      <c r="FI6836" s="5"/>
      <c r="FJ6836" s="164"/>
      <c r="FL6836" s="2"/>
      <c r="FN6836" s="2"/>
    </row>
    <row r="6837" spans="153:170" x14ac:dyDescent="0.35">
      <c r="EW6837" s="48"/>
      <c r="FB6837" s="5"/>
      <c r="FI6837" s="5"/>
      <c r="FJ6837" s="164"/>
      <c r="FL6837" s="2"/>
      <c r="FN6837" s="2"/>
    </row>
    <row r="6838" spans="153:170" x14ac:dyDescent="0.35">
      <c r="EW6838" s="48"/>
      <c r="FB6838" s="5"/>
      <c r="FI6838" s="5"/>
      <c r="FJ6838" s="164"/>
      <c r="FL6838" s="2"/>
      <c r="FN6838" s="2"/>
    </row>
    <row r="6839" spans="153:170" x14ac:dyDescent="0.35">
      <c r="EW6839" s="48"/>
      <c r="FB6839" s="5"/>
      <c r="FI6839" s="5"/>
      <c r="FJ6839" s="164"/>
      <c r="FL6839" s="2"/>
      <c r="FN6839" s="2"/>
    </row>
    <row r="6840" spans="153:170" x14ac:dyDescent="0.35">
      <c r="EW6840" s="48"/>
      <c r="FB6840" s="5"/>
      <c r="FI6840" s="5"/>
      <c r="FJ6840" s="164"/>
      <c r="FL6840" s="2"/>
      <c r="FN6840" s="2"/>
    </row>
    <row r="6841" spans="153:170" x14ac:dyDescent="0.35">
      <c r="EW6841" s="48"/>
      <c r="FB6841" s="5"/>
      <c r="FI6841" s="5"/>
      <c r="FJ6841" s="164"/>
      <c r="FL6841" s="2"/>
      <c r="FN6841" s="2"/>
    </row>
    <row r="6842" spans="153:170" x14ac:dyDescent="0.35">
      <c r="EW6842" s="48"/>
      <c r="FB6842" s="5"/>
      <c r="FI6842" s="5"/>
      <c r="FJ6842" s="164"/>
      <c r="FL6842" s="2"/>
      <c r="FN6842" s="2"/>
    </row>
    <row r="6843" spans="153:170" x14ac:dyDescent="0.35">
      <c r="EW6843" s="48"/>
      <c r="FB6843" s="5"/>
      <c r="FI6843" s="5"/>
      <c r="FJ6843" s="164"/>
      <c r="FL6843" s="2"/>
      <c r="FN6843" s="2"/>
    </row>
    <row r="6844" spans="153:170" x14ac:dyDescent="0.35">
      <c r="EW6844" s="48"/>
      <c r="FB6844" s="5"/>
      <c r="FI6844" s="5"/>
      <c r="FJ6844" s="164"/>
      <c r="FL6844" s="2"/>
      <c r="FN6844" s="2"/>
    </row>
    <row r="6845" spans="153:170" x14ac:dyDescent="0.35">
      <c r="EW6845" s="48"/>
      <c r="FB6845" s="5"/>
      <c r="FI6845" s="5"/>
      <c r="FJ6845" s="164"/>
      <c r="FL6845" s="2"/>
      <c r="FN6845" s="2"/>
    </row>
    <row r="6846" spans="153:170" x14ac:dyDescent="0.35">
      <c r="EW6846" s="48"/>
      <c r="FB6846" s="5"/>
      <c r="FI6846" s="5"/>
      <c r="FJ6846" s="164"/>
      <c r="FL6846" s="2"/>
      <c r="FN6846" s="2"/>
    </row>
    <row r="6847" spans="153:170" x14ac:dyDescent="0.35">
      <c r="EW6847" s="48"/>
      <c r="FB6847" s="5"/>
      <c r="FI6847" s="5"/>
      <c r="FJ6847" s="164"/>
      <c r="FL6847" s="2"/>
      <c r="FN6847" s="2"/>
    </row>
    <row r="6848" spans="153:170" x14ac:dyDescent="0.35">
      <c r="EW6848" s="48"/>
      <c r="FB6848" s="5"/>
      <c r="FI6848" s="5"/>
      <c r="FJ6848" s="164"/>
      <c r="FL6848" s="2"/>
      <c r="FN6848" s="2"/>
    </row>
    <row r="6849" spans="153:170" x14ac:dyDescent="0.35">
      <c r="EW6849" s="48"/>
      <c r="FB6849" s="5"/>
      <c r="FI6849" s="5"/>
      <c r="FJ6849" s="164"/>
      <c r="FL6849" s="2"/>
      <c r="FN6849" s="2"/>
    </row>
    <row r="6850" spans="153:170" x14ac:dyDescent="0.35">
      <c r="EW6850" s="48"/>
      <c r="FB6850" s="5"/>
      <c r="FI6850" s="5"/>
      <c r="FJ6850" s="164"/>
      <c r="FL6850" s="2"/>
      <c r="FN6850" s="2"/>
    </row>
    <row r="6851" spans="153:170" x14ac:dyDescent="0.35">
      <c r="EW6851" s="48"/>
      <c r="FB6851" s="5"/>
      <c r="FI6851" s="5"/>
      <c r="FJ6851" s="164"/>
      <c r="FL6851" s="2"/>
      <c r="FN6851" s="2"/>
    </row>
    <row r="6852" spans="153:170" x14ac:dyDescent="0.35">
      <c r="EW6852" s="48"/>
      <c r="FB6852" s="5"/>
      <c r="FI6852" s="5"/>
      <c r="FJ6852" s="164"/>
      <c r="FL6852" s="2"/>
      <c r="FN6852" s="2"/>
    </row>
    <row r="6853" spans="153:170" x14ac:dyDescent="0.35">
      <c r="EW6853" s="48"/>
      <c r="FB6853" s="5"/>
      <c r="FI6853" s="5"/>
      <c r="FJ6853" s="164"/>
      <c r="FL6853" s="2"/>
      <c r="FN6853" s="2"/>
    </row>
    <row r="6854" spans="153:170" x14ac:dyDescent="0.35">
      <c r="EW6854" s="48"/>
      <c r="FB6854" s="5"/>
      <c r="FI6854" s="5"/>
      <c r="FJ6854" s="164"/>
      <c r="FL6854" s="2"/>
      <c r="FN6854" s="2"/>
    </row>
    <row r="6855" spans="153:170" x14ac:dyDescent="0.35">
      <c r="EW6855" s="48"/>
      <c r="FB6855" s="5"/>
      <c r="FI6855" s="5"/>
      <c r="FJ6855" s="164"/>
      <c r="FL6855" s="2"/>
      <c r="FN6855" s="2"/>
    </row>
    <row r="6856" spans="153:170" x14ac:dyDescent="0.35">
      <c r="EW6856" s="48"/>
      <c r="FB6856" s="5"/>
      <c r="FI6856" s="5"/>
      <c r="FJ6856" s="164"/>
      <c r="FL6856" s="2"/>
      <c r="FN6856" s="2"/>
    </row>
    <row r="6857" spans="153:170" x14ac:dyDescent="0.35">
      <c r="EW6857" s="48"/>
      <c r="FB6857" s="5"/>
      <c r="FI6857" s="5"/>
      <c r="FJ6857" s="164"/>
      <c r="FL6857" s="2"/>
      <c r="FN6857" s="2"/>
    </row>
    <row r="6858" spans="153:170" x14ac:dyDescent="0.35">
      <c r="EW6858" s="48"/>
      <c r="FB6858" s="5"/>
      <c r="FI6858" s="5"/>
      <c r="FJ6858" s="164"/>
      <c r="FL6858" s="2"/>
      <c r="FN6858" s="2"/>
    </row>
    <row r="6859" spans="153:170" x14ac:dyDescent="0.35">
      <c r="EW6859" s="48"/>
      <c r="FB6859" s="5"/>
      <c r="FI6859" s="5"/>
      <c r="FJ6859" s="164"/>
      <c r="FL6859" s="2"/>
      <c r="FN6859" s="2"/>
    </row>
    <row r="6860" spans="153:170" x14ac:dyDescent="0.35">
      <c r="EW6860" s="48"/>
      <c r="FB6860" s="5"/>
      <c r="FI6860" s="5"/>
      <c r="FJ6860" s="164"/>
      <c r="FL6860" s="2"/>
      <c r="FN6860" s="2"/>
    </row>
    <row r="6861" spans="153:170" x14ac:dyDescent="0.35">
      <c r="EW6861" s="48"/>
      <c r="FB6861" s="5"/>
      <c r="FI6861" s="5"/>
      <c r="FJ6861" s="164"/>
      <c r="FL6861" s="2"/>
      <c r="FN6861" s="2"/>
    </row>
    <row r="6862" spans="153:170" x14ac:dyDescent="0.35">
      <c r="EW6862" s="48"/>
      <c r="FB6862" s="5"/>
      <c r="FI6862" s="5"/>
      <c r="FJ6862" s="164"/>
      <c r="FL6862" s="2"/>
      <c r="FN6862" s="2"/>
    </row>
    <row r="6863" spans="153:170" x14ac:dyDescent="0.35">
      <c r="EW6863" s="48"/>
      <c r="FB6863" s="5"/>
      <c r="FI6863" s="5"/>
      <c r="FJ6863" s="164"/>
      <c r="FL6863" s="2"/>
      <c r="FN6863" s="2"/>
    </row>
    <row r="6864" spans="153:170" x14ac:dyDescent="0.35">
      <c r="EW6864" s="48"/>
      <c r="FB6864" s="5"/>
      <c r="FI6864" s="5"/>
      <c r="FJ6864" s="164"/>
      <c r="FL6864" s="2"/>
      <c r="FN6864" s="2"/>
    </row>
    <row r="6865" spans="153:170" x14ac:dyDescent="0.35">
      <c r="EW6865" s="48"/>
      <c r="FB6865" s="5"/>
      <c r="FI6865" s="5"/>
      <c r="FJ6865" s="164"/>
      <c r="FL6865" s="2"/>
      <c r="FN6865" s="2"/>
    </row>
    <row r="6866" spans="153:170" x14ac:dyDescent="0.35">
      <c r="EW6866" s="48"/>
      <c r="FB6866" s="5"/>
      <c r="FI6866" s="5"/>
      <c r="FJ6866" s="164"/>
      <c r="FL6866" s="2"/>
      <c r="FN6866" s="2"/>
    </row>
    <row r="6867" spans="153:170" x14ac:dyDescent="0.35">
      <c r="EW6867" s="48"/>
      <c r="FB6867" s="5"/>
      <c r="FI6867" s="5"/>
      <c r="FJ6867" s="164"/>
      <c r="FL6867" s="2"/>
      <c r="FN6867" s="2"/>
    </row>
    <row r="6868" spans="153:170" x14ac:dyDescent="0.35">
      <c r="EW6868" s="48"/>
      <c r="FB6868" s="5"/>
      <c r="FI6868" s="5"/>
      <c r="FJ6868" s="164"/>
      <c r="FL6868" s="2"/>
      <c r="FN6868" s="2"/>
    </row>
    <row r="6869" spans="153:170" x14ac:dyDescent="0.35">
      <c r="EW6869" s="48"/>
      <c r="FB6869" s="5"/>
      <c r="FI6869" s="5"/>
      <c r="FJ6869" s="164"/>
      <c r="FL6869" s="2"/>
      <c r="FN6869" s="2"/>
    </row>
    <row r="6870" spans="153:170" x14ac:dyDescent="0.35">
      <c r="EW6870" s="48"/>
      <c r="FB6870" s="5"/>
      <c r="FI6870" s="5"/>
      <c r="FJ6870" s="164"/>
      <c r="FL6870" s="2"/>
      <c r="FN6870" s="2"/>
    </row>
    <row r="6871" spans="153:170" x14ac:dyDescent="0.35">
      <c r="EW6871" s="48"/>
      <c r="FB6871" s="5"/>
      <c r="FI6871" s="5"/>
      <c r="FJ6871" s="164"/>
      <c r="FL6871" s="2"/>
      <c r="FN6871" s="2"/>
    </row>
    <row r="6872" spans="153:170" x14ac:dyDescent="0.35">
      <c r="EW6872" s="48"/>
      <c r="FB6872" s="5"/>
      <c r="FI6872" s="5"/>
      <c r="FJ6872" s="164"/>
      <c r="FL6872" s="2"/>
      <c r="FN6872" s="2"/>
    </row>
    <row r="6873" spans="153:170" x14ac:dyDescent="0.35">
      <c r="EW6873" s="48"/>
      <c r="FB6873" s="5"/>
      <c r="FI6873" s="5"/>
      <c r="FJ6873" s="164"/>
      <c r="FL6873" s="2"/>
      <c r="FN6873" s="2"/>
    </row>
    <row r="6874" spans="153:170" x14ac:dyDescent="0.35">
      <c r="EW6874" s="48"/>
      <c r="FB6874" s="5"/>
      <c r="FI6874" s="5"/>
      <c r="FJ6874" s="164"/>
      <c r="FL6874" s="2"/>
      <c r="FN6874" s="2"/>
    </row>
    <row r="6875" spans="153:170" x14ac:dyDescent="0.35">
      <c r="EW6875" s="48"/>
      <c r="FB6875" s="5"/>
      <c r="FI6875" s="5"/>
      <c r="FJ6875" s="164"/>
      <c r="FL6875" s="2"/>
      <c r="FN6875" s="2"/>
    </row>
    <row r="6876" spans="153:170" x14ac:dyDescent="0.35">
      <c r="EW6876" s="48"/>
      <c r="FB6876" s="5"/>
      <c r="FI6876" s="5"/>
      <c r="FJ6876" s="164"/>
      <c r="FL6876" s="2"/>
      <c r="FN6876" s="2"/>
    </row>
    <row r="6877" spans="153:170" x14ac:dyDescent="0.35">
      <c r="EW6877" s="48"/>
      <c r="FB6877" s="5"/>
      <c r="FI6877" s="5"/>
      <c r="FJ6877" s="164"/>
      <c r="FL6877" s="2"/>
      <c r="FN6877" s="2"/>
    </row>
    <row r="6878" spans="153:170" x14ac:dyDescent="0.35">
      <c r="EW6878" s="48"/>
      <c r="FB6878" s="5"/>
      <c r="FI6878" s="5"/>
      <c r="FJ6878" s="164"/>
      <c r="FL6878" s="2"/>
      <c r="FN6878" s="2"/>
    </row>
    <row r="6879" spans="153:170" x14ac:dyDescent="0.35">
      <c r="EW6879" s="48"/>
      <c r="FB6879" s="5"/>
      <c r="FI6879" s="5"/>
      <c r="FJ6879" s="164"/>
      <c r="FL6879" s="2"/>
      <c r="FN6879" s="2"/>
    </row>
    <row r="6880" spans="153:170" x14ac:dyDescent="0.35">
      <c r="EW6880" s="48"/>
      <c r="FB6880" s="5"/>
      <c r="FI6880" s="5"/>
      <c r="FJ6880" s="164"/>
      <c r="FL6880" s="2"/>
      <c r="FN6880" s="2"/>
    </row>
    <row r="6881" spans="153:170" x14ac:dyDescent="0.35">
      <c r="EW6881" s="48"/>
      <c r="FB6881" s="5"/>
      <c r="FI6881" s="5"/>
      <c r="FJ6881" s="164"/>
      <c r="FL6881" s="2"/>
      <c r="FN6881" s="2"/>
    </row>
    <row r="6882" spans="153:170" x14ac:dyDescent="0.35">
      <c r="EW6882" s="48"/>
      <c r="FB6882" s="5"/>
      <c r="FI6882" s="5"/>
      <c r="FJ6882" s="164"/>
      <c r="FL6882" s="2"/>
      <c r="FN6882" s="2"/>
    </row>
    <row r="6883" spans="153:170" x14ac:dyDescent="0.35">
      <c r="EW6883" s="48"/>
      <c r="FB6883" s="5"/>
      <c r="FI6883" s="5"/>
      <c r="FJ6883" s="164"/>
      <c r="FL6883" s="2"/>
      <c r="FN6883" s="2"/>
    </row>
    <row r="6884" spans="153:170" x14ac:dyDescent="0.35">
      <c r="EW6884" s="48"/>
      <c r="FB6884" s="5"/>
      <c r="FI6884" s="5"/>
      <c r="FJ6884" s="164"/>
      <c r="FL6884" s="2"/>
      <c r="FN6884" s="2"/>
    </row>
    <row r="6885" spans="153:170" x14ac:dyDescent="0.35">
      <c r="EW6885" s="48"/>
      <c r="FB6885" s="5"/>
      <c r="FI6885" s="5"/>
      <c r="FJ6885" s="164"/>
      <c r="FL6885" s="2"/>
      <c r="FN6885" s="2"/>
    </row>
    <row r="6886" spans="153:170" x14ac:dyDescent="0.35">
      <c r="EW6886" s="48"/>
      <c r="FB6886" s="5"/>
      <c r="FI6886" s="5"/>
      <c r="FJ6886" s="164"/>
      <c r="FL6886" s="2"/>
      <c r="FN6886" s="2"/>
    </row>
    <row r="6887" spans="153:170" x14ac:dyDescent="0.35">
      <c r="EW6887" s="48"/>
      <c r="FB6887" s="5"/>
      <c r="FI6887" s="5"/>
      <c r="FJ6887" s="164"/>
      <c r="FL6887" s="2"/>
      <c r="FN6887" s="2"/>
    </row>
    <row r="6888" spans="153:170" x14ac:dyDescent="0.35">
      <c r="EW6888" s="48"/>
      <c r="FB6888" s="5"/>
      <c r="FI6888" s="5"/>
      <c r="FJ6888" s="164"/>
      <c r="FL6888" s="2"/>
      <c r="FN6888" s="2"/>
    </row>
    <row r="6889" spans="153:170" x14ac:dyDescent="0.35">
      <c r="EW6889" s="48"/>
      <c r="FB6889" s="5"/>
      <c r="FI6889" s="5"/>
      <c r="FJ6889" s="164"/>
      <c r="FL6889" s="2"/>
      <c r="FN6889" s="2"/>
    </row>
    <row r="6890" spans="153:170" x14ac:dyDescent="0.35">
      <c r="EW6890" s="48"/>
      <c r="FB6890" s="5"/>
      <c r="FI6890" s="5"/>
      <c r="FJ6890" s="164"/>
      <c r="FL6890" s="2"/>
      <c r="FN6890" s="2"/>
    </row>
    <row r="6891" spans="153:170" x14ac:dyDescent="0.35">
      <c r="EW6891" s="48"/>
      <c r="FB6891" s="5"/>
      <c r="FI6891" s="5"/>
      <c r="FJ6891" s="164"/>
      <c r="FL6891" s="2"/>
      <c r="FN6891" s="2"/>
    </row>
    <row r="6892" spans="153:170" x14ac:dyDescent="0.35">
      <c r="EW6892" s="48"/>
      <c r="FB6892" s="5"/>
      <c r="FI6892" s="5"/>
      <c r="FJ6892" s="164"/>
      <c r="FL6892" s="2"/>
      <c r="FN6892" s="2"/>
    </row>
    <row r="6893" spans="153:170" x14ac:dyDescent="0.35">
      <c r="EW6893" s="48"/>
      <c r="FB6893" s="5"/>
      <c r="FI6893" s="5"/>
      <c r="FJ6893" s="164"/>
      <c r="FL6893" s="2"/>
      <c r="FN6893" s="2"/>
    </row>
    <row r="6894" spans="153:170" x14ac:dyDescent="0.35">
      <c r="EW6894" s="48"/>
      <c r="FB6894" s="5"/>
      <c r="FI6894" s="5"/>
      <c r="FJ6894" s="164"/>
      <c r="FL6894" s="2"/>
      <c r="FN6894" s="2"/>
    </row>
    <row r="6895" spans="153:170" x14ac:dyDescent="0.35">
      <c r="EW6895" s="48"/>
      <c r="FB6895" s="5"/>
      <c r="FI6895" s="5"/>
      <c r="FJ6895" s="164"/>
      <c r="FL6895" s="2"/>
      <c r="FN6895" s="2"/>
    </row>
    <row r="6896" spans="153:170" x14ac:dyDescent="0.35">
      <c r="EW6896" s="48"/>
      <c r="FB6896" s="5"/>
      <c r="FI6896" s="5"/>
      <c r="FJ6896" s="164"/>
      <c r="FL6896" s="2"/>
      <c r="FN6896" s="2"/>
    </row>
    <row r="6897" spans="153:170" x14ac:dyDescent="0.35">
      <c r="EW6897" s="48"/>
      <c r="FB6897" s="5"/>
      <c r="FI6897" s="5"/>
      <c r="FJ6897" s="164"/>
      <c r="FL6897" s="2"/>
      <c r="FN6897" s="2"/>
    </row>
    <row r="6898" spans="153:170" x14ac:dyDescent="0.35">
      <c r="EW6898" s="48"/>
      <c r="FB6898" s="5"/>
      <c r="FI6898" s="5"/>
      <c r="FJ6898" s="164"/>
      <c r="FL6898" s="2"/>
      <c r="FN6898" s="2"/>
    </row>
    <row r="6899" spans="153:170" x14ac:dyDescent="0.35">
      <c r="EW6899" s="48"/>
      <c r="FB6899" s="5"/>
      <c r="FI6899" s="5"/>
      <c r="FJ6899" s="164"/>
      <c r="FL6899" s="2"/>
      <c r="FN6899" s="2"/>
    </row>
    <row r="6900" spans="153:170" x14ac:dyDescent="0.35">
      <c r="EW6900" s="48"/>
      <c r="FB6900" s="5"/>
      <c r="FI6900" s="5"/>
      <c r="FJ6900" s="164"/>
      <c r="FL6900" s="2"/>
      <c r="FN6900" s="2"/>
    </row>
    <row r="6901" spans="153:170" x14ac:dyDescent="0.35">
      <c r="EW6901" s="48"/>
      <c r="FB6901" s="5"/>
      <c r="FI6901" s="5"/>
      <c r="FJ6901" s="164"/>
      <c r="FL6901" s="2"/>
      <c r="FN6901" s="2"/>
    </row>
    <row r="6902" spans="153:170" x14ac:dyDescent="0.35">
      <c r="EW6902" s="48"/>
      <c r="FB6902" s="5"/>
      <c r="FI6902" s="5"/>
      <c r="FJ6902" s="164"/>
      <c r="FL6902" s="2"/>
      <c r="FN6902" s="2"/>
    </row>
    <row r="6903" spans="153:170" x14ac:dyDescent="0.35">
      <c r="EW6903" s="48"/>
      <c r="FB6903" s="5"/>
      <c r="FI6903" s="5"/>
      <c r="FJ6903" s="164"/>
      <c r="FL6903" s="2"/>
      <c r="FN6903" s="2"/>
    </row>
    <row r="6904" spans="153:170" x14ac:dyDescent="0.35">
      <c r="EW6904" s="48"/>
      <c r="FB6904" s="5"/>
      <c r="FI6904" s="5"/>
      <c r="FJ6904" s="164"/>
      <c r="FL6904" s="2"/>
      <c r="FN6904" s="2"/>
    </row>
    <row r="6905" spans="153:170" x14ac:dyDescent="0.35">
      <c r="EW6905" s="48"/>
      <c r="FB6905" s="5"/>
      <c r="FI6905" s="5"/>
      <c r="FJ6905" s="164"/>
      <c r="FL6905" s="2"/>
      <c r="FN6905" s="2"/>
    </row>
    <row r="6906" spans="153:170" x14ac:dyDescent="0.35">
      <c r="EW6906" s="48"/>
      <c r="FB6906" s="5"/>
      <c r="FI6906" s="5"/>
      <c r="FJ6906" s="164"/>
      <c r="FL6906" s="2"/>
      <c r="FN6906" s="2"/>
    </row>
    <row r="6907" spans="153:170" x14ac:dyDescent="0.35">
      <c r="EW6907" s="48"/>
      <c r="FB6907" s="5"/>
      <c r="FI6907" s="5"/>
      <c r="FJ6907" s="164"/>
      <c r="FL6907" s="2"/>
      <c r="FN6907" s="2"/>
    </row>
    <row r="6908" spans="153:170" x14ac:dyDescent="0.35">
      <c r="EW6908" s="48"/>
      <c r="FB6908" s="5"/>
      <c r="FI6908" s="5"/>
      <c r="FJ6908" s="164"/>
      <c r="FL6908" s="2"/>
      <c r="FN6908" s="2"/>
    </row>
    <row r="6909" spans="153:170" x14ac:dyDescent="0.35">
      <c r="EW6909" s="48"/>
      <c r="FB6909" s="5"/>
      <c r="FI6909" s="5"/>
      <c r="FJ6909" s="164"/>
      <c r="FL6909" s="2"/>
      <c r="FN6909" s="2"/>
    </row>
    <row r="6910" spans="153:170" x14ac:dyDescent="0.35">
      <c r="EW6910" s="48"/>
      <c r="FB6910" s="5"/>
      <c r="FI6910" s="5"/>
      <c r="FJ6910" s="164"/>
      <c r="FL6910" s="2"/>
      <c r="FN6910" s="2"/>
    </row>
    <row r="6911" spans="153:170" x14ac:dyDescent="0.35">
      <c r="EW6911" s="48"/>
      <c r="FB6911" s="5"/>
      <c r="FI6911" s="5"/>
      <c r="FJ6911" s="164"/>
      <c r="FL6911" s="2"/>
      <c r="FN6911" s="2"/>
    </row>
    <row r="6912" spans="153:170" x14ac:dyDescent="0.35">
      <c r="EW6912" s="48"/>
      <c r="FB6912" s="5"/>
      <c r="FI6912" s="5"/>
      <c r="FJ6912" s="164"/>
      <c r="FL6912" s="2"/>
      <c r="FN6912" s="2"/>
    </row>
    <row r="6913" spans="153:170" x14ac:dyDescent="0.35">
      <c r="EW6913" s="48"/>
      <c r="FB6913" s="5"/>
      <c r="FI6913" s="5"/>
      <c r="FJ6913" s="164"/>
      <c r="FL6913" s="2"/>
      <c r="FN6913" s="2"/>
    </row>
    <row r="6914" spans="153:170" x14ac:dyDescent="0.35">
      <c r="EW6914" s="48"/>
      <c r="FB6914" s="5"/>
      <c r="FI6914" s="5"/>
      <c r="FJ6914" s="164"/>
      <c r="FL6914" s="2"/>
      <c r="FN6914" s="2"/>
    </row>
    <row r="6915" spans="153:170" x14ac:dyDescent="0.35">
      <c r="EW6915" s="48"/>
      <c r="FB6915" s="5"/>
      <c r="FI6915" s="5"/>
      <c r="FJ6915" s="164"/>
      <c r="FL6915" s="2"/>
      <c r="FN6915" s="2"/>
    </row>
    <row r="6916" spans="153:170" x14ac:dyDescent="0.35">
      <c r="EW6916" s="48"/>
      <c r="FB6916" s="5"/>
      <c r="FI6916" s="5"/>
      <c r="FJ6916" s="164"/>
      <c r="FL6916" s="2"/>
      <c r="FN6916" s="2"/>
    </row>
    <row r="6917" spans="153:170" x14ac:dyDescent="0.35">
      <c r="EW6917" s="48"/>
      <c r="FB6917" s="5"/>
      <c r="FI6917" s="5"/>
      <c r="FJ6917" s="164"/>
      <c r="FL6917" s="2"/>
      <c r="FN6917" s="2"/>
    </row>
    <row r="6918" spans="153:170" x14ac:dyDescent="0.35">
      <c r="EW6918" s="48"/>
      <c r="FB6918" s="5"/>
      <c r="FI6918" s="5"/>
      <c r="FJ6918" s="164"/>
      <c r="FL6918" s="2"/>
      <c r="FN6918" s="2"/>
    </row>
    <row r="6919" spans="153:170" x14ac:dyDescent="0.35">
      <c r="EW6919" s="48"/>
      <c r="FB6919" s="5"/>
      <c r="FI6919" s="5"/>
      <c r="FJ6919" s="164"/>
      <c r="FL6919" s="2"/>
      <c r="FN6919" s="2"/>
    </row>
    <row r="6920" spans="153:170" x14ac:dyDescent="0.35">
      <c r="EW6920" s="48"/>
      <c r="FB6920" s="5"/>
      <c r="FI6920" s="5"/>
      <c r="FJ6920" s="164"/>
      <c r="FL6920" s="2"/>
      <c r="FN6920" s="2"/>
    </row>
    <row r="6921" spans="153:170" x14ac:dyDescent="0.35">
      <c r="EW6921" s="48"/>
      <c r="FB6921" s="5"/>
      <c r="FI6921" s="5"/>
      <c r="FJ6921" s="164"/>
      <c r="FL6921" s="2"/>
      <c r="FN6921" s="2"/>
    </row>
    <row r="6922" spans="153:170" x14ac:dyDescent="0.35">
      <c r="EW6922" s="48"/>
      <c r="FB6922" s="5"/>
      <c r="FI6922" s="5"/>
      <c r="FJ6922" s="164"/>
      <c r="FL6922" s="2"/>
      <c r="FN6922" s="2"/>
    </row>
    <row r="6923" spans="153:170" x14ac:dyDescent="0.35">
      <c r="EW6923" s="48"/>
      <c r="FB6923" s="5"/>
      <c r="FI6923" s="5"/>
      <c r="FJ6923" s="164"/>
      <c r="FL6923" s="2"/>
      <c r="FN6923" s="2"/>
    </row>
    <row r="6924" spans="153:170" x14ac:dyDescent="0.35">
      <c r="EW6924" s="48"/>
      <c r="FB6924" s="5"/>
      <c r="FI6924" s="5"/>
      <c r="FJ6924" s="164"/>
      <c r="FL6924" s="2"/>
      <c r="FN6924" s="2"/>
    </row>
    <row r="6925" spans="153:170" x14ac:dyDescent="0.35">
      <c r="EW6925" s="48"/>
      <c r="FB6925" s="5"/>
      <c r="FI6925" s="5"/>
      <c r="FJ6925" s="164"/>
      <c r="FL6925" s="2"/>
      <c r="FN6925" s="2"/>
    </row>
    <row r="6926" spans="153:170" x14ac:dyDescent="0.35">
      <c r="EW6926" s="48"/>
      <c r="FB6926" s="5"/>
      <c r="FI6926" s="5"/>
      <c r="FJ6926" s="164"/>
      <c r="FL6926" s="2"/>
      <c r="FN6926" s="2"/>
    </row>
    <row r="6927" spans="153:170" x14ac:dyDescent="0.35">
      <c r="EW6927" s="48"/>
      <c r="FB6927" s="5"/>
      <c r="FI6927" s="5"/>
      <c r="FJ6927" s="164"/>
      <c r="FL6927" s="2"/>
      <c r="FN6927" s="2"/>
    </row>
    <row r="6928" spans="153:170" x14ac:dyDescent="0.35">
      <c r="EW6928" s="48"/>
      <c r="FB6928" s="5"/>
      <c r="FI6928" s="5"/>
      <c r="FJ6928" s="164"/>
      <c r="FL6928" s="2"/>
      <c r="FN6928" s="2"/>
    </row>
    <row r="6929" spans="153:170" x14ac:dyDescent="0.35">
      <c r="EW6929" s="48"/>
      <c r="FB6929" s="5"/>
      <c r="FI6929" s="5"/>
      <c r="FJ6929" s="164"/>
      <c r="FL6929" s="2"/>
      <c r="FN6929" s="2"/>
    </row>
    <row r="6930" spans="153:170" x14ac:dyDescent="0.35">
      <c r="EW6930" s="48"/>
      <c r="FB6930" s="5"/>
      <c r="FI6930" s="5"/>
      <c r="FJ6930" s="164"/>
      <c r="FL6930" s="2"/>
      <c r="FN6930" s="2"/>
    </row>
    <row r="6931" spans="153:170" x14ac:dyDescent="0.35">
      <c r="EW6931" s="48"/>
      <c r="FB6931" s="5"/>
      <c r="FI6931" s="5"/>
      <c r="FJ6931" s="164"/>
      <c r="FL6931" s="2"/>
      <c r="FN6931" s="2"/>
    </row>
    <row r="6932" spans="153:170" x14ac:dyDescent="0.35">
      <c r="EW6932" s="48"/>
      <c r="FB6932" s="5"/>
      <c r="FI6932" s="5"/>
      <c r="FJ6932" s="164"/>
      <c r="FL6932" s="2"/>
      <c r="FN6932" s="2"/>
    </row>
    <row r="6933" spans="153:170" x14ac:dyDescent="0.35">
      <c r="EW6933" s="48"/>
      <c r="FB6933" s="5"/>
      <c r="FI6933" s="5"/>
      <c r="FJ6933" s="164"/>
      <c r="FL6933" s="2"/>
      <c r="FN6933" s="2"/>
    </row>
    <row r="6934" spans="153:170" x14ac:dyDescent="0.35">
      <c r="EW6934" s="48"/>
      <c r="FB6934" s="5"/>
      <c r="FI6934" s="5"/>
      <c r="FJ6934" s="164"/>
      <c r="FL6934" s="2"/>
      <c r="FN6934" s="2"/>
    </row>
    <row r="6935" spans="153:170" x14ac:dyDescent="0.35">
      <c r="EW6935" s="48"/>
      <c r="FB6935" s="5"/>
      <c r="FI6935" s="5"/>
      <c r="FJ6935" s="164"/>
      <c r="FL6935" s="2"/>
      <c r="FN6935" s="2"/>
    </row>
    <row r="6936" spans="153:170" x14ac:dyDescent="0.35">
      <c r="EW6936" s="48"/>
      <c r="FB6936" s="5"/>
      <c r="FI6936" s="5"/>
      <c r="FJ6936" s="164"/>
      <c r="FL6936" s="2"/>
      <c r="FN6936" s="2"/>
    </row>
    <row r="6937" spans="153:170" x14ac:dyDescent="0.35">
      <c r="EW6937" s="48"/>
      <c r="FB6937" s="5"/>
      <c r="FI6937" s="5"/>
      <c r="FJ6937" s="164"/>
      <c r="FL6937" s="2"/>
      <c r="FN6937" s="2"/>
    </row>
    <row r="6938" spans="153:170" x14ac:dyDescent="0.35">
      <c r="EW6938" s="48"/>
      <c r="FB6938" s="5"/>
      <c r="FI6938" s="5"/>
      <c r="FJ6938" s="164"/>
      <c r="FL6938" s="2"/>
      <c r="FN6938" s="2"/>
    </row>
    <row r="6939" spans="153:170" x14ac:dyDescent="0.35">
      <c r="EW6939" s="48"/>
      <c r="FB6939" s="5"/>
      <c r="FI6939" s="5"/>
      <c r="FJ6939" s="164"/>
      <c r="FL6939" s="2"/>
      <c r="FN6939" s="2"/>
    </row>
    <row r="6940" spans="153:170" x14ac:dyDescent="0.35">
      <c r="EW6940" s="48"/>
      <c r="FB6940" s="5"/>
      <c r="FI6940" s="5"/>
      <c r="FJ6940" s="164"/>
      <c r="FL6940" s="2"/>
      <c r="FN6940" s="2"/>
    </row>
    <row r="6941" spans="153:170" x14ac:dyDescent="0.35">
      <c r="EW6941" s="48"/>
      <c r="FB6941" s="5"/>
      <c r="FI6941" s="5"/>
      <c r="FJ6941" s="164"/>
      <c r="FL6941" s="2"/>
      <c r="FN6941" s="2"/>
    </row>
    <row r="6942" spans="153:170" x14ac:dyDescent="0.35">
      <c r="EW6942" s="48"/>
      <c r="FB6942" s="5"/>
      <c r="FI6942" s="5"/>
      <c r="FJ6942" s="164"/>
      <c r="FL6942" s="2"/>
      <c r="FN6942" s="2"/>
    </row>
    <row r="6943" spans="153:170" x14ac:dyDescent="0.35">
      <c r="EW6943" s="48"/>
      <c r="FB6943" s="5"/>
      <c r="FI6943" s="5"/>
      <c r="FJ6943" s="164"/>
      <c r="FL6943" s="2"/>
      <c r="FN6943" s="2"/>
    </row>
    <row r="6944" spans="153:170" x14ac:dyDescent="0.35">
      <c r="EW6944" s="48"/>
      <c r="FB6944" s="5"/>
      <c r="FI6944" s="5"/>
      <c r="FJ6944" s="164"/>
      <c r="FL6944" s="2"/>
      <c r="FN6944" s="2"/>
    </row>
    <row r="6945" spans="153:170" x14ac:dyDescent="0.35">
      <c r="EW6945" s="48"/>
      <c r="FB6945" s="5"/>
      <c r="FI6945" s="5"/>
      <c r="FJ6945" s="164"/>
      <c r="FL6945" s="2"/>
      <c r="FN6945" s="2"/>
    </row>
    <row r="6946" spans="153:170" x14ac:dyDescent="0.35">
      <c r="EW6946" s="48"/>
      <c r="FB6946" s="5"/>
      <c r="FI6946" s="5"/>
      <c r="FJ6946" s="164"/>
      <c r="FL6946" s="2"/>
      <c r="FN6946" s="2"/>
    </row>
    <row r="6947" spans="153:170" x14ac:dyDescent="0.35">
      <c r="EW6947" s="48"/>
      <c r="FB6947" s="5"/>
      <c r="FI6947" s="5"/>
      <c r="FJ6947" s="164"/>
      <c r="FL6947" s="2"/>
      <c r="FN6947" s="2"/>
    </row>
    <row r="6948" spans="153:170" x14ac:dyDescent="0.35">
      <c r="EW6948" s="48"/>
      <c r="FB6948" s="5"/>
      <c r="FI6948" s="5"/>
      <c r="FJ6948" s="164"/>
      <c r="FL6948" s="2"/>
      <c r="FN6948" s="2"/>
    </row>
    <row r="6949" spans="153:170" x14ac:dyDescent="0.35">
      <c r="EW6949" s="48"/>
      <c r="FB6949" s="5"/>
      <c r="FI6949" s="5"/>
      <c r="FJ6949" s="164"/>
      <c r="FL6949" s="2"/>
      <c r="FN6949" s="2"/>
    </row>
    <row r="6950" spans="153:170" x14ac:dyDescent="0.35">
      <c r="EW6950" s="48"/>
      <c r="FB6950" s="5"/>
      <c r="FI6950" s="5"/>
      <c r="FJ6950" s="164"/>
      <c r="FL6950" s="2"/>
      <c r="FN6950" s="2"/>
    </row>
    <row r="6951" spans="153:170" x14ac:dyDescent="0.35">
      <c r="EW6951" s="48"/>
      <c r="FB6951" s="5"/>
      <c r="FI6951" s="5"/>
      <c r="FJ6951" s="164"/>
      <c r="FL6951" s="2"/>
      <c r="FN6951" s="2"/>
    </row>
    <row r="6952" spans="153:170" x14ac:dyDescent="0.35">
      <c r="EW6952" s="48"/>
      <c r="FB6952" s="5"/>
      <c r="FI6952" s="5"/>
      <c r="FJ6952" s="164"/>
      <c r="FL6952" s="2"/>
      <c r="FN6952" s="2"/>
    </row>
    <row r="6953" spans="153:170" x14ac:dyDescent="0.35">
      <c r="EW6953" s="48"/>
      <c r="FB6953" s="5"/>
      <c r="FI6953" s="5"/>
      <c r="FJ6953" s="164"/>
      <c r="FL6953" s="2"/>
      <c r="FN6953" s="2"/>
    </row>
    <row r="6954" spans="153:170" x14ac:dyDescent="0.35">
      <c r="EW6954" s="48"/>
      <c r="FB6954" s="5"/>
      <c r="FI6954" s="5"/>
      <c r="FJ6954" s="164"/>
      <c r="FL6954" s="2"/>
      <c r="FN6954" s="2"/>
    </row>
    <row r="6955" spans="153:170" x14ac:dyDescent="0.35">
      <c r="EW6955" s="48"/>
      <c r="FB6955" s="5"/>
      <c r="FI6955" s="5"/>
      <c r="FJ6955" s="164"/>
      <c r="FL6955" s="2"/>
      <c r="FN6955" s="2"/>
    </row>
    <row r="6956" spans="153:170" x14ac:dyDescent="0.35">
      <c r="EW6956" s="48"/>
      <c r="FB6956" s="5"/>
      <c r="FI6956" s="5"/>
      <c r="FJ6956" s="164"/>
      <c r="FL6956" s="2"/>
      <c r="FN6956" s="2"/>
    </row>
    <row r="6957" spans="153:170" x14ac:dyDescent="0.35">
      <c r="EW6957" s="48"/>
      <c r="FB6957" s="5"/>
      <c r="FI6957" s="5"/>
      <c r="FJ6957" s="164"/>
      <c r="FL6957" s="2"/>
      <c r="FN6957" s="2"/>
    </row>
    <row r="6958" spans="153:170" x14ac:dyDescent="0.35">
      <c r="EW6958" s="48"/>
      <c r="FB6958" s="5"/>
      <c r="FI6958" s="5"/>
      <c r="FJ6958" s="164"/>
      <c r="FL6958" s="2"/>
      <c r="FN6958" s="2"/>
    </row>
    <row r="6959" spans="153:170" x14ac:dyDescent="0.35">
      <c r="EW6959" s="48"/>
      <c r="FB6959" s="5"/>
      <c r="FI6959" s="5"/>
      <c r="FJ6959" s="164"/>
      <c r="FL6959" s="2"/>
      <c r="FN6959" s="2"/>
    </row>
    <row r="6960" spans="153:170" x14ac:dyDescent="0.35">
      <c r="EW6960" s="48"/>
      <c r="FB6960" s="5"/>
      <c r="FI6960" s="5"/>
      <c r="FJ6960" s="164"/>
      <c r="FL6960" s="2"/>
      <c r="FN6960" s="2"/>
    </row>
    <row r="6961" spans="153:170" x14ac:dyDescent="0.35">
      <c r="EW6961" s="48"/>
      <c r="FB6961" s="5"/>
      <c r="FI6961" s="5"/>
      <c r="FJ6961" s="164"/>
      <c r="FL6961" s="2"/>
      <c r="FN6961" s="2"/>
    </row>
    <row r="6962" spans="153:170" x14ac:dyDescent="0.35">
      <c r="EW6962" s="48"/>
      <c r="FB6962" s="5"/>
      <c r="FI6962" s="5"/>
      <c r="FJ6962" s="164"/>
      <c r="FL6962" s="2"/>
      <c r="FN6962" s="2"/>
    </row>
    <row r="6963" spans="153:170" x14ac:dyDescent="0.35">
      <c r="EW6963" s="48"/>
      <c r="FB6963" s="5"/>
      <c r="FI6963" s="5"/>
      <c r="FJ6963" s="164"/>
      <c r="FL6963" s="2"/>
      <c r="FN6963" s="2"/>
    </row>
    <row r="6964" spans="153:170" x14ac:dyDescent="0.35">
      <c r="EW6964" s="48"/>
      <c r="FB6964" s="5"/>
      <c r="FI6964" s="5"/>
      <c r="FJ6964" s="164"/>
      <c r="FL6964" s="2"/>
      <c r="FN6964" s="2"/>
    </row>
    <row r="6965" spans="153:170" x14ac:dyDescent="0.35">
      <c r="EW6965" s="48"/>
      <c r="FB6965" s="5"/>
      <c r="FI6965" s="5"/>
      <c r="FJ6965" s="164"/>
      <c r="FL6965" s="2"/>
      <c r="FN6965" s="2"/>
    </row>
    <row r="6966" spans="153:170" x14ac:dyDescent="0.35">
      <c r="EW6966" s="48"/>
      <c r="FB6966" s="5"/>
      <c r="FI6966" s="5"/>
      <c r="FJ6966" s="164"/>
      <c r="FL6966" s="2"/>
      <c r="FN6966" s="2"/>
    </row>
    <row r="6967" spans="153:170" x14ac:dyDescent="0.35">
      <c r="EW6967" s="48"/>
      <c r="FB6967" s="5"/>
      <c r="FI6967" s="5"/>
      <c r="FJ6967" s="164"/>
      <c r="FL6967" s="2"/>
      <c r="FN6967" s="2"/>
    </row>
    <row r="6968" spans="153:170" x14ac:dyDescent="0.35">
      <c r="EW6968" s="48"/>
      <c r="FB6968" s="5"/>
      <c r="FI6968" s="5"/>
      <c r="FJ6968" s="164"/>
      <c r="FL6968" s="2"/>
      <c r="FN6968" s="2"/>
    </row>
    <row r="6969" spans="153:170" x14ac:dyDescent="0.35">
      <c r="EW6969" s="48"/>
      <c r="FB6969" s="5"/>
      <c r="FI6969" s="5"/>
      <c r="FJ6969" s="164"/>
      <c r="FL6969" s="2"/>
      <c r="FN6969" s="2"/>
    </row>
    <row r="6970" spans="153:170" x14ac:dyDescent="0.35">
      <c r="EW6970" s="48"/>
      <c r="FB6970" s="5"/>
      <c r="FI6970" s="5"/>
      <c r="FJ6970" s="164"/>
      <c r="FL6970" s="2"/>
      <c r="FN6970" s="2"/>
    </row>
    <row r="6971" spans="153:170" x14ac:dyDescent="0.35">
      <c r="EW6971" s="48"/>
      <c r="FB6971" s="5"/>
      <c r="FI6971" s="5"/>
      <c r="FJ6971" s="164"/>
      <c r="FL6971" s="2"/>
      <c r="FN6971" s="2"/>
    </row>
    <row r="6972" spans="153:170" x14ac:dyDescent="0.35">
      <c r="EW6972" s="48"/>
      <c r="FB6972" s="5"/>
      <c r="FI6972" s="5"/>
      <c r="FJ6972" s="164"/>
      <c r="FL6972" s="2"/>
      <c r="FN6972" s="2"/>
    </row>
    <row r="6973" spans="153:170" x14ac:dyDescent="0.35">
      <c r="EW6973" s="48"/>
      <c r="FB6973" s="5"/>
      <c r="FI6973" s="5"/>
      <c r="FJ6973" s="164"/>
      <c r="FL6973" s="2"/>
      <c r="FN6973" s="2"/>
    </row>
    <row r="6974" spans="153:170" x14ac:dyDescent="0.35">
      <c r="EW6974" s="48"/>
      <c r="FB6974" s="5"/>
      <c r="FI6974" s="5"/>
      <c r="FJ6974" s="164"/>
      <c r="FL6974" s="2"/>
      <c r="FN6974" s="2"/>
    </row>
    <row r="6975" spans="153:170" x14ac:dyDescent="0.35">
      <c r="EW6975" s="48"/>
      <c r="FB6975" s="5"/>
      <c r="FI6975" s="5"/>
      <c r="FJ6975" s="164"/>
      <c r="FL6975" s="2"/>
      <c r="FN6975" s="2"/>
    </row>
    <row r="6976" spans="153:170" x14ac:dyDescent="0.35">
      <c r="EW6976" s="48"/>
      <c r="FB6976" s="5"/>
      <c r="FI6976" s="5"/>
      <c r="FJ6976" s="164"/>
      <c r="FL6976" s="2"/>
      <c r="FN6976" s="2"/>
    </row>
    <row r="6977" spans="153:170" x14ac:dyDescent="0.35">
      <c r="EW6977" s="48"/>
      <c r="FB6977" s="5"/>
      <c r="FI6977" s="5"/>
      <c r="FJ6977" s="164"/>
      <c r="FL6977" s="2"/>
      <c r="FN6977" s="2"/>
    </row>
    <row r="6978" spans="153:170" x14ac:dyDescent="0.35">
      <c r="EW6978" s="48"/>
      <c r="FB6978" s="5"/>
      <c r="FI6978" s="5"/>
      <c r="FJ6978" s="164"/>
      <c r="FL6978" s="2"/>
      <c r="FN6978" s="2"/>
    </row>
    <row r="6979" spans="153:170" x14ac:dyDescent="0.35">
      <c r="EW6979" s="48"/>
      <c r="FB6979" s="5"/>
      <c r="FI6979" s="5"/>
      <c r="FJ6979" s="164"/>
      <c r="FL6979" s="2"/>
      <c r="FN6979" s="2"/>
    </row>
    <row r="6980" spans="153:170" x14ac:dyDescent="0.35">
      <c r="EW6980" s="48"/>
      <c r="FB6980" s="5"/>
      <c r="FI6980" s="5"/>
      <c r="FJ6980" s="164"/>
      <c r="FL6980" s="2"/>
      <c r="FN6980" s="2"/>
    </row>
    <row r="6981" spans="153:170" x14ac:dyDescent="0.35">
      <c r="EW6981" s="48"/>
      <c r="FB6981" s="5"/>
      <c r="FI6981" s="5"/>
      <c r="FJ6981" s="164"/>
      <c r="FL6981" s="2"/>
      <c r="FN6981" s="2"/>
    </row>
    <row r="6982" spans="153:170" x14ac:dyDescent="0.35">
      <c r="EW6982" s="48"/>
      <c r="FB6982" s="5"/>
      <c r="FI6982" s="5"/>
      <c r="FJ6982" s="164"/>
      <c r="FL6982" s="2"/>
      <c r="FN6982" s="2"/>
    </row>
    <row r="6983" spans="153:170" x14ac:dyDescent="0.35">
      <c r="EW6983" s="48"/>
      <c r="FB6983" s="5"/>
      <c r="FI6983" s="5"/>
      <c r="FJ6983" s="164"/>
      <c r="FL6983" s="2"/>
      <c r="FN6983" s="2"/>
    </row>
    <row r="6984" spans="153:170" x14ac:dyDescent="0.35">
      <c r="EW6984" s="48"/>
      <c r="FB6984" s="5"/>
      <c r="FI6984" s="5"/>
      <c r="FJ6984" s="164"/>
      <c r="FL6984" s="2"/>
      <c r="FN6984" s="2"/>
    </row>
    <row r="6985" spans="153:170" x14ac:dyDescent="0.35">
      <c r="EW6985" s="48"/>
      <c r="FB6985" s="5"/>
      <c r="FI6985" s="5"/>
      <c r="FJ6985" s="164"/>
      <c r="FL6985" s="2"/>
      <c r="FN6985" s="2"/>
    </row>
    <row r="6986" spans="153:170" x14ac:dyDescent="0.35">
      <c r="EW6986" s="48"/>
      <c r="FB6986" s="5"/>
      <c r="FI6986" s="5"/>
      <c r="FJ6986" s="164"/>
      <c r="FL6986" s="2"/>
      <c r="FN6986" s="2"/>
    </row>
    <row r="6987" spans="153:170" x14ac:dyDescent="0.35">
      <c r="EW6987" s="48"/>
      <c r="FB6987" s="5"/>
      <c r="FI6987" s="5"/>
      <c r="FJ6987" s="164"/>
      <c r="FL6987" s="2"/>
      <c r="FN6987" s="2"/>
    </row>
    <row r="6988" spans="153:170" x14ac:dyDescent="0.35">
      <c r="EW6988" s="48"/>
      <c r="FB6988" s="5"/>
      <c r="FI6988" s="5"/>
      <c r="FJ6988" s="164"/>
      <c r="FL6988" s="2"/>
      <c r="FN6988" s="2"/>
    </row>
    <row r="6989" spans="153:170" x14ac:dyDescent="0.35">
      <c r="EW6989" s="48"/>
      <c r="FB6989" s="5"/>
      <c r="FI6989" s="5"/>
      <c r="FJ6989" s="164"/>
      <c r="FL6989" s="2"/>
      <c r="FN6989" s="2"/>
    </row>
    <row r="6990" spans="153:170" x14ac:dyDescent="0.35">
      <c r="EW6990" s="48"/>
      <c r="FB6990" s="5"/>
      <c r="FI6990" s="5"/>
      <c r="FJ6990" s="164"/>
      <c r="FL6990" s="2"/>
      <c r="FN6990" s="2"/>
    </row>
    <row r="6991" spans="153:170" x14ac:dyDescent="0.35">
      <c r="EW6991" s="48"/>
      <c r="FB6991" s="5"/>
      <c r="FI6991" s="5"/>
      <c r="FJ6991" s="164"/>
      <c r="FL6991" s="2"/>
      <c r="FN6991" s="2"/>
    </row>
    <row r="6992" spans="153:170" x14ac:dyDescent="0.35">
      <c r="EW6992" s="48"/>
      <c r="FB6992" s="5"/>
      <c r="FI6992" s="5"/>
      <c r="FJ6992" s="164"/>
      <c r="FL6992" s="2"/>
      <c r="FN6992" s="2"/>
    </row>
    <row r="6993" spans="153:170" x14ac:dyDescent="0.35">
      <c r="EW6993" s="48"/>
      <c r="FB6993" s="5"/>
      <c r="FI6993" s="5"/>
      <c r="FJ6993" s="164"/>
      <c r="FL6993" s="2"/>
      <c r="FN6993" s="2"/>
    </row>
    <row r="6994" spans="153:170" x14ac:dyDescent="0.35">
      <c r="EW6994" s="48"/>
      <c r="FB6994" s="5"/>
      <c r="FI6994" s="5"/>
      <c r="FJ6994" s="164"/>
      <c r="FL6994" s="2"/>
      <c r="FN6994" s="2"/>
    </row>
    <row r="6995" spans="153:170" x14ac:dyDescent="0.35">
      <c r="EW6995" s="48"/>
      <c r="FB6995" s="5"/>
      <c r="FI6995" s="5"/>
      <c r="FJ6995" s="164"/>
      <c r="FL6995" s="2"/>
      <c r="FN6995" s="2"/>
    </row>
    <row r="6996" spans="153:170" x14ac:dyDescent="0.35">
      <c r="EW6996" s="48"/>
      <c r="FB6996" s="5"/>
      <c r="FI6996" s="5"/>
      <c r="FJ6996" s="164"/>
      <c r="FL6996" s="2"/>
      <c r="FN6996" s="2"/>
    </row>
    <row r="6997" spans="153:170" x14ac:dyDescent="0.35">
      <c r="EW6997" s="48"/>
      <c r="FB6997" s="5"/>
      <c r="FI6997" s="5"/>
      <c r="FJ6997" s="164"/>
      <c r="FL6997" s="2"/>
      <c r="FN6997" s="2"/>
    </row>
    <row r="6998" spans="153:170" x14ac:dyDescent="0.35">
      <c r="EW6998" s="48"/>
      <c r="FB6998" s="5"/>
      <c r="FI6998" s="5"/>
      <c r="FJ6998" s="164"/>
      <c r="FL6998" s="2"/>
      <c r="FN6998" s="2"/>
    </row>
    <row r="6999" spans="153:170" x14ac:dyDescent="0.35">
      <c r="EW6999" s="48"/>
      <c r="FB6999" s="5"/>
      <c r="FI6999" s="5"/>
      <c r="FJ6999" s="164"/>
      <c r="FL6999" s="2"/>
      <c r="FN6999" s="2"/>
    </row>
    <row r="7000" spans="153:170" x14ac:dyDescent="0.35">
      <c r="EW7000" s="48"/>
      <c r="FB7000" s="5"/>
      <c r="FI7000" s="5"/>
      <c r="FJ7000" s="164"/>
      <c r="FL7000" s="2"/>
      <c r="FN7000" s="2"/>
    </row>
    <row r="7001" spans="153:170" x14ac:dyDescent="0.35">
      <c r="EW7001" s="48"/>
      <c r="FB7001" s="5"/>
      <c r="FI7001" s="5"/>
      <c r="FJ7001" s="164"/>
      <c r="FL7001" s="2"/>
      <c r="FN7001" s="2"/>
    </row>
    <row r="7002" spans="153:170" x14ac:dyDescent="0.35">
      <c r="EW7002" s="48"/>
      <c r="FB7002" s="5"/>
      <c r="FI7002" s="5"/>
      <c r="FJ7002" s="164"/>
      <c r="FL7002" s="2"/>
      <c r="FN7002" s="2"/>
    </row>
    <row r="7003" spans="153:170" x14ac:dyDescent="0.35">
      <c r="EW7003" s="48"/>
      <c r="FB7003" s="5"/>
      <c r="FI7003" s="5"/>
      <c r="FJ7003" s="164"/>
      <c r="FL7003" s="2"/>
      <c r="FN7003" s="2"/>
    </row>
    <row r="7004" spans="153:170" x14ac:dyDescent="0.35">
      <c r="EW7004" s="48"/>
      <c r="FB7004" s="5"/>
      <c r="FI7004" s="5"/>
      <c r="FJ7004" s="164"/>
      <c r="FL7004" s="2"/>
      <c r="FN7004" s="2"/>
    </row>
    <row r="7005" spans="153:170" x14ac:dyDescent="0.35">
      <c r="EW7005" s="48"/>
      <c r="FB7005" s="5"/>
      <c r="FI7005" s="5"/>
      <c r="FJ7005" s="164"/>
      <c r="FL7005" s="2"/>
      <c r="FN7005" s="2"/>
    </row>
    <row r="7006" spans="153:170" x14ac:dyDescent="0.35">
      <c r="EW7006" s="48"/>
      <c r="FB7006" s="5"/>
      <c r="FI7006" s="5"/>
      <c r="FJ7006" s="164"/>
      <c r="FL7006" s="2"/>
      <c r="FN7006" s="2"/>
    </row>
    <row r="7007" spans="153:170" x14ac:dyDescent="0.35">
      <c r="EW7007" s="48"/>
      <c r="FB7007" s="5"/>
      <c r="FI7007" s="5"/>
      <c r="FJ7007" s="164"/>
      <c r="FL7007" s="2"/>
      <c r="FN7007" s="2"/>
    </row>
    <row r="7008" spans="153:170" x14ac:dyDescent="0.35">
      <c r="EW7008" s="48"/>
      <c r="FB7008" s="5"/>
      <c r="FI7008" s="5"/>
      <c r="FJ7008" s="164"/>
      <c r="FL7008" s="2"/>
      <c r="FN7008" s="2"/>
    </row>
    <row r="7009" spans="153:170" x14ac:dyDescent="0.35">
      <c r="EW7009" s="48"/>
      <c r="FB7009" s="5"/>
      <c r="FI7009" s="5"/>
      <c r="FJ7009" s="164"/>
      <c r="FL7009" s="2"/>
      <c r="FN7009" s="2"/>
    </row>
    <row r="7010" spans="153:170" x14ac:dyDescent="0.35">
      <c r="EW7010" s="48"/>
      <c r="FB7010" s="5"/>
      <c r="FI7010" s="5"/>
      <c r="FJ7010" s="164"/>
      <c r="FL7010" s="2"/>
      <c r="FN7010" s="2"/>
    </row>
    <row r="7011" spans="153:170" x14ac:dyDescent="0.35">
      <c r="EW7011" s="48"/>
      <c r="FB7011" s="5"/>
      <c r="FI7011" s="5"/>
      <c r="FJ7011" s="164"/>
      <c r="FL7011" s="2"/>
      <c r="FN7011" s="2"/>
    </row>
    <row r="7012" spans="153:170" x14ac:dyDescent="0.35">
      <c r="EW7012" s="48"/>
      <c r="FB7012" s="5"/>
      <c r="FI7012" s="5"/>
      <c r="FJ7012" s="164"/>
      <c r="FL7012" s="2"/>
      <c r="FN7012" s="2"/>
    </row>
    <row r="7013" spans="153:170" x14ac:dyDescent="0.35">
      <c r="EW7013" s="48"/>
      <c r="FB7013" s="5"/>
      <c r="FI7013" s="5"/>
      <c r="FJ7013" s="164"/>
      <c r="FL7013" s="2"/>
      <c r="FN7013" s="2"/>
    </row>
    <row r="7014" spans="153:170" x14ac:dyDescent="0.35">
      <c r="EW7014" s="48"/>
      <c r="FB7014" s="5"/>
      <c r="FI7014" s="5"/>
      <c r="FJ7014" s="164"/>
      <c r="FL7014" s="2"/>
      <c r="FN7014" s="2"/>
    </row>
    <row r="7015" spans="153:170" x14ac:dyDescent="0.35">
      <c r="EW7015" s="48"/>
      <c r="FB7015" s="5"/>
      <c r="FI7015" s="5"/>
      <c r="FJ7015" s="164"/>
      <c r="FL7015" s="2"/>
      <c r="FN7015" s="2"/>
    </row>
    <row r="7016" spans="153:170" x14ac:dyDescent="0.35">
      <c r="EW7016" s="48"/>
      <c r="FB7016" s="5"/>
      <c r="FI7016" s="5"/>
      <c r="FJ7016" s="164"/>
      <c r="FL7016" s="2"/>
      <c r="FN7016" s="2"/>
    </row>
    <row r="7017" spans="153:170" x14ac:dyDescent="0.35">
      <c r="EW7017" s="48"/>
      <c r="FB7017" s="5"/>
      <c r="FI7017" s="5"/>
      <c r="FJ7017" s="164"/>
      <c r="FL7017" s="2"/>
      <c r="FN7017" s="2"/>
    </row>
    <row r="7018" spans="153:170" x14ac:dyDescent="0.35">
      <c r="EW7018" s="48"/>
      <c r="FB7018" s="5"/>
      <c r="FI7018" s="5"/>
      <c r="FJ7018" s="164"/>
      <c r="FL7018" s="2"/>
      <c r="FN7018" s="2"/>
    </row>
    <row r="7019" spans="153:170" x14ac:dyDescent="0.35">
      <c r="EW7019" s="48"/>
      <c r="FB7019" s="5"/>
      <c r="FI7019" s="5"/>
      <c r="FJ7019" s="164"/>
      <c r="FL7019" s="2"/>
      <c r="FN7019" s="2"/>
    </row>
    <row r="7020" spans="153:170" x14ac:dyDescent="0.35">
      <c r="EW7020" s="48"/>
      <c r="FB7020" s="5"/>
      <c r="FI7020" s="5"/>
      <c r="FJ7020" s="164"/>
      <c r="FL7020" s="2"/>
      <c r="FN7020" s="2"/>
    </row>
    <row r="7021" spans="153:170" x14ac:dyDescent="0.35">
      <c r="EW7021" s="48"/>
      <c r="FB7021" s="5"/>
      <c r="FI7021" s="5"/>
      <c r="FJ7021" s="164"/>
      <c r="FL7021" s="2"/>
      <c r="FN7021" s="2"/>
    </row>
    <row r="7022" spans="153:170" x14ac:dyDescent="0.35">
      <c r="EW7022" s="48"/>
      <c r="FB7022" s="5"/>
      <c r="FI7022" s="5"/>
      <c r="FJ7022" s="164"/>
      <c r="FL7022" s="2"/>
      <c r="FN7022" s="2"/>
    </row>
    <row r="7023" spans="153:170" x14ac:dyDescent="0.35">
      <c r="EW7023" s="48"/>
      <c r="FB7023" s="5"/>
      <c r="FI7023" s="5"/>
      <c r="FJ7023" s="164"/>
      <c r="FL7023" s="2"/>
      <c r="FN7023" s="2"/>
    </row>
    <row r="7024" spans="153:170" x14ac:dyDescent="0.35">
      <c r="EW7024" s="48"/>
      <c r="FB7024" s="5"/>
      <c r="FI7024" s="5"/>
      <c r="FJ7024" s="164"/>
      <c r="FL7024" s="2"/>
      <c r="FN7024" s="2"/>
    </row>
    <row r="7025" spans="153:170" x14ac:dyDescent="0.35">
      <c r="EW7025" s="48"/>
      <c r="FB7025" s="5"/>
      <c r="FI7025" s="5"/>
      <c r="FJ7025" s="164"/>
      <c r="FL7025" s="2"/>
      <c r="FN7025" s="2"/>
    </row>
    <row r="7026" spans="153:170" x14ac:dyDescent="0.35">
      <c r="EW7026" s="48"/>
      <c r="FB7026" s="5"/>
      <c r="FI7026" s="5"/>
      <c r="FJ7026" s="164"/>
      <c r="FL7026" s="2"/>
      <c r="FN7026" s="2"/>
    </row>
    <row r="7027" spans="153:170" x14ac:dyDescent="0.35">
      <c r="EW7027" s="48"/>
      <c r="FB7027" s="5"/>
      <c r="FI7027" s="5"/>
      <c r="FJ7027" s="164"/>
      <c r="FL7027" s="2"/>
      <c r="FN7027" s="2"/>
    </row>
    <row r="7028" spans="153:170" x14ac:dyDescent="0.35">
      <c r="EW7028" s="48"/>
      <c r="FB7028" s="5"/>
      <c r="FI7028" s="5"/>
      <c r="FJ7028" s="164"/>
      <c r="FL7028" s="2"/>
      <c r="FN7028" s="2"/>
    </row>
    <row r="7029" spans="153:170" x14ac:dyDescent="0.35">
      <c r="EW7029" s="48"/>
      <c r="FB7029" s="5"/>
      <c r="FI7029" s="5"/>
      <c r="FJ7029" s="164"/>
      <c r="FL7029" s="2"/>
      <c r="FN7029" s="2"/>
    </row>
    <row r="7030" spans="153:170" x14ac:dyDescent="0.35">
      <c r="EW7030" s="48"/>
      <c r="FB7030" s="5"/>
      <c r="FI7030" s="5"/>
      <c r="FJ7030" s="164"/>
      <c r="FL7030" s="2"/>
      <c r="FN7030" s="2"/>
    </row>
    <row r="7031" spans="153:170" x14ac:dyDescent="0.35">
      <c r="EW7031" s="48"/>
      <c r="FB7031" s="5"/>
      <c r="FI7031" s="5"/>
      <c r="FJ7031" s="164"/>
      <c r="FL7031" s="2"/>
      <c r="FN7031" s="2"/>
    </row>
    <row r="7032" spans="153:170" x14ac:dyDescent="0.35">
      <c r="EW7032" s="48"/>
      <c r="FB7032" s="5"/>
      <c r="FI7032" s="5"/>
      <c r="FJ7032" s="164"/>
      <c r="FL7032" s="2"/>
      <c r="FN7032" s="2"/>
    </row>
    <row r="7033" spans="153:170" x14ac:dyDescent="0.35">
      <c r="EW7033" s="48"/>
      <c r="FB7033" s="5"/>
      <c r="FI7033" s="5"/>
      <c r="FJ7033" s="164"/>
      <c r="FL7033" s="2"/>
      <c r="FN7033" s="2"/>
    </row>
    <row r="7034" spans="153:170" x14ac:dyDescent="0.35">
      <c r="EW7034" s="48"/>
      <c r="FB7034" s="5"/>
      <c r="FI7034" s="5"/>
      <c r="FJ7034" s="164"/>
      <c r="FL7034" s="2"/>
      <c r="FN7034" s="2"/>
    </row>
    <row r="7035" spans="153:170" x14ac:dyDescent="0.35">
      <c r="EW7035" s="48"/>
      <c r="FB7035" s="5"/>
      <c r="FI7035" s="5"/>
      <c r="FJ7035" s="164"/>
      <c r="FL7035" s="2"/>
      <c r="FN7035" s="2"/>
    </row>
    <row r="7036" spans="153:170" x14ac:dyDescent="0.35">
      <c r="EW7036" s="48"/>
      <c r="FB7036" s="5"/>
      <c r="FI7036" s="5"/>
      <c r="FJ7036" s="164"/>
      <c r="FL7036" s="2"/>
      <c r="FN7036" s="2"/>
    </row>
    <row r="7037" spans="153:170" x14ac:dyDescent="0.35">
      <c r="EW7037" s="48"/>
      <c r="FB7037" s="5"/>
      <c r="FI7037" s="5"/>
      <c r="FJ7037" s="164"/>
      <c r="FL7037" s="2"/>
      <c r="FN7037" s="2"/>
    </row>
    <row r="7038" spans="153:170" x14ac:dyDescent="0.35">
      <c r="EW7038" s="48"/>
      <c r="FB7038" s="5"/>
      <c r="FI7038" s="5"/>
      <c r="FJ7038" s="164"/>
      <c r="FL7038" s="2"/>
      <c r="FN7038" s="2"/>
    </row>
    <row r="7039" spans="153:170" x14ac:dyDescent="0.35">
      <c r="EW7039" s="48"/>
      <c r="FB7039" s="5"/>
      <c r="FI7039" s="5"/>
      <c r="FJ7039" s="164"/>
      <c r="FL7039" s="2"/>
      <c r="FN7039" s="2"/>
    </row>
    <row r="7040" spans="153:170" x14ac:dyDescent="0.35">
      <c r="EW7040" s="48"/>
      <c r="FB7040" s="5"/>
      <c r="FI7040" s="5"/>
      <c r="FJ7040" s="164"/>
      <c r="FL7040" s="2"/>
      <c r="FN7040" s="2"/>
    </row>
    <row r="7041" spans="153:170" x14ac:dyDescent="0.35">
      <c r="EW7041" s="48"/>
      <c r="FB7041" s="5"/>
      <c r="FI7041" s="5"/>
      <c r="FJ7041" s="164"/>
      <c r="FL7041" s="2"/>
      <c r="FN7041" s="2"/>
    </row>
    <row r="7042" spans="153:170" x14ac:dyDescent="0.35">
      <c r="EW7042" s="48"/>
      <c r="FB7042" s="5"/>
      <c r="FI7042" s="5"/>
      <c r="FJ7042" s="164"/>
      <c r="FL7042" s="2"/>
      <c r="FN7042" s="2"/>
    </row>
    <row r="7043" spans="153:170" x14ac:dyDescent="0.35">
      <c r="EW7043" s="48"/>
      <c r="FB7043" s="5"/>
      <c r="FI7043" s="5"/>
      <c r="FJ7043" s="164"/>
      <c r="FL7043" s="2"/>
      <c r="FN7043" s="2"/>
    </row>
    <row r="7044" spans="153:170" x14ac:dyDescent="0.35">
      <c r="EW7044" s="48"/>
      <c r="FB7044" s="5"/>
      <c r="FI7044" s="5"/>
      <c r="FJ7044" s="164"/>
      <c r="FL7044" s="2"/>
      <c r="FN7044" s="2"/>
    </row>
    <row r="7045" spans="153:170" x14ac:dyDescent="0.35">
      <c r="EW7045" s="48"/>
      <c r="FB7045" s="5"/>
      <c r="FI7045" s="5"/>
      <c r="FJ7045" s="164"/>
      <c r="FL7045" s="2"/>
      <c r="FN7045" s="2"/>
    </row>
    <row r="7046" spans="153:170" x14ac:dyDescent="0.35">
      <c r="EW7046" s="48"/>
      <c r="FB7046" s="5"/>
      <c r="FI7046" s="5"/>
      <c r="FJ7046" s="164"/>
      <c r="FL7046" s="2"/>
      <c r="FN7046" s="2"/>
    </row>
    <row r="7047" spans="153:170" x14ac:dyDescent="0.35">
      <c r="EW7047" s="48"/>
      <c r="FB7047" s="5"/>
      <c r="FI7047" s="5"/>
      <c r="FJ7047" s="164"/>
      <c r="FL7047" s="2"/>
      <c r="FN7047" s="2"/>
    </row>
    <row r="7048" spans="153:170" x14ac:dyDescent="0.35">
      <c r="EW7048" s="48"/>
      <c r="FB7048" s="5"/>
      <c r="FI7048" s="5"/>
      <c r="FJ7048" s="164"/>
      <c r="FL7048" s="2"/>
      <c r="FN7048" s="2"/>
    </row>
    <row r="7049" spans="153:170" x14ac:dyDescent="0.35">
      <c r="EW7049" s="48"/>
      <c r="FB7049" s="5"/>
      <c r="FI7049" s="5"/>
      <c r="FJ7049" s="164"/>
      <c r="FL7049" s="2"/>
      <c r="FN7049" s="2"/>
    </row>
    <row r="7050" spans="153:170" x14ac:dyDescent="0.35">
      <c r="EW7050" s="48"/>
      <c r="FB7050" s="5"/>
      <c r="FI7050" s="5"/>
      <c r="FJ7050" s="164"/>
      <c r="FL7050" s="2"/>
      <c r="FN7050" s="2"/>
    </row>
    <row r="7051" spans="153:170" x14ac:dyDescent="0.35">
      <c r="EW7051" s="48"/>
      <c r="FB7051" s="5"/>
      <c r="FI7051" s="5"/>
      <c r="FJ7051" s="164"/>
      <c r="FL7051" s="2"/>
      <c r="FN7051" s="2"/>
    </row>
    <row r="7052" spans="153:170" x14ac:dyDescent="0.35">
      <c r="EW7052" s="48"/>
      <c r="FB7052" s="5"/>
      <c r="FI7052" s="5"/>
      <c r="FJ7052" s="164"/>
      <c r="FL7052" s="2"/>
      <c r="FN7052" s="2"/>
    </row>
    <row r="7053" spans="153:170" x14ac:dyDescent="0.35">
      <c r="EW7053" s="48"/>
      <c r="FB7053" s="5"/>
      <c r="FI7053" s="5"/>
      <c r="FJ7053" s="164"/>
      <c r="FL7053" s="2"/>
      <c r="FN7053" s="2"/>
    </row>
    <row r="7054" spans="153:170" x14ac:dyDescent="0.35">
      <c r="EW7054" s="48"/>
      <c r="FB7054" s="5"/>
      <c r="FI7054" s="5"/>
      <c r="FJ7054" s="164"/>
      <c r="FL7054" s="2"/>
      <c r="FN7054" s="2"/>
    </row>
    <row r="7055" spans="153:170" x14ac:dyDescent="0.35">
      <c r="EW7055" s="48"/>
      <c r="FB7055" s="5"/>
      <c r="FI7055" s="5"/>
      <c r="FJ7055" s="164"/>
      <c r="FL7055" s="2"/>
      <c r="FN7055" s="2"/>
    </row>
    <row r="7056" spans="153:170" x14ac:dyDescent="0.35">
      <c r="EW7056" s="48"/>
      <c r="FB7056" s="5"/>
      <c r="FI7056" s="5"/>
      <c r="FJ7056" s="164"/>
      <c r="FL7056" s="2"/>
      <c r="FN7056" s="2"/>
    </row>
    <row r="7057" spans="153:170" x14ac:dyDescent="0.35">
      <c r="EW7057" s="48"/>
      <c r="FB7057" s="5"/>
      <c r="FI7057" s="5"/>
      <c r="FJ7057" s="164"/>
      <c r="FL7057" s="2"/>
      <c r="FN7057" s="2"/>
    </row>
    <row r="7058" spans="153:170" x14ac:dyDescent="0.35">
      <c r="EW7058" s="48"/>
      <c r="FB7058" s="5"/>
      <c r="FI7058" s="5"/>
      <c r="FJ7058" s="164"/>
      <c r="FL7058" s="2"/>
      <c r="FN7058" s="2"/>
    </row>
    <row r="7059" spans="153:170" x14ac:dyDescent="0.35">
      <c r="EW7059" s="48"/>
      <c r="FB7059" s="5"/>
      <c r="FI7059" s="5"/>
      <c r="FJ7059" s="164"/>
      <c r="FL7059" s="2"/>
      <c r="FN7059" s="2"/>
    </row>
    <row r="7060" spans="153:170" x14ac:dyDescent="0.35">
      <c r="EW7060" s="48"/>
      <c r="FB7060" s="5"/>
      <c r="FI7060" s="5"/>
      <c r="FJ7060" s="164"/>
      <c r="FL7060" s="2"/>
      <c r="FN7060" s="2"/>
    </row>
    <row r="7061" spans="153:170" x14ac:dyDescent="0.35">
      <c r="EW7061" s="48"/>
      <c r="FB7061" s="5"/>
      <c r="FI7061" s="5"/>
      <c r="FJ7061" s="164"/>
      <c r="FL7061" s="2"/>
      <c r="FN7061" s="2"/>
    </row>
    <row r="7062" spans="153:170" x14ac:dyDescent="0.35">
      <c r="EW7062" s="48"/>
      <c r="FB7062" s="5"/>
      <c r="FI7062" s="5"/>
      <c r="FJ7062" s="164"/>
      <c r="FL7062" s="2"/>
      <c r="FN7062" s="2"/>
    </row>
    <row r="7063" spans="153:170" x14ac:dyDescent="0.35">
      <c r="EW7063" s="48"/>
      <c r="FB7063" s="5"/>
      <c r="FI7063" s="5"/>
      <c r="FJ7063" s="164"/>
      <c r="FL7063" s="2"/>
      <c r="FN7063" s="2"/>
    </row>
    <row r="7064" spans="153:170" x14ac:dyDescent="0.35">
      <c r="EW7064" s="48"/>
      <c r="FB7064" s="5"/>
      <c r="FI7064" s="5"/>
      <c r="FJ7064" s="164"/>
      <c r="FL7064" s="2"/>
      <c r="FN7064" s="2"/>
    </row>
    <row r="7065" spans="153:170" x14ac:dyDescent="0.35">
      <c r="EW7065" s="48"/>
      <c r="FB7065" s="5"/>
      <c r="FI7065" s="5"/>
      <c r="FJ7065" s="164"/>
      <c r="FL7065" s="2"/>
      <c r="FN7065" s="2"/>
    </row>
    <row r="7066" spans="153:170" x14ac:dyDescent="0.35">
      <c r="EW7066" s="48"/>
      <c r="FB7066" s="5"/>
      <c r="FI7066" s="5"/>
      <c r="FJ7066" s="164"/>
      <c r="FL7066" s="2"/>
      <c r="FN7066" s="2"/>
    </row>
    <row r="7067" spans="153:170" x14ac:dyDescent="0.35">
      <c r="EW7067" s="48"/>
      <c r="FB7067" s="5"/>
      <c r="FI7067" s="5"/>
      <c r="FJ7067" s="164"/>
      <c r="FL7067" s="2"/>
      <c r="FN7067" s="2"/>
    </row>
    <row r="7068" spans="153:170" x14ac:dyDescent="0.35">
      <c r="EW7068" s="48"/>
      <c r="FB7068" s="5"/>
      <c r="FI7068" s="5"/>
      <c r="FJ7068" s="164"/>
      <c r="FL7068" s="2"/>
      <c r="FN7068" s="2"/>
    </row>
    <row r="7069" spans="153:170" x14ac:dyDescent="0.35">
      <c r="EW7069" s="48"/>
      <c r="FB7069" s="5"/>
      <c r="FI7069" s="5"/>
      <c r="FJ7069" s="164"/>
      <c r="FL7069" s="2"/>
      <c r="FN7069" s="2"/>
    </row>
    <row r="7070" spans="153:170" x14ac:dyDescent="0.35">
      <c r="EW7070" s="48"/>
      <c r="FB7070" s="5"/>
      <c r="FI7070" s="5"/>
      <c r="FJ7070" s="164"/>
      <c r="FL7070" s="2"/>
      <c r="FN7070" s="2"/>
    </row>
    <row r="7071" spans="153:170" x14ac:dyDescent="0.35">
      <c r="EW7071" s="48"/>
      <c r="FB7071" s="5"/>
      <c r="FI7071" s="5"/>
      <c r="FJ7071" s="164"/>
      <c r="FL7071" s="2"/>
      <c r="FN7071" s="2"/>
    </row>
    <row r="7072" spans="153:170" x14ac:dyDescent="0.35">
      <c r="EW7072" s="48"/>
      <c r="FB7072" s="5"/>
      <c r="FI7072" s="5"/>
      <c r="FJ7072" s="164"/>
      <c r="FL7072" s="2"/>
      <c r="FN7072" s="2"/>
    </row>
    <row r="7073" spans="153:170" x14ac:dyDescent="0.35">
      <c r="EW7073" s="48"/>
      <c r="FB7073" s="5"/>
      <c r="FI7073" s="5"/>
      <c r="FJ7073" s="164"/>
      <c r="FL7073" s="2"/>
      <c r="FN7073" s="2"/>
    </row>
    <row r="7074" spans="153:170" x14ac:dyDescent="0.35">
      <c r="EW7074" s="48"/>
      <c r="FB7074" s="5"/>
      <c r="FI7074" s="5"/>
      <c r="FJ7074" s="164"/>
      <c r="FL7074" s="2"/>
      <c r="FN7074" s="2"/>
    </row>
    <row r="7075" spans="153:170" x14ac:dyDescent="0.35">
      <c r="EW7075" s="48"/>
      <c r="FB7075" s="5"/>
      <c r="FI7075" s="5"/>
      <c r="FJ7075" s="164"/>
      <c r="FL7075" s="2"/>
      <c r="FN7075" s="2"/>
    </row>
    <row r="7076" spans="153:170" x14ac:dyDescent="0.35">
      <c r="EW7076" s="48"/>
      <c r="FB7076" s="5"/>
      <c r="FI7076" s="5"/>
      <c r="FJ7076" s="164"/>
      <c r="FL7076" s="2"/>
      <c r="FN7076" s="2"/>
    </row>
    <row r="7077" spans="153:170" x14ac:dyDescent="0.35">
      <c r="EW7077" s="48"/>
      <c r="FB7077" s="5"/>
      <c r="FI7077" s="5"/>
      <c r="FJ7077" s="164"/>
      <c r="FL7077" s="2"/>
      <c r="FN7077" s="2"/>
    </row>
    <row r="7078" spans="153:170" x14ac:dyDescent="0.35">
      <c r="EW7078" s="48"/>
      <c r="FB7078" s="5"/>
      <c r="FI7078" s="5"/>
      <c r="FJ7078" s="164"/>
      <c r="FL7078" s="2"/>
      <c r="FN7078" s="2"/>
    </row>
    <row r="7079" spans="153:170" x14ac:dyDescent="0.35">
      <c r="EW7079" s="48"/>
      <c r="FB7079" s="5"/>
      <c r="FI7079" s="5"/>
      <c r="FJ7079" s="164"/>
      <c r="FL7079" s="2"/>
      <c r="FN7079" s="2"/>
    </row>
    <row r="7080" spans="153:170" x14ac:dyDescent="0.35">
      <c r="EW7080" s="48"/>
      <c r="FB7080" s="5"/>
      <c r="FI7080" s="5"/>
      <c r="FJ7080" s="164"/>
      <c r="FL7080" s="2"/>
      <c r="FN7080" s="2"/>
    </row>
    <row r="7081" spans="153:170" x14ac:dyDescent="0.35">
      <c r="EW7081" s="48"/>
      <c r="FB7081" s="5"/>
      <c r="FI7081" s="5"/>
      <c r="FJ7081" s="164"/>
      <c r="FL7081" s="2"/>
      <c r="FN7081" s="2"/>
    </row>
    <row r="7082" spans="153:170" x14ac:dyDescent="0.35">
      <c r="EW7082" s="48"/>
      <c r="FB7082" s="5"/>
      <c r="FI7082" s="5"/>
      <c r="FJ7082" s="164"/>
      <c r="FL7082" s="2"/>
      <c r="FN7082" s="2"/>
    </row>
    <row r="7083" spans="153:170" x14ac:dyDescent="0.35">
      <c r="EW7083" s="48"/>
      <c r="FB7083" s="5"/>
      <c r="FI7083" s="5"/>
      <c r="FJ7083" s="164"/>
      <c r="FL7083" s="2"/>
      <c r="FN7083" s="2"/>
    </row>
    <row r="7084" spans="153:170" x14ac:dyDescent="0.35">
      <c r="EW7084" s="48"/>
      <c r="FB7084" s="5"/>
      <c r="FI7084" s="5"/>
      <c r="FJ7084" s="164"/>
      <c r="FL7084" s="2"/>
      <c r="FN7084" s="2"/>
    </row>
    <row r="7085" spans="153:170" x14ac:dyDescent="0.35">
      <c r="EW7085" s="48"/>
      <c r="FB7085" s="5"/>
      <c r="FI7085" s="5"/>
      <c r="FJ7085" s="164"/>
      <c r="FL7085" s="2"/>
      <c r="FN7085" s="2"/>
    </row>
    <row r="7086" spans="153:170" x14ac:dyDescent="0.35">
      <c r="EW7086" s="48"/>
      <c r="FB7086" s="5"/>
      <c r="FI7086" s="5"/>
      <c r="FJ7086" s="164"/>
      <c r="FL7086" s="2"/>
      <c r="FN7086" s="2"/>
    </row>
    <row r="7087" spans="153:170" x14ac:dyDescent="0.35">
      <c r="EW7087" s="48"/>
      <c r="FB7087" s="5"/>
      <c r="FI7087" s="5"/>
      <c r="FJ7087" s="164"/>
      <c r="FL7087" s="2"/>
      <c r="FN7087" s="2"/>
    </row>
    <row r="7088" spans="153:170" x14ac:dyDescent="0.35">
      <c r="EW7088" s="48"/>
      <c r="FB7088" s="5"/>
      <c r="FI7088" s="5"/>
      <c r="FJ7088" s="164"/>
      <c r="FL7088" s="2"/>
      <c r="FN7088" s="2"/>
    </row>
    <row r="7089" spans="153:170" x14ac:dyDescent="0.35">
      <c r="EW7089" s="48"/>
      <c r="FB7089" s="5"/>
      <c r="FI7089" s="5"/>
      <c r="FJ7089" s="164"/>
      <c r="FL7089" s="2"/>
      <c r="FN7089" s="2"/>
    </row>
    <row r="7090" spans="153:170" x14ac:dyDescent="0.35">
      <c r="EW7090" s="48"/>
      <c r="FB7090" s="5"/>
      <c r="FI7090" s="5"/>
      <c r="FJ7090" s="164"/>
      <c r="FL7090" s="2"/>
      <c r="FN7090" s="2"/>
    </row>
    <row r="7091" spans="153:170" x14ac:dyDescent="0.35">
      <c r="EW7091" s="48"/>
      <c r="FB7091" s="5"/>
      <c r="FI7091" s="5"/>
      <c r="FJ7091" s="164"/>
      <c r="FL7091" s="2"/>
      <c r="FN7091" s="2"/>
    </row>
    <row r="7092" spans="153:170" x14ac:dyDescent="0.35">
      <c r="EW7092" s="48"/>
      <c r="FB7092" s="5"/>
      <c r="FI7092" s="5"/>
      <c r="FJ7092" s="164"/>
      <c r="FL7092" s="2"/>
      <c r="FN7092" s="2"/>
    </row>
    <row r="7093" spans="153:170" x14ac:dyDescent="0.35">
      <c r="EW7093" s="48"/>
      <c r="FB7093" s="5"/>
      <c r="FI7093" s="5"/>
      <c r="FJ7093" s="164"/>
      <c r="FL7093" s="2"/>
      <c r="FN7093" s="2"/>
    </row>
    <row r="7094" spans="153:170" x14ac:dyDescent="0.35">
      <c r="EW7094" s="48"/>
      <c r="FB7094" s="5"/>
      <c r="FI7094" s="5"/>
      <c r="FJ7094" s="164"/>
      <c r="FL7094" s="2"/>
      <c r="FN7094" s="2"/>
    </row>
    <row r="7095" spans="153:170" x14ac:dyDescent="0.35">
      <c r="EW7095" s="48"/>
      <c r="FB7095" s="5"/>
      <c r="FI7095" s="5"/>
      <c r="FJ7095" s="164"/>
      <c r="FL7095" s="2"/>
      <c r="FN7095" s="2"/>
    </row>
    <row r="7096" spans="153:170" x14ac:dyDescent="0.35">
      <c r="EW7096" s="48"/>
      <c r="FB7096" s="5"/>
      <c r="FI7096" s="5"/>
      <c r="FJ7096" s="164"/>
      <c r="FL7096" s="2"/>
      <c r="FN7096" s="2"/>
    </row>
    <row r="7097" spans="153:170" x14ac:dyDescent="0.35">
      <c r="EW7097" s="48"/>
      <c r="FB7097" s="5"/>
      <c r="FI7097" s="5"/>
      <c r="FJ7097" s="164"/>
      <c r="FL7097" s="2"/>
      <c r="FN7097" s="2"/>
    </row>
    <row r="7098" spans="153:170" x14ac:dyDescent="0.35">
      <c r="EW7098" s="48"/>
      <c r="FB7098" s="5"/>
      <c r="FI7098" s="5"/>
      <c r="FJ7098" s="164"/>
      <c r="FL7098" s="2"/>
      <c r="FN7098" s="2"/>
    </row>
    <row r="7099" spans="153:170" x14ac:dyDescent="0.35">
      <c r="EW7099" s="48"/>
      <c r="FB7099" s="5"/>
      <c r="FI7099" s="5"/>
      <c r="FJ7099" s="164"/>
      <c r="FL7099" s="2"/>
      <c r="FN7099" s="2"/>
    </row>
    <row r="7100" spans="153:170" x14ac:dyDescent="0.35">
      <c r="EW7100" s="48"/>
      <c r="FB7100" s="5"/>
      <c r="FI7100" s="5"/>
      <c r="FJ7100" s="164"/>
      <c r="FL7100" s="2"/>
      <c r="FN7100" s="2"/>
    </row>
    <row r="7101" spans="153:170" x14ac:dyDescent="0.35">
      <c r="EW7101" s="48"/>
      <c r="FB7101" s="5"/>
      <c r="FI7101" s="5"/>
      <c r="FJ7101" s="164"/>
      <c r="FL7101" s="2"/>
      <c r="FN7101" s="2"/>
    </row>
    <row r="7102" spans="153:170" x14ac:dyDescent="0.35">
      <c r="EW7102" s="48"/>
      <c r="FB7102" s="5"/>
      <c r="FI7102" s="5"/>
      <c r="FJ7102" s="164"/>
      <c r="FL7102" s="2"/>
      <c r="FN7102" s="2"/>
    </row>
    <row r="7103" spans="153:170" x14ac:dyDescent="0.35">
      <c r="EW7103" s="48"/>
      <c r="FB7103" s="5"/>
      <c r="FI7103" s="5"/>
      <c r="FJ7103" s="164"/>
      <c r="FL7103" s="2"/>
      <c r="FN7103" s="2"/>
    </row>
    <row r="7104" spans="153:170" x14ac:dyDescent="0.35">
      <c r="EW7104" s="48"/>
      <c r="FB7104" s="5"/>
      <c r="FI7104" s="5"/>
      <c r="FJ7104" s="164"/>
      <c r="FL7104" s="2"/>
      <c r="FN7104" s="2"/>
    </row>
    <row r="7105" spans="153:170" x14ac:dyDescent="0.35">
      <c r="EW7105" s="48"/>
      <c r="FB7105" s="5"/>
      <c r="FI7105" s="5"/>
      <c r="FJ7105" s="164"/>
      <c r="FL7105" s="2"/>
      <c r="FN7105" s="2"/>
    </row>
    <row r="7106" spans="153:170" x14ac:dyDescent="0.35">
      <c r="EW7106" s="48"/>
      <c r="FB7106" s="5"/>
      <c r="FI7106" s="5"/>
      <c r="FJ7106" s="164"/>
      <c r="FL7106" s="2"/>
      <c r="FN7106" s="2"/>
    </row>
    <row r="7107" spans="153:170" x14ac:dyDescent="0.35">
      <c r="EW7107" s="48"/>
      <c r="FB7107" s="5"/>
      <c r="FI7107" s="5"/>
      <c r="FJ7107" s="164"/>
      <c r="FL7107" s="2"/>
      <c r="FN7107" s="2"/>
    </row>
    <row r="7108" spans="153:170" x14ac:dyDescent="0.35">
      <c r="EW7108" s="48"/>
      <c r="FB7108" s="5"/>
      <c r="FI7108" s="5"/>
      <c r="FJ7108" s="164"/>
      <c r="FL7108" s="2"/>
      <c r="FN7108" s="2"/>
    </row>
    <row r="7109" spans="153:170" x14ac:dyDescent="0.35">
      <c r="EW7109" s="48"/>
      <c r="FB7109" s="5"/>
      <c r="FI7109" s="5"/>
      <c r="FJ7109" s="164"/>
      <c r="FL7109" s="2"/>
      <c r="FN7109" s="2"/>
    </row>
    <row r="7110" spans="153:170" x14ac:dyDescent="0.35">
      <c r="EW7110" s="48"/>
      <c r="FB7110" s="5"/>
      <c r="FI7110" s="5"/>
      <c r="FJ7110" s="164"/>
      <c r="FL7110" s="2"/>
      <c r="FN7110" s="2"/>
    </row>
    <row r="7111" spans="153:170" x14ac:dyDescent="0.35">
      <c r="EW7111" s="48"/>
      <c r="FB7111" s="5"/>
      <c r="FI7111" s="5"/>
      <c r="FJ7111" s="164"/>
      <c r="FL7111" s="2"/>
      <c r="FN7111" s="2"/>
    </row>
    <row r="7112" spans="153:170" x14ac:dyDescent="0.35">
      <c r="EW7112" s="48"/>
      <c r="FB7112" s="5"/>
      <c r="FI7112" s="5"/>
      <c r="FJ7112" s="164"/>
      <c r="FL7112" s="2"/>
      <c r="FN7112" s="2"/>
    </row>
    <row r="7113" spans="153:170" x14ac:dyDescent="0.35">
      <c r="EW7113" s="48"/>
      <c r="FB7113" s="5"/>
      <c r="FI7113" s="5"/>
      <c r="FJ7113" s="164"/>
      <c r="FL7113" s="2"/>
      <c r="FN7113" s="2"/>
    </row>
    <row r="7114" spans="153:170" x14ac:dyDescent="0.35">
      <c r="EW7114" s="48"/>
      <c r="FB7114" s="5"/>
      <c r="FI7114" s="5"/>
      <c r="FJ7114" s="164"/>
      <c r="FL7114" s="2"/>
      <c r="FN7114" s="2"/>
    </row>
    <row r="7115" spans="153:170" x14ac:dyDescent="0.35">
      <c r="EW7115" s="48"/>
      <c r="FB7115" s="5"/>
      <c r="FI7115" s="5"/>
      <c r="FJ7115" s="164"/>
      <c r="FL7115" s="2"/>
      <c r="FN7115" s="2"/>
    </row>
    <row r="7116" spans="153:170" x14ac:dyDescent="0.35">
      <c r="EW7116" s="48"/>
      <c r="FB7116" s="5"/>
      <c r="FI7116" s="5"/>
      <c r="FJ7116" s="164"/>
      <c r="FL7116" s="2"/>
      <c r="FN7116" s="2"/>
    </row>
    <row r="7117" spans="153:170" x14ac:dyDescent="0.35">
      <c r="EW7117" s="48"/>
      <c r="FB7117" s="5"/>
      <c r="FI7117" s="5"/>
      <c r="FJ7117" s="164"/>
      <c r="FL7117" s="2"/>
      <c r="FN7117" s="2"/>
    </row>
    <row r="7118" spans="153:170" x14ac:dyDescent="0.35">
      <c r="EW7118" s="48"/>
      <c r="FB7118" s="5"/>
      <c r="FI7118" s="5"/>
      <c r="FJ7118" s="164"/>
      <c r="FL7118" s="2"/>
      <c r="FN7118" s="2"/>
    </row>
    <row r="7119" spans="153:170" x14ac:dyDescent="0.35">
      <c r="EW7119" s="48"/>
      <c r="FB7119" s="5"/>
      <c r="FI7119" s="5"/>
      <c r="FJ7119" s="164"/>
      <c r="FL7119" s="2"/>
      <c r="FN7119" s="2"/>
    </row>
    <row r="7120" spans="153:170" x14ac:dyDescent="0.35">
      <c r="EW7120" s="48"/>
      <c r="FB7120" s="5"/>
      <c r="FI7120" s="5"/>
      <c r="FJ7120" s="164"/>
      <c r="FL7120" s="2"/>
      <c r="FN7120" s="2"/>
    </row>
    <row r="7121" spans="153:170" x14ac:dyDescent="0.35">
      <c r="EW7121" s="48"/>
      <c r="FB7121" s="5"/>
      <c r="FI7121" s="5"/>
      <c r="FJ7121" s="164"/>
      <c r="FL7121" s="2"/>
      <c r="FN7121" s="2"/>
    </row>
    <row r="7122" spans="153:170" x14ac:dyDescent="0.35">
      <c r="EW7122" s="48"/>
      <c r="FB7122" s="5"/>
      <c r="FI7122" s="5"/>
      <c r="FJ7122" s="164"/>
      <c r="FL7122" s="2"/>
      <c r="FN7122" s="2"/>
    </row>
    <row r="7123" spans="153:170" x14ac:dyDescent="0.35">
      <c r="EW7123" s="48"/>
      <c r="FB7123" s="5"/>
      <c r="FI7123" s="5"/>
      <c r="FJ7123" s="164"/>
      <c r="FL7123" s="2"/>
      <c r="FN7123" s="2"/>
    </row>
    <row r="7124" spans="153:170" x14ac:dyDescent="0.35">
      <c r="EW7124" s="48"/>
      <c r="FB7124" s="5"/>
      <c r="FI7124" s="5"/>
      <c r="FJ7124" s="164"/>
      <c r="FL7124" s="2"/>
      <c r="FN7124" s="2"/>
    </row>
    <row r="7125" spans="153:170" x14ac:dyDescent="0.35">
      <c r="EW7125" s="48"/>
      <c r="FB7125" s="5"/>
      <c r="FI7125" s="5"/>
      <c r="FJ7125" s="164"/>
      <c r="FL7125" s="2"/>
      <c r="FN7125" s="2"/>
    </row>
    <row r="7126" spans="153:170" x14ac:dyDescent="0.35">
      <c r="EW7126" s="48"/>
      <c r="FB7126" s="5"/>
      <c r="FI7126" s="5"/>
      <c r="FJ7126" s="164"/>
      <c r="FL7126" s="2"/>
      <c r="FN7126" s="2"/>
    </row>
    <row r="7127" spans="153:170" x14ac:dyDescent="0.35">
      <c r="EW7127" s="48"/>
      <c r="FB7127" s="5"/>
      <c r="FI7127" s="5"/>
      <c r="FJ7127" s="164"/>
      <c r="FL7127" s="2"/>
      <c r="FN7127" s="2"/>
    </row>
    <row r="7128" spans="153:170" x14ac:dyDescent="0.35">
      <c r="EW7128" s="48"/>
      <c r="FB7128" s="5"/>
      <c r="FI7128" s="5"/>
      <c r="FJ7128" s="164"/>
      <c r="FL7128" s="2"/>
      <c r="FN7128" s="2"/>
    </row>
    <row r="7129" spans="153:170" x14ac:dyDescent="0.35">
      <c r="EW7129" s="48"/>
      <c r="FB7129" s="5"/>
      <c r="FI7129" s="5"/>
      <c r="FJ7129" s="164"/>
      <c r="FL7129" s="2"/>
      <c r="FN7129" s="2"/>
    </row>
    <row r="7130" spans="153:170" x14ac:dyDescent="0.35">
      <c r="EW7130" s="48"/>
      <c r="FB7130" s="5"/>
      <c r="FI7130" s="5"/>
      <c r="FJ7130" s="164"/>
      <c r="FL7130" s="2"/>
      <c r="FN7130" s="2"/>
    </row>
    <row r="7131" spans="153:170" x14ac:dyDescent="0.35">
      <c r="EW7131" s="48"/>
      <c r="FB7131" s="5"/>
      <c r="FI7131" s="5"/>
      <c r="FJ7131" s="164"/>
      <c r="FL7131" s="2"/>
      <c r="FN7131" s="2"/>
    </row>
    <row r="7132" spans="153:170" x14ac:dyDescent="0.35">
      <c r="EW7132" s="48"/>
      <c r="FB7132" s="5"/>
      <c r="FI7132" s="5"/>
      <c r="FJ7132" s="164"/>
      <c r="FL7132" s="2"/>
      <c r="FN7132" s="2"/>
    </row>
    <row r="7133" spans="153:170" x14ac:dyDescent="0.35">
      <c r="EW7133" s="48"/>
      <c r="FB7133" s="5"/>
      <c r="FI7133" s="5"/>
      <c r="FJ7133" s="164"/>
      <c r="FL7133" s="2"/>
      <c r="FN7133" s="2"/>
    </row>
    <row r="7134" spans="153:170" x14ac:dyDescent="0.35">
      <c r="EW7134" s="48"/>
      <c r="FB7134" s="5"/>
      <c r="FI7134" s="5"/>
      <c r="FJ7134" s="164"/>
      <c r="FL7134" s="2"/>
      <c r="FN7134" s="2"/>
    </row>
    <row r="7135" spans="153:170" x14ac:dyDescent="0.35">
      <c r="EW7135" s="48"/>
      <c r="FB7135" s="5"/>
      <c r="FI7135" s="5"/>
      <c r="FJ7135" s="164"/>
      <c r="FL7135" s="2"/>
      <c r="FN7135" s="2"/>
    </row>
    <row r="7136" spans="153:170" x14ac:dyDescent="0.35">
      <c r="EW7136" s="48"/>
      <c r="FB7136" s="5"/>
      <c r="FI7136" s="5"/>
      <c r="FJ7136" s="164"/>
      <c r="FL7136" s="2"/>
      <c r="FN7136" s="2"/>
    </row>
    <row r="7137" spans="153:170" x14ac:dyDescent="0.35">
      <c r="EW7137" s="48"/>
      <c r="FB7137" s="5"/>
      <c r="FI7137" s="5"/>
      <c r="FJ7137" s="164"/>
      <c r="FL7137" s="2"/>
      <c r="FN7137" s="2"/>
    </row>
    <row r="7138" spans="153:170" x14ac:dyDescent="0.35">
      <c r="EW7138" s="48"/>
      <c r="FB7138" s="5"/>
      <c r="FI7138" s="5"/>
      <c r="FJ7138" s="164"/>
      <c r="FL7138" s="2"/>
      <c r="FN7138" s="2"/>
    </row>
    <row r="7139" spans="153:170" x14ac:dyDescent="0.35">
      <c r="EW7139" s="48"/>
      <c r="FB7139" s="5"/>
      <c r="FI7139" s="5"/>
      <c r="FJ7139" s="164"/>
      <c r="FL7139" s="2"/>
      <c r="FN7139" s="2"/>
    </row>
    <row r="7140" spans="153:170" x14ac:dyDescent="0.35">
      <c r="EW7140" s="48"/>
      <c r="FB7140" s="5"/>
      <c r="FI7140" s="5"/>
      <c r="FJ7140" s="164"/>
      <c r="FL7140" s="2"/>
      <c r="FN7140" s="2"/>
    </row>
    <row r="7141" spans="153:170" x14ac:dyDescent="0.35">
      <c r="EW7141" s="48"/>
      <c r="FB7141" s="5"/>
      <c r="FI7141" s="5"/>
      <c r="FJ7141" s="164"/>
      <c r="FL7141" s="2"/>
      <c r="FN7141" s="2"/>
    </row>
    <row r="7142" spans="153:170" x14ac:dyDescent="0.35">
      <c r="EW7142" s="48"/>
      <c r="FB7142" s="5"/>
      <c r="FI7142" s="5"/>
      <c r="FJ7142" s="164"/>
      <c r="FL7142" s="2"/>
      <c r="FN7142" s="2"/>
    </row>
    <row r="7143" spans="153:170" x14ac:dyDescent="0.35">
      <c r="EW7143" s="48"/>
      <c r="FB7143" s="5"/>
      <c r="FI7143" s="5"/>
      <c r="FJ7143" s="164"/>
      <c r="FL7143" s="2"/>
      <c r="FN7143" s="2"/>
    </row>
    <row r="7144" spans="153:170" x14ac:dyDescent="0.35">
      <c r="EW7144" s="48"/>
      <c r="FB7144" s="5"/>
      <c r="FI7144" s="5"/>
      <c r="FJ7144" s="164"/>
      <c r="FL7144" s="2"/>
      <c r="FN7144" s="2"/>
    </row>
    <row r="7145" spans="153:170" x14ac:dyDescent="0.35">
      <c r="EW7145" s="48"/>
      <c r="FB7145" s="5"/>
      <c r="FI7145" s="5"/>
      <c r="FJ7145" s="164"/>
      <c r="FL7145" s="2"/>
      <c r="FN7145" s="2"/>
    </row>
    <row r="7146" spans="153:170" x14ac:dyDescent="0.35">
      <c r="EW7146" s="48"/>
      <c r="FB7146" s="5"/>
      <c r="FI7146" s="5"/>
      <c r="FJ7146" s="164"/>
      <c r="FL7146" s="2"/>
      <c r="FN7146" s="2"/>
    </row>
    <row r="7147" spans="153:170" x14ac:dyDescent="0.35">
      <c r="EW7147" s="48"/>
      <c r="FB7147" s="5"/>
      <c r="FI7147" s="5"/>
      <c r="FJ7147" s="164"/>
      <c r="FL7147" s="2"/>
      <c r="FN7147" s="2"/>
    </row>
    <row r="7148" spans="153:170" x14ac:dyDescent="0.35">
      <c r="EW7148" s="48"/>
      <c r="FB7148" s="5"/>
      <c r="FI7148" s="5"/>
      <c r="FJ7148" s="164"/>
      <c r="FL7148" s="2"/>
      <c r="FN7148" s="2"/>
    </row>
    <row r="7149" spans="153:170" x14ac:dyDescent="0.35">
      <c r="EW7149" s="48"/>
      <c r="FB7149" s="5"/>
      <c r="FI7149" s="5"/>
      <c r="FJ7149" s="164"/>
      <c r="FL7149" s="2"/>
      <c r="FN7149" s="2"/>
    </row>
    <row r="7150" spans="153:170" x14ac:dyDescent="0.35">
      <c r="EW7150" s="48"/>
      <c r="FB7150" s="5"/>
      <c r="FI7150" s="5"/>
      <c r="FJ7150" s="164"/>
      <c r="FL7150" s="2"/>
      <c r="FN7150" s="2"/>
    </row>
    <row r="7151" spans="153:170" x14ac:dyDescent="0.35">
      <c r="EW7151" s="48"/>
      <c r="FB7151" s="5"/>
      <c r="FI7151" s="5"/>
      <c r="FJ7151" s="164"/>
      <c r="FL7151" s="2"/>
      <c r="FN7151" s="2"/>
    </row>
    <row r="7152" spans="153:170" x14ac:dyDescent="0.35">
      <c r="EW7152" s="48"/>
      <c r="FB7152" s="5"/>
      <c r="FI7152" s="5"/>
      <c r="FJ7152" s="164"/>
      <c r="FL7152" s="2"/>
      <c r="FN7152" s="2"/>
    </row>
    <row r="7153" spans="153:170" x14ac:dyDescent="0.35">
      <c r="EW7153" s="48"/>
      <c r="FB7153" s="5"/>
      <c r="FI7153" s="5"/>
      <c r="FJ7153" s="164"/>
      <c r="FL7153" s="2"/>
      <c r="FN7153" s="2"/>
    </row>
    <row r="7154" spans="153:170" x14ac:dyDescent="0.35">
      <c r="EW7154" s="48"/>
      <c r="FB7154" s="5"/>
      <c r="FI7154" s="5"/>
      <c r="FJ7154" s="164"/>
      <c r="FL7154" s="2"/>
      <c r="FN7154" s="2"/>
    </row>
    <row r="7155" spans="153:170" x14ac:dyDescent="0.35">
      <c r="EW7155" s="48"/>
      <c r="FB7155" s="5"/>
      <c r="FI7155" s="5"/>
      <c r="FJ7155" s="164"/>
      <c r="FL7155" s="2"/>
      <c r="FN7155" s="2"/>
    </row>
    <row r="7156" spans="153:170" x14ac:dyDescent="0.35">
      <c r="EW7156" s="48"/>
      <c r="FB7156" s="5"/>
      <c r="FI7156" s="5"/>
      <c r="FJ7156" s="164"/>
      <c r="FL7156" s="2"/>
      <c r="FN7156" s="2"/>
    </row>
    <row r="7157" spans="153:170" x14ac:dyDescent="0.35">
      <c r="EW7157" s="48"/>
      <c r="FB7157" s="5"/>
      <c r="FI7157" s="5"/>
      <c r="FJ7157" s="164"/>
      <c r="FL7157" s="2"/>
      <c r="FN7157" s="2"/>
    </row>
    <row r="7158" spans="153:170" x14ac:dyDescent="0.35">
      <c r="EW7158" s="48"/>
      <c r="FB7158" s="5"/>
      <c r="FI7158" s="5"/>
      <c r="FJ7158" s="164"/>
      <c r="FL7158" s="2"/>
      <c r="FN7158" s="2"/>
    </row>
    <row r="7159" spans="153:170" x14ac:dyDescent="0.35">
      <c r="EW7159" s="48"/>
      <c r="FB7159" s="5"/>
      <c r="FI7159" s="5"/>
      <c r="FJ7159" s="164"/>
      <c r="FL7159" s="2"/>
      <c r="FN7159" s="2"/>
    </row>
    <row r="7160" spans="153:170" x14ac:dyDescent="0.35">
      <c r="EW7160" s="48"/>
      <c r="FB7160" s="5"/>
      <c r="FI7160" s="5"/>
      <c r="FJ7160" s="164"/>
      <c r="FL7160" s="2"/>
      <c r="FN7160" s="2"/>
    </row>
    <row r="7161" spans="153:170" x14ac:dyDescent="0.35">
      <c r="EW7161" s="48"/>
      <c r="FB7161" s="5"/>
      <c r="FI7161" s="5"/>
      <c r="FJ7161" s="164"/>
      <c r="FL7161" s="2"/>
      <c r="FN7161" s="2"/>
    </row>
    <row r="7162" spans="153:170" x14ac:dyDescent="0.35">
      <c r="EW7162" s="48"/>
      <c r="FB7162" s="5"/>
      <c r="FI7162" s="5"/>
      <c r="FJ7162" s="164"/>
      <c r="FL7162" s="2"/>
      <c r="FN7162" s="2"/>
    </row>
    <row r="7163" spans="153:170" x14ac:dyDescent="0.35">
      <c r="EW7163" s="48"/>
      <c r="FB7163" s="5"/>
      <c r="FI7163" s="5"/>
      <c r="FJ7163" s="164"/>
      <c r="FL7163" s="2"/>
      <c r="FN7163" s="2"/>
    </row>
    <row r="7164" spans="153:170" x14ac:dyDescent="0.35">
      <c r="EW7164" s="48"/>
      <c r="FB7164" s="5"/>
      <c r="FI7164" s="5"/>
      <c r="FJ7164" s="164"/>
      <c r="FL7164" s="2"/>
      <c r="FN7164" s="2"/>
    </row>
    <row r="7165" spans="153:170" x14ac:dyDescent="0.35">
      <c r="EW7165" s="48"/>
      <c r="FB7165" s="5"/>
      <c r="FI7165" s="5"/>
      <c r="FJ7165" s="164"/>
      <c r="FL7165" s="2"/>
      <c r="FN7165" s="2"/>
    </row>
    <row r="7166" spans="153:170" x14ac:dyDescent="0.35">
      <c r="EW7166" s="48"/>
      <c r="FB7166" s="5"/>
      <c r="FI7166" s="5"/>
      <c r="FJ7166" s="164"/>
      <c r="FL7166" s="2"/>
      <c r="FN7166" s="2"/>
    </row>
    <row r="7167" spans="153:170" x14ac:dyDescent="0.35">
      <c r="EW7167" s="48"/>
      <c r="FB7167" s="5"/>
      <c r="FI7167" s="5"/>
      <c r="FJ7167" s="164"/>
      <c r="FL7167" s="2"/>
      <c r="FN7167" s="2"/>
    </row>
    <row r="7168" spans="153:170" x14ac:dyDescent="0.35">
      <c r="EW7168" s="48"/>
      <c r="FB7168" s="5"/>
      <c r="FI7168" s="5"/>
      <c r="FJ7168" s="164"/>
      <c r="FL7168" s="2"/>
      <c r="FN7168" s="2"/>
    </row>
    <row r="7169" spans="153:170" x14ac:dyDescent="0.35">
      <c r="EW7169" s="48"/>
      <c r="FB7169" s="5"/>
      <c r="FI7169" s="5"/>
      <c r="FJ7169" s="164"/>
      <c r="FL7169" s="2"/>
      <c r="FN7169" s="2"/>
    </row>
    <row r="7170" spans="153:170" x14ac:dyDescent="0.35">
      <c r="EW7170" s="48"/>
      <c r="FB7170" s="5"/>
      <c r="FI7170" s="5"/>
      <c r="FJ7170" s="164"/>
      <c r="FL7170" s="2"/>
      <c r="FN7170" s="2"/>
    </row>
    <row r="7171" spans="153:170" x14ac:dyDescent="0.35">
      <c r="EW7171" s="48"/>
      <c r="FB7171" s="5"/>
      <c r="FI7171" s="5"/>
      <c r="FJ7171" s="164"/>
      <c r="FL7171" s="2"/>
      <c r="FN7171" s="2"/>
    </row>
    <row r="7172" spans="153:170" x14ac:dyDescent="0.35">
      <c r="EW7172" s="48"/>
      <c r="FB7172" s="5"/>
      <c r="FI7172" s="5"/>
      <c r="FJ7172" s="164"/>
      <c r="FL7172" s="2"/>
      <c r="FN7172" s="2"/>
    </row>
    <row r="7173" spans="153:170" x14ac:dyDescent="0.35">
      <c r="EW7173" s="48"/>
      <c r="FB7173" s="5"/>
      <c r="FI7173" s="5"/>
      <c r="FJ7173" s="164"/>
      <c r="FL7173" s="2"/>
      <c r="FN7173" s="2"/>
    </row>
    <row r="7174" spans="153:170" x14ac:dyDescent="0.35">
      <c r="EW7174" s="48"/>
      <c r="FB7174" s="5"/>
      <c r="FI7174" s="5"/>
      <c r="FJ7174" s="164"/>
      <c r="FL7174" s="2"/>
      <c r="FN7174" s="2"/>
    </row>
    <row r="7175" spans="153:170" x14ac:dyDescent="0.35">
      <c r="EW7175" s="48"/>
      <c r="FB7175" s="5"/>
      <c r="FI7175" s="5"/>
      <c r="FJ7175" s="164"/>
      <c r="FL7175" s="2"/>
      <c r="FN7175" s="2"/>
    </row>
    <row r="7176" spans="153:170" x14ac:dyDescent="0.35">
      <c r="EW7176" s="48"/>
      <c r="FB7176" s="5"/>
      <c r="FI7176" s="5"/>
      <c r="FJ7176" s="164"/>
      <c r="FL7176" s="2"/>
      <c r="FN7176" s="2"/>
    </row>
    <row r="7177" spans="153:170" x14ac:dyDescent="0.35">
      <c r="EW7177" s="48"/>
      <c r="FB7177" s="5"/>
      <c r="FI7177" s="5"/>
      <c r="FJ7177" s="164"/>
      <c r="FL7177" s="2"/>
      <c r="FN7177" s="2"/>
    </row>
    <row r="7178" spans="153:170" x14ac:dyDescent="0.35">
      <c r="EW7178" s="48"/>
      <c r="FB7178" s="5"/>
      <c r="FI7178" s="5"/>
      <c r="FJ7178" s="164"/>
      <c r="FL7178" s="2"/>
      <c r="FN7178" s="2"/>
    </row>
    <row r="7179" spans="153:170" x14ac:dyDescent="0.35">
      <c r="EW7179" s="48"/>
      <c r="FB7179" s="5"/>
      <c r="FI7179" s="5"/>
      <c r="FJ7179" s="164"/>
      <c r="FL7179" s="2"/>
      <c r="FN7179" s="2"/>
    </row>
    <row r="7180" spans="153:170" x14ac:dyDescent="0.35">
      <c r="EW7180" s="48"/>
      <c r="FB7180" s="5"/>
      <c r="FI7180" s="5"/>
      <c r="FJ7180" s="164"/>
      <c r="FL7180" s="2"/>
      <c r="FN7180" s="2"/>
    </row>
    <row r="7181" spans="153:170" x14ac:dyDescent="0.35">
      <c r="EW7181" s="48"/>
      <c r="FB7181" s="5"/>
      <c r="FI7181" s="5"/>
      <c r="FJ7181" s="164"/>
      <c r="FL7181" s="2"/>
      <c r="FN7181" s="2"/>
    </row>
    <row r="7182" spans="153:170" x14ac:dyDescent="0.35">
      <c r="EW7182" s="48"/>
      <c r="FB7182" s="5"/>
      <c r="FI7182" s="5"/>
      <c r="FJ7182" s="164"/>
      <c r="FL7182" s="2"/>
      <c r="FN7182" s="2"/>
    </row>
    <row r="7183" spans="153:170" x14ac:dyDescent="0.35">
      <c r="EW7183" s="48"/>
      <c r="FB7183" s="5"/>
      <c r="FI7183" s="5"/>
      <c r="FJ7183" s="164"/>
      <c r="FL7183" s="2"/>
      <c r="FN7183" s="2"/>
    </row>
    <row r="7184" spans="153:170" x14ac:dyDescent="0.35">
      <c r="EW7184" s="48"/>
      <c r="FB7184" s="5"/>
      <c r="FI7184" s="5"/>
      <c r="FJ7184" s="164"/>
      <c r="FL7184" s="2"/>
      <c r="FN7184" s="2"/>
    </row>
    <row r="7185" spans="153:170" x14ac:dyDescent="0.35">
      <c r="EW7185" s="48"/>
      <c r="FB7185" s="5"/>
      <c r="FI7185" s="5"/>
      <c r="FJ7185" s="164"/>
      <c r="FL7185" s="2"/>
      <c r="FN7185" s="2"/>
    </row>
    <row r="7186" spans="153:170" x14ac:dyDescent="0.35">
      <c r="EW7186" s="48"/>
      <c r="FB7186" s="5"/>
      <c r="FI7186" s="5"/>
      <c r="FJ7186" s="164"/>
      <c r="FL7186" s="2"/>
      <c r="FN7186" s="2"/>
    </row>
    <row r="7187" spans="153:170" x14ac:dyDescent="0.35">
      <c r="EW7187" s="48"/>
      <c r="FB7187" s="5"/>
      <c r="FI7187" s="5"/>
      <c r="FJ7187" s="164"/>
      <c r="FL7187" s="2"/>
      <c r="FN7187" s="2"/>
    </row>
    <row r="7188" spans="153:170" x14ac:dyDescent="0.35">
      <c r="EW7188" s="48"/>
      <c r="FB7188" s="5"/>
      <c r="FI7188" s="5"/>
      <c r="FJ7188" s="164"/>
      <c r="FL7188" s="2"/>
      <c r="FN7188" s="2"/>
    </row>
    <row r="7189" spans="153:170" x14ac:dyDescent="0.35">
      <c r="EW7189" s="48"/>
      <c r="FB7189" s="5"/>
      <c r="FI7189" s="5"/>
      <c r="FJ7189" s="164"/>
      <c r="FL7189" s="2"/>
      <c r="FN7189" s="2"/>
    </row>
    <row r="7190" spans="153:170" x14ac:dyDescent="0.35">
      <c r="EW7190" s="48"/>
      <c r="FB7190" s="5"/>
      <c r="FI7190" s="5"/>
      <c r="FJ7190" s="164"/>
      <c r="FL7190" s="2"/>
      <c r="FN7190" s="2"/>
    </row>
    <row r="7191" spans="153:170" x14ac:dyDescent="0.35">
      <c r="EW7191" s="48"/>
      <c r="FB7191" s="5"/>
      <c r="FI7191" s="5"/>
      <c r="FJ7191" s="164"/>
      <c r="FL7191" s="2"/>
      <c r="FN7191" s="2"/>
    </row>
    <row r="7192" spans="153:170" x14ac:dyDescent="0.35">
      <c r="EW7192" s="48"/>
      <c r="FB7192" s="5"/>
      <c r="FI7192" s="5"/>
      <c r="FJ7192" s="164"/>
      <c r="FL7192" s="2"/>
      <c r="FN7192" s="2"/>
    </row>
    <row r="7193" spans="153:170" x14ac:dyDescent="0.35">
      <c r="EW7193" s="48"/>
      <c r="FB7193" s="5"/>
      <c r="FI7193" s="5"/>
      <c r="FJ7193" s="164"/>
      <c r="FL7193" s="2"/>
      <c r="FN7193" s="2"/>
    </row>
    <row r="7194" spans="153:170" x14ac:dyDescent="0.35">
      <c r="EW7194" s="48"/>
      <c r="FB7194" s="5"/>
      <c r="FI7194" s="5"/>
      <c r="FJ7194" s="164"/>
      <c r="FL7194" s="2"/>
      <c r="FN7194" s="2"/>
    </row>
    <row r="7195" spans="153:170" x14ac:dyDescent="0.35">
      <c r="EW7195" s="48"/>
      <c r="FB7195" s="5"/>
      <c r="FI7195" s="5"/>
      <c r="FJ7195" s="164"/>
      <c r="FL7195" s="2"/>
      <c r="FN7195" s="2"/>
    </row>
    <row r="7196" spans="153:170" x14ac:dyDescent="0.35">
      <c r="EW7196" s="48"/>
      <c r="FB7196" s="5"/>
      <c r="FI7196" s="5"/>
      <c r="FJ7196" s="164"/>
      <c r="FL7196" s="2"/>
      <c r="FN7196" s="2"/>
    </row>
    <row r="7197" spans="153:170" x14ac:dyDescent="0.35">
      <c r="EW7197" s="48"/>
      <c r="FB7197" s="5"/>
      <c r="FI7197" s="5"/>
      <c r="FJ7197" s="164"/>
      <c r="FL7197" s="2"/>
      <c r="FN7197" s="2"/>
    </row>
    <row r="7198" spans="153:170" x14ac:dyDescent="0.35">
      <c r="EW7198" s="48"/>
      <c r="FB7198" s="5"/>
      <c r="FI7198" s="5"/>
      <c r="FJ7198" s="164"/>
      <c r="FL7198" s="2"/>
      <c r="FN7198" s="2"/>
    </row>
    <row r="7199" spans="153:170" x14ac:dyDescent="0.35">
      <c r="EW7199" s="48"/>
      <c r="FB7199" s="5"/>
      <c r="FI7199" s="5"/>
      <c r="FJ7199" s="164"/>
      <c r="FL7199" s="2"/>
      <c r="FN7199" s="2"/>
    </row>
    <row r="7200" spans="153:170" x14ac:dyDescent="0.35">
      <c r="EW7200" s="48"/>
      <c r="FB7200" s="5"/>
      <c r="FI7200" s="5"/>
      <c r="FJ7200" s="164"/>
      <c r="FL7200" s="2"/>
      <c r="FN7200" s="2"/>
    </row>
    <row r="7201" spans="153:170" x14ac:dyDescent="0.35">
      <c r="EW7201" s="48"/>
      <c r="FB7201" s="5"/>
      <c r="FI7201" s="5"/>
      <c r="FJ7201" s="164"/>
      <c r="FL7201" s="2"/>
      <c r="FN7201" s="2"/>
    </row>
    <row r="7202" spans="153:170" x14ac:dyDescent="0.35">
      <c r="EW7202" s="48"/>
      <c r="FB7202" s="5"/>
      <c r="FI7202" s="5"/>
      <c r="FJ7202" s="164"/>
      <c r="FL7202" s="2"/>
      <c r="FN7202" s="2"/>
    </row>
    <row r="7203" spans="153:170" x14ac:dyDescent="0.35">
      <c r="EW7203" s="48"/>
      <c r="FB7203" s="5"/>
      <c r="FI7203" s="5"/>
      <c r="FJ7203" s="164"/>
      <c r="FL7203" s="2"/>
      <c r="FN7203" s="2"/>
    </row>
    <row r="7204" spans="153:170" x14ac:dyDescent="0.35">
      <c r="EW7204" s="48"/>
      <c r="FB7204" s="5"/>
      <c r="FI7204" s="5"/>
      <c r="FJ7204" s="164"/>
      <c r="FL7204" s="2"/>
      <c r="FN7204" s="2"/>
    </row>
    <row r="7205" spans="153:170" x14ac:dyDescent="0.35">
      <c r="EW7205" s="48"/>
      <c r="FB7205" s="5"/>
      <c r="FI7205" s="5"/>
      <c r="FJ7205" s="164"/>
      <c r="FL7205" s="2"/>
      <c r="FN7205" s="2"/>
    </row>
    <row r="7206" spans="153:170" x14ac:dyDescent="0.35">
      <c r="EW7206" s="48"/>
      <c r="FB7206" s="5"/>
      <c r="FI7206" s="5"/>
      <c r="FJ7206" s="164"/>
      <c r="FL7206" s="2"/>
      <c r="FN7206" s="2"/>
    </row>
    <row r="7207" spans="153:170" x14ac:dyDescent="0.35">
      <c r="EW7207" s="48"/>
      <c r="FB7207" s="5"/>
      <c r="FI7207" s="5"/>
      <c r="FJ7207" s="164"/>
      <c r="FL7207" s="2"/>
      <c r="FN7207" s="2"/>
    </row>
    <row r="7208" spans="153:170" x14ac:dyDescent="0.35">
      <c r="EW7208" s="48"/>
      <c r="FB7208" s="5"/>
      <c r="FI7208" s="5"/>
      <c r="FJ7208" s="164"/>
      <c r="FL7208" s="2"/>
      <c r="FN7208" s="2"/>
    </row>
    <row r="7209" spans="153:170" x14ac:dyDescent="0.35">
      <c r="EW7209" s="48"/>
      <c r="FB7209" s="5"/>
      <c r="FI7209" s="5"/>
      <c r="FJ7209" s="164"/>
      <c r="FL7209" s="2"/>
      <c r="FN7209" s="2"/>
    </row>
    <row r="7210" spans="153:170" x14ac:dyDescent="0.35">
      <c r="EW7210" s="48"/>
      <c r="FB7210" s="5"/>
      <c r="FI7210" s="5"/>
      <c r="FJ7210" s="164"/>
      <c r="FL7210" s="2"/>
      <c r="FN7210" s="2"/>
    </row>
    <row r="7211" spans="153:170" x14ac:dyDescent="0.35">
      <c r="EW7211" s="48"/>
      <c r="FB7211" s="5"/>
      <c r="FI7211" s="5"/>
      <c r="FJ7211" s="164"/>
      <c r="FL7211" s="2"/>
      <c r="FN7211" s="2"/>
    </row>
    <row r="7212" spans="153:170" x14ac:dyDescent="0.35">
      <c r="EW7212" s="48"/>
      <c r="FB7212" s="5"/>
      <c r="FI7212" s="5"/>
      <c r="FJ7212" s="164"/>
      <c r="FL7212" s="2"/>
      <c r="FN7212" s="2"/>
    </row>
    <row r="7213" spans="153:170" x14ac:dyDescent="0.35">
      <c r="EW7213" s="48"/>
      <c r="FB7213" s="5"/>
      <c r="FI7213" s="5"/>
      <c r="FJ7213" s="164"/>
      <c r="FL7213" s="2"/>
      <c r="FN7213" s="2"/>
    </row>
    <row r="7214" spans="153:170" x14ac:dyDescent="0.35">
      <c r="EW7214" s="48"/>
      <c r="FB7214" s="5"/>
      <c r="FI7214" s="5"/>
      <c r="FJ7214" s="164"/>
      <c r="FL7214" s="2"/>
      <c r="FN7214" s="2"/>
    </row>
    <row r="7215" spans="153:170" x14ac:dyDescent="0.35">
      <c r="EW7215" s="48"/>
      <c r="FB7215" s="5"/>
      <c r="FI7215" s="5"/>
      <c r="FJ7215" s="164"/>
      <c r="FL7215" s="2"/>
      <c r="FN7215" s="2"/>
    </row>
    <row r="7216" spans="153:170" x14ac:dyDescent="0.35">
      <c r="EW7216" s="48"/>
      <c r="FB7216" s="5"/>
      <c r="FI7216" s="5"/>
      <c r="FJ7216" s="164"/>
      <c r="FL7216" s="2"/>
      <c r="FN7216" s="2"/>
    </row>
    <row r="7217" spans="153:170" x14ac:dyDescent="0.35">
      <c r="EW7217" s="48"/>
      <c r="FB7217" s="5"/>
      <c r="FI7217" s="5"/>
      <c r="FJ7217" s="164"/>
      <c r="FL7217" s="2"/>
      <c r="FN7217" s="2"/>
    </row>
    <row r="7218" spans="153:170" x14ac:dyDescent="0.35">
      <c r="EW7218" s="48"/>
      <c r="FB7218" s="5"/>
      <c r="FI7218" s="5"/>
      <c r="FJ7218" s="164"/>
      <c r="FL7218" s="2"/>
      <c r="FN7218" s="2"/>
    </row>
    <row r="7219" spans="153:170" x14ac:dyDescent="0.35">
      <c r="EW7219" s="48"/>
      <c r="FB7219" s="5"/>
      <c r="FI7219" s="5"/>
      <c r="FJ7219" s="164"/>
      <c r="FL7219" s="2"/>
      <c r="FN7219" s="2"/>
    </row>
    <row r="7220" spans="153:170" x14ac:dyDescent="0.35">
      <c r="EW7220" s="48"/>
      <c r="FB7220" s="5"/>
      <c r="FI7220" s="5"/>
      <c r="FJ7220" s="164"/>
      <c r="FL7220" s="2"/>
      <c r="FN7220" s="2"/>
    </row>
    <row r="7221" spans="153:170" x14ac:dyDescent="0.35">
      <c r="EW7221" s="48"/>
      <c r="FB7221" s="5"/>
      <c r="FI7221" s="5"/>
      <c r="FJ7221" s="164"/>
      <c r="FL7221" s="2"/>
      <c r="FN7221" s="2"/>
    </row>
    <row r="7222" spans="153:170" x14ac:dyDescent="0.35">
      <c r="EW7222" s="48"/>
      <c r="FB7222" s="5"/>
      <c r="FI7222" s="5"/>
      <c r="FJ7222" s="164"/>
      <c r="FL7222" s="2"/>
      <c r="FN7222" s="2"/>
    </row>
    <row r="7223" spans="153:170" x14ac:dyDescent="0.35">
      <c r="EW7223" s="48"/>
      <c r="FB7223" s="5"/>
      <c r="FI7223" s="5"/>
      <c r="FJ7223" s="164"/>
      <c r="FL7223" s="2"/>
      <c r="FN7223" s="2"/>
    </row>
    <row r="7224" spans="153:170" x14ac:dyDescent="0.35">
      <c r="EW7224" s="48"/>
      <c r="FB7224" s="5"/>
      <c r="FI7224" s="5"/>
      <c r="FJ7224" s="164"/>
      <c r="FL7224" s="2"/>
      <c r="FN7224" s="2"/>
    </row>
    <row r="7225" spans="153:170" x14ac:dyDescent="0.35">
      <c r="EW7225" s="48"/>
      <c r="FB7225" s="5"/>
      <c r="FI7225" s="5"/>
      <c r="FJ7225" s="164"/>
      <c r="FL7225" s="2"/>
      <c r="FN7225" s="2"/>
    </row>
    <row r="7226" spans="153:170" x14ac:dyDescent="0.35">
      <c r="EW7226" s="48"/>
      <c r="FB7226" s="5"/>
      <c r="FI7226" s="5"/>
      <c r="FJ7226" s="164"/>
      <c r="FL7226" s="2"/>
      <c r="FN7226" s="2"/>
    </row>
    <row r="7227" spans="153:170" x14ac:dyDescent="0.35">
      <c r="EW7227" s="48"/>
      <c r="FB7227" s="5"/>
      <c r="FI7227" s="5"/>
      <c r="FJ7227" s="164"/>
      <c r="FL7227" s="2"/>
      <c r="FN7227" s="2"/>
    </row>
    <row r="7228" spans="153:170" x14ac:dyDescent="0.35">
      <c r="EW7228" s="48"/>
      <c r="FB7228" s="5"/>
      <c r="FI7228" s="5"/>
      <c r="FJ7228" s="164"/>
      <c r="FL7228" s="2"/>
      <c r="FN7228" s="2"/>
    </row>
    <row r="7229" spans="153:170" x14ac:dyDescent="0.35">
      <c r="EW7229" s="48"/>
      <c r="FB7229" s="5"/>
      <c r="FI7229" s="5"/>
      <c r="FJ7229" s="164"/>
      <c r="FL7229" s="2"/>
      <c r="FN7229" s="2"/>
    </row>
    <row r="7230" spans="153:170" x14ac:dyDescent="0.35">
      <c r="EW7230" s="48"/>
      <c r="FB7230" s="5"/>
      <c r="FI7230" s="5"/>
      <c r="FJ7230" s="164"/>
      <c r="FL7230" s="2"/>
      <c r="FN7230" s="2"/>
    </row>
    <row r="7231" spans="153:170" x14ac:dyDescent="0.35">
      <c r="EW7231" s="48"/>
      <c r="FB7231" s="5"/>
      <c r="FI7231" s="5"/>
      <c r="FJ7231" s="164"/>
      <c r="FL7231" s="2"/>
      <c r="FN7231" s="2"/>
    </row>
    <row r="7232" spans="153:170" x14ac:dyDescent="0.35">
      <c r="EW7232" s="48"/>
      <c r="FB7232" s="5"/>
      <c r="FI7232" s="5"/>
      <c r="FJ7232" s="164"/>
      <c r="FL7232" s="2"/>
      <c r="FN7232" s="2"/>
    </row>
    <row r="7233" spans="153:170" x14ac:dyDescent="0.35">
      <c r="EW7233" s="48"/>
      <c r="FB7233" s="5"/>
      <c r="FI7233" s="5"/>
      <c r="FJ7233" s="164"/>
      <c r="FL7233" s="2"/>
      <c r="FN7233" s="2"/>
    </row>
    <row r="7234" spans="153:170" x14ac:dyDescent="0.35">
      <c r="EW7234" s="48"/>
      <c r="FB7234" s="5"/>
      <c r="FI7234" s="5"/>
      <c r="FJ7234" s="164"/>
      <c r="FL7234" s="2"/>
      <c r="FN7234" s="2"/>
    </row>
    <row r="7235" spans="153:170" x14ac:dyDescent="0.35">
      <c r="EW7235" s="48"/>
      <c r="FB7235" s="5"/>
      <c r="FI7235" s="5"/>
      <c r="FJ7235" s="164"/>
      <c r="FL7235" s="2"/>
      <c r="FN7235" s="2"/>
    </row>
    <row r="7236" spans="153:170" x14ac:dyDescent="0.35">
      <c r="EW7236" s="48"/>
      <c r="FB7236" s="5"/>
      <c r="FI7236" s="5"/>
      <c r="FJ7236" s="164"/>
      <c r="FL7236" s="2"/>
      <c r="FN7236" s="2"/>
    </row>
    <row r="7237" spans="153:170" x14ac:dyDescent="0.35">
      <c r="EW7237" s="48"/>
      <c r="FB7237" s="5"/>
      <c r="FI7237" s="5"/>
      <c r="FJ7237" s="164"/>
      <c r="FL7237" s="2"/>
      <c r="FN7237" s="2"/>
    </row>
    <row r="7238" spans="153:170" x14ac:dyDescent="0.35">
      <c r="EW7238" s="48"/>
      <c r="FB7238" s="5"/>
      <c r="FI7238" s="5"/>
      <c r="FJ7238" s="164"/>
      <c r="FL7238" s="2"/>
      <c r="FN7238" s="2"/>
    </row>
    <row r="7239" spans="153:170" x14ac:dyDescent="0.35">
      <c r="EW7239" s="48"/>
      <c r="FB7239" s="5"/>
      <c r="FI7239" s="5"/>
      <c r="FJ7239" s="164"/>
      <c r="FL7239" s="2"/>
      <c r="FN7239" s="2"/>
    </row>
    <row r="7240" spans="153:170" x14ac:dyDescent="0.35">
      <c r="EW7240" s="48"/>
      <c r="FB7240" s="5"/>
      <c r="FI7240" s="5"/>
      <c r="FJ7240" s="164"/>
      <c r="FL7240" s="2"/>
      <c r="FN7240" s="2"/>
    </row>
    <row r="7241" spans="153:170" x14ac:dyDescent="0.35">
      <c r="EW7241" s="48"/>
      <c r="FB7241" s="5"/>
      <c r="FI7241" s="5"/>
      <c r="FJ7241" s="164"/>
      <c r="FL7241" s="2"/>
      <c r="FN7241" s="2"/>
    </row>
    <row r="7242" spans="153:170" x14ac:dyDescent="0.35">
      <c r="EW7242" s="48"/>
      <c r="FB7242" s="5"/>
      <c r="FI7242" s="5"/>
      <c r="FJ7242" s="164"/>
      <c r="FL7242" s="2"/>
      <c r="FN7242" s="2"/>
    </row>
    <row r="7243" spans="153:170" x14ac:dyDescent="0.35">
      <c r="EW7243" s="48"/>
      <c r="FB7243" s="5"/>
      <c r="FI7243" s="5"/>
      <c r="FJ7243" s="164"/>
      <c r="FL7243" s="2"/>
      <c r="FN7243" s="2"/>
    </row>
    <row r="7244" spans="153:170" x14ac:dyDescent="0.35">
      <c r="EW7244" s="48"/>
      <c r="FB7244" s="5"/>
      <c r="FI7244" s="5"/>
      <c r="FJ7244" s="164"/>
      <c r="FL7244" s="2"/>
      <c r="FN7244" s="2"/>
    </row>
    <row r="7245" spans="153:170" x14ac:dyDescent="0.35">
      <c r="EW7245" s="48"/>
      <c r="FB7245" s="5"/>
      <c r="FI7245" s="5"/>
      <c r="FJ7245" s="164"/>
      <c r="FL7245" s="2"/>
      <c r="FN7245" s="2"/>
    </row>
    <row r="7246" spans="153:170" x14ac:dyDescent="0.35">
      <c r="EW7246" s="48"/>
      <c r="FB7246" s="5"/>
      <c r="FI7246" s="5"/>
      <c r="FJ7246" s="164"/>
      <c r="FL7246" s="2"/>
      <c r="FN7246" s="2"/>
    </row>
    <row r="7247" spans="153:170" x14ac:dyDescent="0.35">
      <c r="EW7247" s="48"/>
      <c r="FB7247" s="5"/>
      <c r="FI7247" s="5"/>
      <c r="FJ7247" s="164"/>
      <c r="FL7247" s="2"/>
      <c r="FN7247" s="2"/>
    </row>
    <row r="7248" spans="153:170" x14ac:dyDescent="0.35">
      <c r="EW7248" s="48"/>
      <c r="FB7248" s="5"/>
      <c r="FI7248" s="5"/>
      <c r="FJ7248" s="164"/>
      <c r="FL7248" s="2"/>
      <c r="FN7248" s="2"/>
    </row>
    <row r="7249" spans="153:170" x14ac:dyDescent="0.35">
      <c r="EW7249" s="48"/>
      <c r="FB7249" s="5"/>
      <c r="FI7249" s="5"/>
      <c r="FJ7249" s="164"/>
      <c r="FL7249" s="2"/>
      <c r="FN7249" s="2"/>
    </row>
    <row r="7250" spans="153:170" x14ac:dyDescent="0.35">
      <c r="EW7250" s="48"/>
      <c r="FB7250" s="5"/>
      <c r="FI7250" s="5"/>
      <c r="FJ7250" s="164"/>
      <c r="FL7250" s="2"/>
      <c r="FN7250" s="2"/>
    </row>
    <row r="7251" spans="153:170" x14ac:dyDescent="0.35">
      <c r="EW7251" s="48"/>
      <c r="FB7251" s="5"/>
      <c r="FI7251" s="5"/>
      <c r="FJ7251" s="164"/>
      <c r="FL7251" s="2"/>
      <c r="FN7251" s="2"/>
    </row>
    <row r="7252" spans="153:170" x14ac:dyDescent="0.35">
      <c r="EW7252" s="48"/>
      <c r="FB7252" s="5"/>
      <c r="FI7252" s="5"/>
      <c r="FJ7252" s="164"/>
      <c r="FL7252" s="2"/>
      <c r="FN7252" s="2"/>
    </row>
    <row r="7253" spans="153:170" x14ac:dyDescent="0.35">
      <c r="EW7253" s="48"/>
      <c r="FB7253" s="5"/>
      <c r="FI7253" s="5"/>
      <c r="FJ7253" s="164"/>
      <c r="FL7253" s="2"/>
      <c r="FN7253" s="2"/>
    </row>
    <row r="7254" spans="153:170" x14ac:dyDescent="0.35">
      <c r="EW7254" s="48"/>
      <c r="FB7254" s="5"/>
      <c r="FI7254" s="5"/>
      <c r="FJ7254" s="164"/>
      <c r="FL7254" s="2"/>
      <c r="FN7254" s="2"/>
    </row>
    <row r="7255" spans="153:170" x14ac:dyDescent="0.35">
      <c r="EW7255" s="48"/>
      <c r="FB7255" s="5"/>
      <c r="FI7255" s="5"/>
      <c r="FJ7255" s="164"/>
      <c r="FL7255" s="2"/>
      <c r="FN7255" s="2"/>
    </row>
    <row r="7256" spans="153:170" x14ac:dyDescent="0.35">
      <c r="EW7256" s="48"/>
      <c r="FB7256" s="5"/>
      <c r="FI7256" s="5"/>
      <c r="FJ7256" s="164"/>
      <c r="FL7256" s="2"/>
      <c r="FN7256" s="2"/>
    </row>
    <row r="7257" spans="153:170" x14ac:dyDescent="0.35">
      <c r="EW7257" s="48"/>
      <c r="FB7257" s="5"/>
      <c r="FI7257" s="5"/>
      <c r="FJ7257" s="164"/>
      <c r="FL7257" s="2"/>
      <c r="FN7257" s="2"/>
    </row>
    <row r="7258" spans="153:170" x14ac:dyDescent="0.35">
      <c r="EW7258" s="48"/>
      <c r="FB7258" s="5"/>
      <c r="FI7258" s="5"/>
      <c r="FJ7258" s="164"/>
      <c r="FL7258" s="2"/>
      <c r="FN7258" s="2"/>
    </row>
    <row r="7259" spans="153:170" x14ac:dyDescent="0.35">
      <c r="EW7259" s="48"/>
      <c r="FB7259" s="5"/>
      <c r="FI7259" s="5"/>
      <c r="FJ7259" s="164"/>
      <c r="FL7259" s="2"/>
      <c r="FN7259" s="2"/>
    </row>
    <row r="7260" spans="153:170" x14ac:dyDescent="0.35">
      <c r="EW7260" s="48"/>
      <c r="FB7260" s="5"/>
      <c r="FI7260" s="5"/>
      <c r="FJ7260" s="164"/>
      <c r="FL7260" s="2"/>
      <c r="FN7260" s="2"/>
    </row>
    <row r="7261" spans="153:170" x14ac:dyDescent="0.35">
      <c r="EW7261" s="48"/>
      <c r="FB7261" s="5"/>
      <c r="FI7261" s="5"/>
      <c r="FJ7261" s="164"/>
      <c r="FL7261" s="2"/>
      <c r="FN7261" s="2"/>
    </row>
    <row r="7262" spans="153:170" x14ac:dyDescent="0.35">
      <c r="EW7262" s="48"/>
      <c r="FB7262" s="5"/>
      <c r="FI7262" s="5"/>
      <c r="FJ7262" s="164"/>
      <c r="FL7262" s="2"/>
      <c r="FN7262" s="2"/>
    </row>
    <row r="7263" spans="153:170" x14ac:dyDescent="0.35">
      <c r="EW7263" s="48"/>
      <c r="FB7263" s="5"/>
      <c r="FI7263" s="5"/>
      <c r="FJ7263" s="164"/>
      <c r="FL7263" s="2"/>
      <c r="FN7263" s="2"/>
    </row>
    <row r="7264" spans="153:170" x14ac:dyDescent="0.35">
      <c r="EW7264" s="48"/>
      <c r="FB7264" s="5"/>
      <c r="FI7264" s="5"/>
      <c r="FJ7264" s="164"/>
      <c r="FL7264" s="2"/>
      <c r="FN7264" s="2"/>
    </row>
    <row r="7265" spans="153:170" x14ac:dyDescent="0.35">
      <c r="EW7265" s="48"/>
      <c r="FB7265" s="5"/>
      <c r="FI7265" s="5"/>
      <c r="FJ7265" s="164"/>
      <c r="FL7265" s="2"/>
      <c r="FN7265" s="2"/>
    </row>
    <row r="7266" spans="153:170" x14ac:dyDescent="0.35">
      <c r="EW7266" s="48"/>
      <c r="FB7266" s="5"/>
      <c r="FI7266" s="5"/>
      <c r="FJ7266" s="164"/>
      <c r="FL7266" s="2"/>
      <c r="FN7266" s="2"/>
    </row>
    <row r="7267" spans="153:170" x14ac:dyDescent="0.35">
      <c r="EW7267" s="48"/>
      <c r="FB7267" s="5"/>
      <c r="FI7267" s="5"/>
      <c r="FJ7267" s="164"/>
      <c r="FL7267" s="2"/>
      <c r="FN7267" s="2"/>
    </row>
    <row r="7268" spans="153:170" x14ac:dyDescent="0.35">
      <c r="EW7268" s="48"/>
      <c r="FB7268" s="5"/>
      <c r="FI7268" s="5"/>
      <c r="FJ7268" s="164"/>
      <c r="FL7268" s="2"/>
      <c r="FN7268" s="2"/>
    </row>
    <row r="7269" spans="153:170" x14ac:dyDescent="0.35">
      <c r="EW7269" s="48"/>
      <c r="FB7269" s="5"/>
      <c r="FI7269" s="5"/>
      <c r="FJ7269" s="164"/>
      <c r="FL7269" s="2"/>
      <c r="FN7269" s="2"/>
    </row>
    <row r="7270" spans="153:170" x14ac:dyDescent="0.35">
      <c r="EW7270" s="48"/>
      <c r="FB7270" s="5"/>
      <c r="FI7270" s="5"/>
      <c r="FJ7270" s="164"/>
      <c r="FL7270" s="2"/>
      <c r="FN7270" s="2"/>
    </row>
    <row r="7271" spans="153:170" x14ac:dyDescent="0.35">
      <c r="EW7271" s="48"/>
      <c r="FB7271" s="5"/>
      <c r="FI7271" s="5"/>
      <c r="FJ7271" s="164"/>
      <c r="FL7271" s="2"/>
      <c r="FN7271" s="2"/>
    </row>
    <row r="7272" spans="153:170" x14ac:dyDescent="0.35">
      <c r="EW7272" s="48"/>
      <c r="FB7272" s="5"/>
      <c r="FI7272" s="5"/>
      <c r="FJ7272" s="164"/>
      <c r="FL7272" s="2"/>
      <c r="FN7272" s="2"/>
    </row>
    <row r="7273" spans="153:170" x14ac:dyDescent="0.35">
      <c r="EW7273" s="48"/>
      <c r="FB7273" s="5"/>
      <c r="FI7273" s="5"/>
      <c r="FJ7273" s="164"/>
      <c r="FL7273" s="2"/>
      <c r="FN7273" s="2"/>
    </row>
    <row r="7274" spans="153:170" x14ac:dyDescent="0.35">
      <c r="EW7274" s="48"/>
      <c r="FB7274" s="5"/>
      <c r="FI7274" s="5"/>
      <c r="FJ7274" s="164"/>
      <c r="FL7274" s="2"/>
      <c r="FN7274" s="2"/>
    </row>
    <row r="7275" spans="153:170" x14ac:dyDescent="0.35">
      <c r="EW7275" s="48"/>
      <c r="FB7275" s="5"/>
      <c r="FI7275" s="5"/>
      <c r="FJ7275" s="164"/>
      <c r="FL7275" s="2"/>
      <c r="FN7275" s="2"/>
    </row>
    <row r="7276" spans="153:170" x14ac:dyDescent="0.35">
      <c r="EW7276" s="48"/>
      <c r="FB7276" s="5"/>
      <c r="FI7276" s="5"/>
      <c r="FJ7276" s="164"/>
      <c r="FL7276" s="2"/>
      <c r="FN7276" s="2"/>
    </row>
    <row r="7277" spans="153:170" x14ac:dyDescent="0.35">
      <c r="EW7277" s="48"/>
      <c r="FB7277" s="5"/>
      <c r="FI7277" s="5"/>
      <c r="FJ7277" s="164"/>
      <c r="FL7277" s="2"/>
      <c r="FN7277" s="2"/>
    </row>
    <row r="7278" spans="153:170" x14ac:dyDescent="0.35">
      <c r="EW7278" s="48"/>
      <c r="FB7278" s="5"/>
      <c r="FI7278" s="5"/>
      <c r="FJ7278" s="164"/>
      <c r="FL7278" s="2"/>
      <c r="FN7278" s="2"/>
    </row>
    <row r="7279" spans="153:170" x14ac:dyDescent="0.35">
      <c r="EW7279" s="48"/>
      <c r="FB7279" s="5"/>
      <c r="FI7279" s="5"/>
      <c r="FJ7279" s="164"/>
      <c r="FL7279" s="2"/>
      <c r="FN7279" s="2"/>
    </row>
    <row r="7280" spans="153:170" x14ac:dyDescent="0.35">
      <c r="EW7280" s="48"/>
      <c r="FB7280" s="5"/>
      <c r="FI7280" s="5"/>
      <c r="FJ7280" s="164"/>
      <c r="FL7280" s="2"/>
      <c r="FN7280" s="2"/>
    </row>
    <row r="7281" spans="153:170" x14ac:dyDescent="0.35">
      <c r="EW7281" s="48"/>
      <c r="FB7281" s="5"/>
      <c r="FI7281" s="5"/>
      <c r="FJ7281" s="164"/>
      <c r="FL7281" s="2"/>
      <c r="FN7281" s="2"/>
    </row>
    <row r="7282" spans="153:170" x14ac:dyDescent="0.35">
      <c r="EW7282" s="48"/>
      <c r="FB7282" s="5"/>
      <c r="FI7282" s="5"/>
      <c r="FJ7282" s="164"/>
      <c r="FL7282" s="2"/>
      <c r="FN7282" s="2"/>
    </row>
    <row r="7283" spans="153:170" x14ac:dyDescent="0.35">
      <c r="EW7283" s="48"/>
      <c r="FB7283" s="5"/>
      <c r="FI7283" s="5"/>
      <c r="FJ7283" s="164"/>
      <c r="FL7283" s="2"/>
      <c r="FN7283" s="2"/>
    </row>
    <row r="7284" spans="153:170" x14ac:dyDescent="0.35">
      <c r="EW7284" s="48"/>
      <c r="FB7284" s="5"/>
      <c r="FI7284" s="5"/>
      <c r="FJ7284" s="164"/>
      <c r="FL7284" s="2"/>
      <c r="FN7284" s="2"/>
    </row>
    <row r="7285" spans="153:170" x14ac:dyDescent="0.35">
      <c r="EW7285" s="48"/>
      <c r="FB7285" s="5"/>
      <c r="FI7285" s="5"/>
      <c r="FJ7285" s="164"/>
      <c r="FL7285" s="2"/>
      <c r="FN7285" s="2"/>
    </row>
    <row r="7286" spans="153:170" x14ac:dyDescent="0.35">
      <c r="EW7286" s="48"/>
      <c r="FB7286" s="5"/>
      <c r="FI7286" s="5"/>
      <c r="FJ7286" s="164"/>
      <c r="FL7286" s="2"/>
      <c r="FN7286" s="2"/>
    </row>
    <row r="7287" spans="153:170" x14ac:dyDescent="0.35">
      <c r="EW7287" s="48"/>
      <c r="FB7287" s="5"/>
      <c r="FI7287" s="5"/>
      <c r="FJ7287" s="164"/>
      <c r="FL7287" s="2"/>
      <c r="FN7287" s="2"/>
    </row>
    <row r="7288" spans="153:170" x14ac:dyDescent="0.35">
      <c r="EW7288" s="48"/>
      <c r="FB7288" s="5"/>
      <c r="FI7288" s="5"/>
      <c r="FJ7288" s="164"/>
      <c r="FL7288" s="2"/>
      <c r="FN7288" s="2"/>
    </row>
    <row r="7289" spans="153:170" x14ac:dyDescent="0.35">
      <c r="EW7289" s="48"/>
      <c r="FB7289" s="5"/>
      <c r="FI7289" s="5"/>
      <c r="FJ7289" s="164"/>
      <c r="FL7289" s="2"/>
      <c r="FN7289" s="2"/>
    </row>
    <row r="7290" spans="153:170" x14ac:dyDescent="0.35">
      <c r="EW7290" s="48"/>
      <c r="FB7290" s="5"/>
      <c r="FI7290" s="5"/>
      <c r="FJ7290" s="164"/>
      <c r="FL7290" s="2"/>
      <c r="FN7290" s="2"/>
    </row>
    <row r="7291" spans="153:170" x14ac:dyDescent="0.35">
      <c r="EW7291" s="48"/>
      <c r="FB7291" s="5"/>
      <c r="FI7291" s="5"/>
      <c r="FJ7291" s="164"/>
      <c r="FL7291" s="2"/>
      <c r="FN7291" s="2"/>
    </row>
    <row r="7292" spans="153:170" x14ac:dyDescent="0.35">
      <c r="EW7292" s="48"/>
      <c r="FB7292" s="5"/>
      <c r="FI7292" s="5"/>
      <c r="FJ7292" s="164"/>
      <c r="FL7292" s="2"/>
      <c r="FN7292" s="2"/>
    </row>
    <row r="7293" spans="153:170" x14ac:dyDescent="0.35">
      <c r="EW7293" s="48"/>
      <c r="FB7293" s="5"/>
      <c r="FI7293" s="5"/>
      <c r="FJ7293" s="164"/>
      <c r="FL7293" s="2"/>
      <c r="FN7293" s="2"/>
    </row>
    <row r="7294" spans="153:170" x14ac:dyDescent="0.35">
      <c r="EW7294" s="48"/>
      <c r="FB7294" s="5"/>
      <c r="FI7294" s="5"/>
      <c r="FJ7294" s="164"/>
      <c r="FL7294" s="2"/>
      <c r="FN7294" s="2"/>
    </row>
    <row r="7295" spans="153:170" x14ac:dyDescent="0.35">
      <c r="EW7295" s="48"/>
      <c r="FB7295" s="5"/>
      <c r="FI7295" s="5"/>
      <c r="FJ7295" s="164"/>
      <c r="FL7295" s="2"/>
      <c r="FN7295" s="2"/>
    </row>
    <row r="7296" spans="153:170" x14ac:dyDescent="0.35">
      <c r="EW7296" s="48"/>
      <c r="FB7296" s="5"/>
      <c r="FI7296" s="5"/>
      <c r="FJ7296" s="164"/>
      <c r="FL7296" s="2"/>
      <c r="FN7296" s="2"/>
    </row>
    <row r="7297" spans="153:170" x14ac:dyDescent="0.35">
      <c r="EW7297" s="48"/>
      <c r="FB7297" s="5"/>
      <c r="FI7297" s="5"/>
      <c r="FJ7297" s="164"/>
      <c r="FL7297" s="2"/>
      <c r="FN7297" s="2"/>
    </row>
    <row r="7298" spans="153:170" x14ac:dyDescent="0.35">
      <c r="EW7298" s="48"/>
      <c r="FB7298" s="5"/>
      <c r="FI7298" s="5"/>
      <c r="FJ7298" s="164"/>
      <c r="FL7298" s="2"/>
      <c r="FN7298" s="2"/>
    </row>
    <row r="7299" spans="153:170" x14ac:dyDescent="0.35">
      <c r="EW7299" s="48"/>
      <c r="FB7299" s="5"/>
      <c r="FI7299" s="5"/>
      <c r="FJ7299" s="164"/>
      <c r="FL7299" s="2"/>
      <c r="FN7299" s="2"/>
    </row>
    <row r="7300" spans="153:170" x14ac:dyDescent="0.35">
      <c r="EW7300" s="48"/>
      <c r="FB7300" s="5"/>
      <c r="FI7300" s="5"/>
      <c r="FJ7300" s="164"/>
      <c r="FL7300" s="2"/>
      <c r="FN7300" s="2"/>
    </row>
    <row r="7301" spans="153:170" x14ac:dyDescent="0.35">
      <c r="EW7301" s="48"/>
      <c r="FB7301" s="5"/>
      <c r="FI7301" s="5"/>
      <c r="FJ7301" s="164"/>
      <c r="FL7301" s="2"/>
      <c r="FN7301" s="2"/>
    </row>
    <row r="7302" spans="153:170" x14ac:dyDescent="0.35">
      <c r="EW7302" s="48"/>
      <c r="FB7302" s="5"/>
      <c r="FI7302" s="5"/>
      <c r="FJ7302" s="164"/>
      <c r="FL7302" s="2"/>
      <c r="FN7302" s="2"/>
    </row>
    <row r="7303" spans="153:170" x14ac:dyDescent="0.35">
      <c r="EW7303" s="48"/>
      <c r="FB7303" s="5"/>
      <c r="FI7303" s="5"/>
      <c r="FJ7303" s="164"/>
      <c r="FL7303" s="2"/>
      <c r="FN7303" s="2"/>
    </row>
    <row r="7304" spans="153:170" x14ac:dyDescent="0.35">
      <c r="EW7304" s="48"/>
      <c r="FB7304" s="5"/>
      <c r="FI7304" s="5"/>
      <c r="FJ7304" s="164"/>
      <c r="FL7304" s="2"/>
      <c r="FN7304" s="2"/>
    </row>
    <row r="7305" spans="153:170" x14ac:dyDescent="0.35">
      <c r="EW7305" s="48"/>
      <c r="FB7305" s="5"/>
      <c r="FI7305" s="5"/>
      <c r="FJ7305" s="164"/>
      <c r="FL7305" s="2"/>
      <c r="FN7305" s="2"/>
    </row>
    <row r="7306" spans="153:170" x14ac:dyDescent="0.35">
      <c r="EW7306" s="48"/>
      <c r="FB7306" s="5"/>
      <c r="FI7306" s="5"/>
      <c r="FJ7306" s="164"/>
      <c r="FL7306" s="2"/>
      <c r="FN7306" s="2"/>
    </row>
    <row r="7307" spans="153:170" x14ac:dyDescent="0.35">
      <c r="EW7307" s="48"/>
      <c r="FB7307" s="5"/>
      <c r="FI7307" s="5"/>
      <c r="FJ7307" s="164"/>
      <c r="FL7307" s="2"/>
      <c r="FN7307" s="2"/>
    </row>
    <row r="7308" spans="153:170" x14ac:dyDescent="0.35">
      <c r="EW7308" s="48"/>
      <c r="FB7308" s="5"/>
      <c r="FI7308" s="5"/>
      <c r="FJ7308" s="164"/>
      <c r="FL7308" s="2"/>
      <c r="FN7308" s="2"/>
    </row>
    <row r="7309" spans="153:170" x14ac:dyDescent="0.35">
      <c r="EW7309" s="48"/>
      <c r="FB7309" s="5"/>
      <c r="FI7309" s="5"/>
      <c r="FJ7309" s="164"/>
      <c r="FL7309" s="2"/>
      <c r="FN7309" s="2"/>
    </row>
    <row r="7310" spans="153:170" x14ac:dyDescent="0.35">
      <c r="EW7310" s="48"/>
      <c r="FB7310" s="5"/>
      <c r="FI7310" s="5"/>
      <c r="FJ7310" s="164"/>
      <c r="FL7310" s="2"/>
      <c r="FN7310" s="2"/>
    </row>
    <row r="7311" spans="153:170" x14ac:dyDescent="0.35">
      <c r="EW7311" s="48"/>
      <c r="FB7311" s="5"/>
      <c r="FI7311" s="5"/>
      <c r="FJ7311" s="164"/>
      <c r="FL7311" s="2"/>
      <c r="FN7311" s="2"/>
    </row>
    <row r="7312" spans="153:170" x14ac:dyDescent="0.35">
      <c r="EW7312" s="48"/>
      <c r="FB7312" s="5"/>
      <c r="FI7312" s="5"/>
      <c r="FJ7312" s="164"/>
      <c r="FL7312" s="2"/>
      <c r="FN7312" s="2"/>
    </row>
    <row r="7313" spans="153:170" x14ac:dyDescent="0.35">
      <c r="EW7313" s="48"/>
      <c r="FB7313" s="5"/>
      <c r="FI7313" s="5"/>
      <c r="FJ7313" s="164"/>
      <c r="FL7313" s="2"/>
      <c r="FN7313" s="2"/>
    </row>
    <row r="7314" spans="153:170" x14ac:dyDescent="0.35">
      <c r="EW7314" s="48"/>
      <c r="FB7314" s="5"/>
      <c r="FI7314" s="5"/>
      <c r="FJ7314" s="164"/>
      <c r="FL7314" s="2"/>
      <c r="FN7314" s="2"/>
    </row>
    <row r="7315" spans="153:170" x14ac:dyDescent="0.35">
      <c r="EW7315" s="48"/>
      <c r="FB7315" s="5"/>
      <c r="FI7315" s="5"/>
      <c r="FJ7315" s="164"/>
      <c r="FL7315" s="2"/>
      <c r="FN7315" s="2"/>
    </row>
    <row r="7316" spans="153:170" x14ac:dyDescent="0.35">
      <c r="EW7316" s="48"/>
      <c r="FB7316" s="5"/>
      <c r="FI7316" s="5"/>
      <c r="FJ7316" s="164"/>
      <c r="FL7316" s="2"/>
      <c r="FN7316" s="2"/>
    </row>
    <row r="7317" spans="153:170" x14ac:dyDescent="0.35">
      <c r="EW7317" s="48"/>
      <c r="FB7317" s="5"/>
      <c r="FI7317" s="5"/>
      <c r="FJ7317" s="164"/>
      <c r="FL7317" s="2"/>
      <c r="FN7317" s="2"/>
    </row>
    <row r="7318" spans="153:170" x14ac:dyDescent="0.35">
      <c r="EW7318" s="48"/>
      <c r="FB7318" s="5"/>
      <c r="FI7318" s="5"/>
      <c r="FJ7318" s="164"/>
      <c r="FL7318" s="2"/>
      <c r="FN7318" s="2"/>
    </row>
    <row r="7319" spans="153:170" x14ac:dyDescent="0.35">
      <c r="EW7319" s="48"/>
      <c r="FB7319" s="5"/>
      <c r="FI7319" s="5"/>
      <c r="FJ7319" s="164"/>
      <c r="FL7319" s="2"/>
      <c r="FN7319" s="2"/>
    </row>
    <row r="7320" spans="153:170" x14ac:dyDescent="0.35">
      <c r="EW7320" s="48"/>
      <c r="FB7320" s="5"/>
      <c r="FI7320" s="5"/>
      <c r="FJ7320" s="164"/>
      <c r="FL7320" s="2"/>
      <c r="FN7320" s="2"/>
    </row>
    <row r="7321" spans="153:170" x14ac:dyDescent="0.35">
      <c r="EW7321" s="48"/>
      <c r="FB7321" s="5"/>
      <c r="FI7321" s="5"/>
      <c r="FJ7321" s="164"/>
      <c r="FL7321" s="2"/>
      <c r="FN7321" s="2"/>
    </row>
    <row r="7322" spans="153:170" x14ac:dyDescent="0.35">
      <c r="EW7322" s="48"/>
      <c r="FB7322" s="5"/>
      <c r="FI7322" s="5"/>
      <c r="FJ7322" s="164"/>
      <c r="FL7322" s="2"/>
      <c r="FN7322" s="2"/>
    </row>
    <row r="7323" spans="153:170" x14ac:dyDescent="0.35">
      <c r="EW7323" s="48"/>
      <c r="FB7323" s="5"/>
      <c r="FI7323" s="5"/>
      <c r="FJ7323" s="164"/>
      <c r="FL7323" s="2"/>
      <c r="FN7323" s="2"/>
    </row>
    <row r="7324" spans="153:170" x14ac:dyDescent="0.35">
      <c r="EW7324" s="48"/>
      <c r="FB7324" s="5"/>
      <c r="FI7324" s="5"/>
      <c r="FJ7324" s="164"/>
      <c r="FL7324" s="2"/>
      <c r="FN7324" s="2"/>
    </row>
    <row r="7325" spans="153:170" x14ac:dyDescent="0.35">
      <c r="EW7325" s="48"/>
      <c r="FB7325" s="5"/>
      <c r="FI7325" s="5"/>
      <c r="FJ7325" s="164"/>
      <c r="FL7325" s="2"/>
      <c r="FN7325" s="2"/>
    </row>
    <row r="7326" spans="153:170" x14ac:dyDescent="0.35">
      <c r="EW7326" s="48"/>
      <c r="FB7326" s="5"/>
      <c r="FI7326" s="5"/>
      <c r="FJ7326" s="164"/>
      <c r="FL7326" s="2"/>
      <c r="FN7326" s="2"/>
    </row>
    <row r="7327" spans="153:170" x14ac:dyDescent="0.35">
      <c r="EW7327" s="48"/>
      <c r="FB7327" s="5"/>
      <c r="FI7327" s="5"/>
      <c r="FJ7327" s="164"/>
      <c r="FL7327" s="2"/>
      <c r="FN7327" s="2"/>
    </row>
    <row r="7328" spans="153:170" x14ac:dyDescent="0.35">
      <c r="EW7328" s="48"/>
      <c r="FB7328" s="5"/>
      <c r="FI7328" s="5"/>
      <c r="FJ7328" s="164"/>
      <c r="FL7328" s="2"/>
      <c r="FN7328" s="2"/>
    </row>
    <row r="7329" spans="153:170" x14ac:dyDescent="0.35">
      <c r="EW7329" s="48"/>
      <c r="FB7329" s="5"/>
      <c r="FI7329" s="5"/>
      <c r="FJ7329" s="164"/>
      <c r="FL7329" s="2"/>
      <c r="FN7329" s="2"/>
    </row>
    <row r="7330" spans="153:170" x14ac:dyDescent="0.35">
      <c r="EW7330" s="48"/>
      <c r="FB7330" s="5"/>
      <c r="FI7330" s="5"/>
      <c r="FJ7330" s="164"/>
      <c r="FL7330" s="2"/>
      <c r="FN7330" s="2"/>
    </row>
    <row r="7331" spans="153:170" x14ac:dyDescent="0.35">
      <c r="EW7331" s="48"/>
      <c r="FB7331" s="5"/>
      <c r="FI7331" s="5"/>
      <c r="FJ7331" s="164"/>
      <c r="FL7331" s="2"/>
      <c r="FN7331" s="2"/>
    </row>
    <row r="7332" spans="153:170" x14ac:dyDescent="0.35">
      <c r="EW7332" s="48"/>
      <c r="FB7332" s="5"/>
      <c r="FI7332" s="5"/>
      <c r="FJ7332" s="164"/>
      <c r="FL7332" s="2"/>
      <c r="FN7332" s="2"/>
    </row>
    <row r="7333" spans="153:170" x14ac:dyDescent="0.35">
      <c r="EW7333" s="48"/>
      <c r="FB7333" s="5"/>
      <c r="FI7333" s="5"/>
      <c r="FJ7333" s="164"/>
      <c r="FL7333" s="2"/>
      <c r="FN7333" s="2"/>
    </row>
    <row r="7334" spans="153:170" x14ac:dyDescent="0.35">
      <c r="EW7334" s="48"/>
      <c r="FB7334" s="5"/>
      <c r="FI7334" s="5"/>
      <c r="FJ7334" s="164"/>
      <c r="FL7334" s="2"/>
      <c r="FN7334" s="2"/>
    </row>
    <row r="7335" spans="153:170" x14ac:dyDescent="0.35">
      <c r="EW7335" s="48"/>
      <c r="FB7335" s="5"/>
      <c r="FI7335" s="5"/>
      <c r="FJ7335" s="164"/>
      <c r="FL7335" s="2"/>
      <c r="FN7335" s="2"/>
    </row>
    <row r="7336" spans="153:170" x14ac:dyDescent="0.35">
      <c r="EW7336" s="48"/>
      <c r="FB7336" s="5"/>
      <c r="FI7336" s="5"/>
      <c r="FJ7336" s="164"/>
      <c r="FL7336" s="2"/>
      <c r="FN7336" s="2"/>
    </row>
    <row r="7337" spans="153:170" x14ac:dyDescent="0.35">
      <c r="EW7337" s="48"/>
      <c r="FB7337" s="5"/>
      <c r="FI7337" s="5"/>
      <c r="FJ7337" s="164"/>
      <c r="FL7337" s="2"/>
      <c r="FN7337" s="2"/>
    </row>
    <row r="7338" spans="153:170" x14ac:dyDescent="0.35">
      <c r="EW7338" s="48"/>
      <c r="FB7338" s="5"/>
      <c r="FI7338" s="5"/>
      <c r="FJ7338" s="164"/>
      <c r="FL7338" s="2"/>
      <c r="FN7338" s="2"/>
    </row>
    <row r="7339" spans="153:170" x14ac:dyDescent="0.35">
      <c r="EW7339" s="48"/>
      <c r="FB7339" s="5"/>
      <c r="FI7339" s="5"/>
      <c r="FJ7339" s="164"/>
      <c r="FL7339" s="2"/>
      <c r="FN7339" s="2"/>
    </row>
    <row r="7340" spans="153:170" x14ac:dyDescent="0.35">
      <c r="EW7340" s="48"/>
      <c r="FB7340" s="5"/>
      <c r="FI7340" s="5"/>
      <c r="FJ7340" s="164"/>
      <c r="FL7340" s="2"/>
      <c r="FN7340" s="2"/>
    </row>
    <row r="7341" spans="153:170" x14ac:dyDescent="0.35">
      <c r="EW7341" s="48"/>
      <c r="FB7341" s="5"/>
      <c r="FI7341" s="5"/>
      <c r="FJ7341" s="164"/>
      <c r="FL7341" s="2"/>
      <c r="FN7341" s="2"/>
    </row>
    <row r="7342" spans="153:170" x14ac:dyDescent="0.35">
      <c r="EW7342" s="48"/>
      <c r="FB7342" s="5"/>
      <c r="FI7342" s="5"/>
      <c r="FJ7342" s="164"/>
      <c r="FL7342" s="2"/>
      <c r="FN7342" s="2"/>
    </row>
    <row r="7343" spans="153:170" x14ac:dyDescent="0.35">
      <c r="EW7343" s="48"/>
      <c r="FB7343" s="5"/>
      <c r="FI7343" s="5"/>
      <c r="FJ7343" s="164"/>
      <c r="FL7343" s="2"/>
      <c r="FN7343" s="2"/>
    </row>
    <row r="7344" spans="153:170" x14ac:dyDescent="0.35">
      <c r="EW7344" s="48"/>
      <c r="FB7344" s="5"/>
      <c r="FI7344" s="5"/>
      <c r="FJ7344" s="164"/>
      <c r="FL7344" s="2"/>
      <c r="FN7344" s="2"/>
    </row>
    <row r="7345" spans="153:170" x14ac:dyDescent="0.35">
      <c r="EW7345" s="48"/>
      <c r="FB7345" s="5"/>
      <c r="FI7345" s="5"/>
      <c r="FJ7345" s="164"/>
      <c r="FL7345" s="2"/>
      <c r="FN7345" s="2"/>
    </row>
    <row r="7346" spans="153:170" x14ac:dyDescent="0.35">
      <c r="EW7346" s="48"/>
      <c r="FB7346" s="5"/>
      <c r="FI7346" s="5"/>
      <c r="FJ7346" s="164"/>
      <c r="FL7346" s="2"/>
      <c r="FN7346" s="2"/>
    </row>
    <row r="7347" spans="153:170" x14ac:dyDescent="0.35">
      <c r="EW7347" s="48"/>
      <c r="FB7347" s="5"/>
      <c r="FI7347" s="5"/>
      <c r="FJ7347" s="164"/>
      <c r="FL7347" s="2"/>
      <c r="FN7347" s="2"/>
    </row>
    <row r="7348" spans="153:170" x14ac:dyDescent="0.35">
      <c r="EW7348" s="48"/>
      <c r="FB7348" s="5"/>
      <c r="FI7348" s="5"/>
      <c r="FJ7348" s="164"/>
      <c r="FL7348" s="2"/>
      <c r="FN7348" s="2"/>
    </row>
    <row r="7349" spans="153:170" x14ac:dyDescent="0.35">
      <c r="EW7349" s="48"/>
      <c r="FB7349" s="5"/>
      <c r="FI7349" s="5"/>
      <c r="FJ7349" s="164"/>
      <c r="FL7349" s="2"/>
      <c r="FN7349" s="2"/>
    </row>
    <row r="7350" spans="153:170" x14ac:dyDescent="0.35">
      <c r="EW7350" s="48"/>
      <c r="FB7350" s="5"/>
      <c r="FI7350" s="5"/>
      <c r="FJ7350" s="164"/>
      <c r="FL7350" s="2"/>
      <c r="FN7350" s="2"/>
    </row>
    <row r="7351" spans="153:170" x14ac:dyDescent="0.35">
      <c r="EW7351" s="48"/>
      <c r="FB7351" s="5"/>
      <c r="FI7351" s="5"/>
      <c r="FJ7351" s="164"/>
      <c r="FL7351" s="2"/>
      <c r="FN7351" s="2"/>
    </row>
    <row r="7352" spans="153:170" x14ac:dyDescent="0.35">
      <c r="EW7352" s="48"/>
      <c r="FB7352" s="5"/>
      <c r="FI7352" s="5"/>
      <c r="FJ7352" s="164"/>
      <c r="FL7352" s="2"/>
      <c r="FN7352" s="2"/>
    </row>
    <row r="7353" spans="153:170" x14ac:dyDescent="0.35">
      <c r="EW7353" s="48"/>
      <c r="FB7353" s="5"/>
      <c r="FI7353" s="5"/>
      <c r="FJ7353" s="164"/>
      <c r="FL7353" s="2"/>
      <c r="FN7353" s="2"/>
    </row>
    <row r="7354" spans="153:170" x14ac:dyDescent="0.35">
      <c r="EW7354" s="48"/>
      <c r="FB7354" s="5"/>
      <c r="FI7354" s="5"/>
      <c r="FJ7354" s="164"/>
      <c r="FL7354" s="2"/>
      <c r="FN7354" s="2"/>
    </row>
    <row r="7355" spans="153:170" x14ac:dyDescent="0.35">
      <c r="EW7355" s="48"/>
      <c r="FB7355" s="5"/>
      <c r="FI7355" s="5"/>
      <c r="FJ7355" s="164"/>
      <c r="FL7355" s="2"/>
      <c r="FN7355" s="2"/>
    </row>
    <row r="7356" spans="153:170" x14ac:dyDescent="0.35">
      <c r="EW7356" s="48"/>
      <c r="FB7356" s="5"/>
      <c r="FI7356" s="5"/>
      <c r="FJ7356" s="164"/>
      <c r="FL7356" s="2"/>
      <c r="FN7356" s="2"/>
    </row>
    <row r="7357" spans="153:170" x14ac:dyDescent="0.35">
      <c r="EW7357" s="48"/>
      <c r="FB7357" s="5"/>
      <c r="FI7357" s="5"/>
      <c r="FJ7357" s="164"/>
      <c r="FL7357" s="2"/>
      <c r="FN7357" s="2"/>
    </row>
    <row r="7358" spans="153:170" x14ac:dyDescent="0.35">
      <c r="EW7358" s="48"/>
      <c r="FB7358" s="5"/>
      <c r="FI7358" s="5"/>
      <c r="FJ7358" s="164"/>
      <c r="FL7358" s="2"/>
      <c r="FN7358" s="2"/>
    </row>
    <row r="7359" spans="153:170" x14ac:dyDescent="0.35">
      <c r="EW7359" s="48"/>
      <c r="FB7359" s="5"/>
      <c r="FI7359" s="5"/>
      <c r="FJ7359" s="164"/>
      <c r="FL7359" s="2"/>
      <c r="FN7359" s="2"/>
    </row>
    <row r="7360" spans="153:170" x14ac:dyDescent="0.35">
      <c r="EW7360" s="48"/>
      <c r="FB7360" s="5"/>
      <c r="FI7360" s="5"/>
      <c r="FJ7360" s="164"/>
      <c r="FL7360" s="2"/>
      <c r="FN7360" s="2"/>
    </row>
    <row r="7361" spans="153:170" x14ac:dyDescent="0.35">
      <c r="EW7361" s="48"/>
      <c r="FB7361" s="5"/>
      <c r="FI7361" s="5"/>
      <c r="FJ7361" s="164"/>
      <c r="FL7361" s="2"/>
      <c r="FN7361" s="2"/>
    </row>
    <row r="7362" spans="153:170" x14ac:dyDescent="0.35">
      <c r="EW7362" s="48"/>
      <c r="FB7362" s="5"/>
      <c r="FI7362" s="5"/>
      <c r="FJ7362" s="164"/>
      <c r="FL7362" s="2"/>
      <c r="FN7362" s="2"/>
    </row>
    <row r="7363" spans="153:170" x14ac:dyDescent="0.35">
      <c r="EW7363" s="48"/>
      <c r="FB7363" s="5"/>
      <c r="FI7363" s="5"/>
      <c r="FJ7363" s="164"/>
      <c r="FL7363" s="2"/>
      <c r="FN7363" s="2"/>
    </row>
    <row r="7364" spans="153:170" x14ac:dyDescent="0.35">
      <c r="EW7364" s="48"/>
      <c r="FB7364" s="5"/>
      <c r="FI7364" s="5"/>
      <c r="FJ7364" s="164"/>
      <c r="FL7364" s="2"/>
      <c r="FN7364" s="2"/>
    </row>
    <row r="7365" spans="153:170" x14ac:dyDescent="0.35">
      <c r="EW7365" s="48"/>
      <c r="FB7365" s="5"/>
      <c r="FI7365" s="5"/>
      <c r="FJ7365" s="164"/>
      <c r="FL7365" s="2"/>
      <c r="FN7365" s="2"/>
    </row>
    <row r="7366" spans="153:170" x14ac:dyDescent="0.35">
      <c r="EW7366" s="48"/>
      <c r="FB7366" s="5"/>
      <c r="FI7366" s="5"/>
      <c r="FJ7366" s="164"/>
      <c r="FL7366" s="2"/>
      <c r="FN7366" s="2"/>
    </row>
    <row r="7367" spans="153:170" x14ac:dyDescent="0.35">
      <c r="EW7367" s="48"/>
      <c r="FB7367" s="5"/>
      <c r="FI7367" s="5"/>
      <c r="FJ7367" s="164"/>
      <c r="FL7367" s="2"/>
      <c r="FN7367" s="2"/>
    </row>
    <row r="7368" spans="153:170" x14ac:dyDescent="0.35">
      <c r="EW7368" s="48"/>
      <c r="FB7368" s="5"/>
      <c r="FI7368" s="5"/>
      <c r="FJ7368" s="164"/>
      <c r="FL7368" s="2"/>
      <c r="FN7368" s="2"/>
    </row>
    <row r="7369" spans="153:170" x14ac:dyDescent="0.35">
      <c r="EW7369" s="48"/>
      <c r="FB7369" s="5"/>
      <c r="FI7369" s="5"/>
      <c r="FJ7369" s="164"/>
      <c r="FL7369" s="2"/>
      <c r="FN7369" s="2"/>
    </row>
    <row r="7370" spans="153:170" x14ac:dyDescent="0.35">
      <c r="EW7370" s="48"/>
      <c r="FB7370" s="5"/>
      <c r="FI7370" s="5"/>
      <c r="FJ7370" s="164"/>
      <c r="FL7370" s="2"/>
      <c r="FN7370" s="2"/>
    </row>
    <row r="7371" spans="153:170" x14ac:dyDescent="0.35">
      <c r="EW7371" s="48"/>
      <c r="FB7371" s="5"/>
      <c r="FI7371" s="5"/>
      <c r="FJ7371" s="164"/>
      <c r="FL7371" s="2"/>
      <c r="FN7371" s="2"/>
    </row>
    <row r="7372" spans="153:170" x14ac:dyDescent="0.35">
      <c r="EW7372" s="48"/>
      <c r="FB7372" s="5"/>
      <c r="FI7372" s="5"/>
      <c r="FJ7372" s="164"/>
      <c r="FL7372" s="2"/>
      <c r="FN7372" s="2"/>
    </row>
    <row r="7373" spans="153:170" x14ac:dyDescent="0.35">
      <c r="EW7373" s="48"/>
      <c r="FB7373" s="5"/>
      <c r="FI7373" s="5"/>
      <c r="FJ7373" s="164"/>
      <c r="FL7373" s="2"/>
      <c r="FN7373" s="2"/>
    </row>
    <row r="7374" spans="153:170" x14ac:dyDescent="0.35">
      <c r="EW7374" s="48"/>
      <c r="FB7374" s="5"/>
      <c r="FI7374" s="5"/>
      <c r="FJ7374" s="164"/>
      <c r="FL7374" s="2"/>
      <c r="FN7374" s="2"/>
    </row>
    <row r="7375" spans="153:170" x14ac:dyDescent="0.35">
      <c r="EW7375" s="48"/>
      <c r="FB7375" s="5"/>
      <c r="FI7375" s="5"/>
      <c r="FJ7375" s="164"/>
      <c r="FL7375" s="2"/>
      <c r="FN7375" s="2"/>
    </row>
    <row r="7376" spans="153:170" x14ac:dyDescent="0.35">
      <c r="EW7376" s="48"/>
      <c r="FB7376" s="5"/>
      <c r="FI7376" s="5"/>
      <c r="FJ7376" s="164"/>
      <c r="FL7376" s="2"/>
      <c r="FN7376" s="2"/>
    </row>
    <row r="7377" spans="153:170" x14ac:dyDescent="0.35">
      <c r="EW7377" s="48"/>
      <c r="FB7377" s="5"/>
      <c r="FI7377" s="5"/>
      <c r="FJ7377" s="164"/>
      <c r="FL7377" s="2"/>
      <c r="FN7377" s="2"/>
    </row>
    <row r="7378" spans="153:170" x14ac:dyDescent="0.35">
      <c r="EW7378" s="48"/>
      <c r="FB7378" s="5"/>
      <c r="FI7378" s="5"/>
      <c r="FJ7378" s="164"/>
      <c r="FL7378" s="2"/>
      <c r="FN7378" s="2"/>
    </row>
    <row r="7379" spans="153:170" x14ac:dyDescent="0.35">
      <c r="EW7379" s="48"/>
      <c r="FB7379" s="5"/>
      <c r="FI7379" s="5"/>
      <c r="FJ7379" s="164"/>
      <c r="FL7379" s="2"/>
      <c r="FN7379" s="2"/>
    </row>
    <row r="7380" spans="153:170" x14ac:dyDescent="0.35">
      <c r="EW7380" s="48"/>
      <c r="FB7380" s="5"/>
      <c r="FI7380" s="5"/>
      <c r="FJ7380" s="164"/>
      <c r="FL7380" s="2"/>
      <c r="FN7380" s="2"/>
    </row>
    <row r="7381" spans="153:170" x14ac:dyDescent="0.35">
      <c r="EW7381" s="48"/>
      <c r="FB7381" s="5"/>
      <c r="FI7381" s="5"/>
      <c r="FJ7381" s="164"/>
      <c r="FL7381" s="2"/>
      <c r="FN7381" s="2"/>
    </row>
    <row r="7382" spans="153:170" x14ac:dyDescent="0.35">
      <c r="EW7382" s="48"/>
      <c r="FB7382" s="5"/>
      <c r="FI7382" s="5"/>
      <c r="FJ7382" s="164"/>
      <c r="FL7382" s="2"/>
      <c r="FN7382" s="2"/>
    </row>
    <row r="7383" spans="153:170" x14ac:dyDescent="0.35">
      <c r="EW7383" s="48"/>
      <c r="FB7383" s="5"/>
      <c r="FI7383" s="5"/>
      <c r="FJ7383" s="164"/>
      <c r="FL7383" s="2"/>
      <c r="FN7383" s="2"/>
    </row>
    <row r="7384" spans="153:170" x14ac:dyDescent="0.35">
      <c r="EW7384" s="48"/>
      <c r="FB7384" s="5"/>
      <c r="FI7384" s="5"/>
      <c r="FJ7384" s="164"/>
      <c r="FL7384" s="2"/>
      <c r="FN7384" s="2"/>
    </row>
    <row r="7385" spans="153:170" x14ac:dyDescent="0.35">
      <c r="EW7385" s="48"/>
      <c r="FB7385" s="5"/>
      <c r="FI7385" s="5"/>
      <c r="FJ7385" s="164"/>
      <c r="FL7385" s="2"/>
      <c r="FN7385" s="2"/>
    </row>
    <row r="7386" spans="153:170" x14ac:dyDescent="0.35">
      <c r="EW7386" s="48"/>
      <c r="FB7386" s="5"/>
      <c r="FI7386" s="5"/>
      <c r="FJ7386" s="164"/>
      <c r="FL7386" s="2"/>
      <c r="FN7386" s="2"/>
    </row>
    <row r="7387" spans="153:170" x14ac:dyDescent="0.35">
      <c r="EW7387" s="48"/>
      <c r="FB7387" s="5"/>
      <c r="FI7387" s="5"/>
      <c r="FJ7387" s="164"/>
      <c r="FL7387" s="2"/>
      <c r="FN7387" s="2"/>
    </row>
    <row r="7388" spans="153:170" x14ac:dyDescent="0.35">
      <c r="EW7388" s="48"/>
      <c r="FB7388" s="5"/>
      <c r="FI7388" s="5"/>
      <c r="FJ7388" s="164"/>
      <c r="FL7388" s="2"/>
      <c r="FN7388" s="2"/>
    </row>
    <row r="7389" spans="153:170" x14ac:dyDescent="0.35">
      <c r="EW7389" s="48"/>
      <c r="FB7389" s="5"/>
      <c r="FI7389" s="5"/>
      <c r="FJ7389" s="164"/>
      <c r="FL7389" s="2"/>
      <c r="FN7389" s="2"/>
    </row>
    <row r="7390" spans="153:170" x14ac:dyDescent="0.35">
      <c r="EW7390" s="48"/>
      <c r="FB7390" s="5"/>
      <c r="FI7390" s="5"/>
      <c r="FJ7390" s="164"/>
      <c r="FL7390" s="2"/>
      <c r="FN7390" s="2"/>
    </row>
    <row r="7391" spans="153:170" x14ac:dyDescent="0.35">
      <c r="EW7391" s="48"/>
      <c r="FB7391" s="5"/>
      <c r="FI7391" s="5"/>
      <c r="FJ7391" s="164"/>
      <c r="FL7391" s="2"/>
      <c r="FN7391" s="2"/>
    </row>
    <row r="7392" spans="153:170" x14ac:dyDescent="0.35">
      <c r="EW7392" s="48"/>
      <c r="FB7392" s="5"/>
      <c r="FI7392" s="5"/>
      <c r="FJ7392" s="164"/>
      <c r="FL7392" s="2"/>
      <c r="FN7392" s="2"/>
    </row>
    <row r="7393" spans="153:170" x14ac:dyDescent="0.35">
      <c r="EW7393" s="48"/>
      <c r="FB7393" s="5"/>
      <c r="FI7393" s="5"/>
      <c r="FJ7393" s="164"/>
      <c r="FL7393" s="2"/>
      <c r="FN7393" s="2"/>
    </row>
    <row r="7394" spans="153:170" x14ac:dyDescent="0.35">
      <c r="EW7394" s="48"/>
      <c r="FB7394" s="5"/>
      <c r="FI7394" s="5"/>
      <c r="FJ7394" s="164"/>
      <c r="FL7394" s="2"/>
      <c r="FN7394" s="2"/>
    </row>
    <row r="7395" spans="153:170" x14ac:dyDescent="0.35">
      <c r="EW7395" s="48"/>
      <c r="FB7395" s="5"/>
      <c r="FI7395" s="5"/>
      <c r="FJ7395" s="164"/>
      <c r="FL7395" s="2"/>
      <c r="FN7395" s="2"/>
    </row>
    <row r="7396" spans="153:170" x14ac:dyDescent="0.35">
      <c r="EW7396" s="48"/>
      <c r="FB7396" s="5"/>
      <c r="FI7396" s="5"/>
      <c r="FJ7396" s="164"/>
      <c r="FL7396" s="2"/>
      <c r="FN7396" s="2"/>
    </row>
    <row r="7397" spans="153:170" x14ac:dyDescent="0.35">
      <c r="EW7397" s="48"/>
      <c r="FB7397" s="5"/>
      <c r="FI7397" s="5"/>
      <c r="FJ7397" s="164"/>
      <c r="FL7397" s="2"/>
      <c r="FN7397" s="2"/>
    </row>
    <row r="7398" spans="153:170" x14ac:dyDescent="0.35">
      <c r="EW7398" s="48"/>
      <c r="FB7398" s="5"/>
      <c r="FI7398" s="5"/>
      <c r="FJ7398" s="164"/>
      <c r="FL7398" s="2"/>
      <c r="FN7398" s="2"/>
    </row>
    <row r="7399" spans="153:170" x14ac:dyDescent="0.35">
      <c r="EW7399" s="48"/>
      <c r="FB7399" s="5"/>
      <c r="FI7399" s="5"/>
      <c r="FJ7399" s="164"/>
      <c r="FL7399" s="2"/>
      <c r="FN7399" s="2"/>
    </row>
    <row r="7400" spans="153:170" x14ac:dyDescent="0.35">
      <c r="EW7400" s="48"/>
      <c r="FB7400" s="5"/>
      <c r="FI7400" s="5"/>
      <c r="FJ7400" s="164"/>
      <c r="FL7400" s="2"/>
      <c r="FN7400" s="2"/>
    </row>
    <row r="7401" spans="153:170" x14ac:dyDescent="0.35">
      <c r="EW7401" s="48"/>
      <c r="FB7401" s="5"/>
      <c r="FI7401" s="5"/>
      <c r="FJ7401" s="164"/>
      <c r="FL7401" s="2"/>
      <c r="FN7401" s="2"/>
    </row>
    <row r="7402" spans="153:170" x14ac:dyDescent="0.35">
      <c r="EW7402" s="48"/>
      <c r="FB7402" s="5"/>
      <c r="FI7402" s="5"/>
      <c r="FJ7402" s="164"/>
      <c r="FL7402" s="2"/>
      <c r="FN7402" s="2"/>
    </row>
    <row r="7403" spans="153:170" x14ac:dyDescent="0.35">
      <c r="EW7403" s="48"/>
      <c r="FB7403" s="5"/>
      <c r="FI7403" s="5"/>
      <c r="FJ7403" s="164"/>
      <c r="FL7403" s="2"/>
      <c r="FN7403" s="2"/>
    </row>
    <row r="7404" spans="153:170" x14ac:dyDescent="0.35">
      <c r="EW7404" s="48"/>
      <c r="FB7404" s="5"/>
      <c r="FI7404" s="5"/>
      <c r="FJ7404" s="164"/>
      <c r="FL7404" s="2"/>
      <c r="FN7404" s="2"/>
    </row>
    <row r="7405" spans="153:170" x14ac:dyDescent="0.35">
      <c r="EW7405" s="48"/>
      <c r="FB7405" s="5"/>
      <c r="FI7405" s="5"/>
      <c r="FJ7405" s="164"/>
      <c r="FL7405" s="2"/>
      <c r="FN7405" s="2"/>
    </row>
    <row r="7406" spans="153:170" x14ac:dyDescent="0.35">
      <c r="EW7406" s="48"/>
      <c r="FB7406" s="5"/>
      <c r="FI7406" s="5"/>
      <c r="FJ7406" s="164"/>
      <c r="FL7406" s="2"/>
      <c r="FN7406" s="2"/>
    </row>
    <row r="7407" spans="153:170" x14ac:dyDescent="0.35">
      <c r="EW7407" s="48"/>
      <c r="FB7407" s="5"/>
      <c r="FI7407" s="5"/>
      <c r="FJ7407" s="164"/>
      <c r="FL7407" s="2"/>
      <c r="FN7407" s="2"/>
    </row>
    <row r="7408" spans="153:170" x14ac:dyDescent="0.35">
      <c r="EW7408" s="48"/>
      <c r="FB7408" s="5"/>
      <c r="FI7408" s="5"/>
      <c r="FJ7408" s="164"/>
      <c r="FL7408" s="2"/>
      <c r="FN7408" s="2"/>
    </row>
    <row r="7409" spans="153:170" x14ac:dyDescent="0.35">
      <c r="EW7409" s="48"/>
      <c r="FB7409" s="5"/>
      <c r="FI7409" s="5"/>
      <c r="FJ7409" s="164"/>
      <c r="FL7409" s="2"/>
      <c r="FN7409" s="2"/>
    </row>
    <row r="7410" spans="153:170" x14ac:dyDescent="0.35">
      <c r="EW7410" s="48"/>
      <c r="FB7410" s="5"/>
      <c r="FI7410" s="5"/>
      <c r="FJ7410" s="164"/>
      <c r="FL7410" s="2"/>
      <c r="FN7410" s="2"/>
    </row>
    <row r="7411" spans="153:170" x14ac:dyDescent="0.35">
      <c r="EW7411" s="48"/>
      <c r="FB7411" s="5"/>
      <c r="FI7411" s="5"/>
      <c r="FJ7411" s="164"/>
      <c r="FL7411" s="2"/>
      <c r="FN7411" s="2"/>
    </row>
    <row r="7412" spans="153:170" x14ac:dyDescent="0.35">
      <c r="EW7412" s="48"/>
      <c r="FB7412" s="5"/>
      <c r="FI7412" s="5"/>
      <c r="FJ7412" s="164"/>
      <c r="FL7412" s="2"/>
      <c r="FN7412" s="2"/>
    </row>
    <row r="7413" spans="153:170" x14ac:dyDescent="0.35">
      <c r="EW7413" s="48"/>
      <c r="FB7413" s="5"/>
      <c r="FI7413" s="5"/>
      <c r="FJ7413" s="164"/>
      <c r="FL7413" s="2"/>
      <c r="FN7413" s="2"/>
    </row>
    <row r="7414" spans="153:170" x14ac:dyDescent="0.35">
      <c r="EW7414" s="48"/>
      <c r="FB7414" s="5"/>
      <c r="FI7414" s="5"/>
      <c r="FJ7414" s="164"/>
      <c r="FL7414" s="2"/>
      <c r="FN7414" s="2"/>
    </row>
    <row r="7415" spans="153:170" x14ac:dyDescent="0.35">
      <c r="EW7415" s="48"/>
      <c r="FB7415" s="5"/>
      <c r="FI7415" s="5"/>
      <c r="FJ7415" s="164"/>
      <c r="FL7415" s="2"/>
      <c r="FN7415" s="2"/>
    </row>
    <row r="7416" spans="153:170" x14ac:dyDescent="0.35">
      <c r="EW7416" s="48"/>
      <c r="FB7416" s="5"/>
      <c r="FI7416" s="5"/>
      <c r="FJ7416" s="164"/>
      <c r="FL7416" s="2"/>
      <c r="FN7416" s="2"/>
    </row>
    <row r="7417" spans="153:170" x14ac:dyDescent="0.35">
      <c r="EW7417" s="48"/>
      <c r="FB7417" s="5"/>
      <c r="FI7417" s="5"/>
      <c r="FJ7417" s="164"/>
      <c r="FL7417" s="2"/>
      <c r="FN7417" s="2"/>
    </row>
    <row r="7418" spans="153:170" x14ac:dyDescent="0.35">
      <c r="EW7418" s="48"/>
      <c r="FB7418" s="5"/>
      <c r="FI7418" s="5"/>
      <c r="FJ7418" s="164"/>
      <c r="FL7418" s="2"/>
      <c r="FN7418" s="2"/>
    </row>
    <row r="7419" spans="153:170" x14ac:dyDescent="0.35">
      <c r="EW7419" s="48"/>
      <c r="FB7419" s="5"/>
      <c r="FI7419" s="5"/>
      <c r="FJ7419" s="164"/>
      <c r="FL7419" s="2"/>
      <c r="FN7419" s="2"/>
    </row>
    <row r="7420" spans="153:170" x14ac:dyDescent="0.35">
      <c r="EW7420" s="48"/>
      <c r="FB7420" s="5"/>
      <c r="FI7420" s="5"/>
      <c r="FJ7420" s="164"/>
      <c r="FL7420" s="2"/>
      <c r="FN7420" s="2"/>
    </row>
    <row r="7421" spans="153:170" x14ac:dyDescent="0.35">
      <c r="EW7421" s="48"/>
      <c r="FB7421" s="5"/>
      <c r="FI7421" s="5"/>
      <c r="FJ7421" s="164"/>
      <c r="FL7421" s="2"/>
      <c r="FN7421" s="2"/>
    </row>
    <row r="7422" spans="153:170" x14ac:dyDescent="0.35">
      <c r="EW7422" s="48"/>
      <c r="FB7422" s="5"/>
      <c r="FI7422" s="5"/>
      <c r="FJ7422" s="164"/>
      <c r="FL7422" s="2"/>
      <c r="FN7422" s="2"/>
    </row>
    <row r="7423" spans="153:170" x14ac:dyDescent="0.35">
      <c r="EW7423" s="48"/>
      <c r="FB7423" s="5"/>
      <c r="FI7423" s="5"/>
      <c r="FJ7423" s="164"/>
      <c r="FL7423" s="2"/>
      <c r="FN7423" s="2"/>
    </row>
    <row r="7424" spans="153:170" x14ac:dyDescent="0.35">
      <c r="EW7424" s="48"/>
      <c r="FB7424" s="5"/>
      <c r="FI7424" s="5"/>
      <c r="FJ7424" s="164"/>
      <c r="FL7424" s="2"/>
      <c r="FN7424" s="2"/>
    </row>
    <row r="7425" spans="153:170" x14ac:dyDescent="0.35">
      <c r="EW7425" s="48"/>
      <c r="FB7425" s="5"/>
      <c r="FI7425" s="5"/>
      <c r="FJ7425" s="164"/>
      <c r="FL7425" s="2"/>
      <c r="FN7425" s="2"/>
    </row>
    <row r="7426" spans="153:170" x14ac:dyDescent="0.35">
      <c r="EW7426" s="48"/>
      <c r="FB7426" s="5"/>
      <c r="FI7426" s="5"/>
      <c r="FJ7426" s="164"/>
      <c r="FL7426" s="2"/>
      <c r="FN7426" s="2"/>
    </row>
    <row r="7427" spans="153:170" x14ac:dyDescent="0.35">
      <c r="EW7427" s="48"/>
      <c r="FB7427" s="5"/>
      <c r="FI7427" s="5"/>
      <c r="FJ7427" s="164"/>
      <c r="FL7427" s="2"/>
      <c r="FN7427" s="2"/>
    </row>
    <row r="7428" spans="153:170" x14ac:dyDescent="0.35">
      <c r="EW7428" s="48"/>
      <c r="FB7428" s="5"/>
      <c r="FI7428" s="5"/>
      <c r="FJ7428" s="164"/>
      <c r="FL7428" s="2"/>
      <c r="FN7428" s="2"/>
    </row>
    <row r="7429" spans="153:170" x14ac:dyDescent="0.35">
      <c r="EW7429" s="48"/>
      <c r="FB7429" s="5"/>
      <c r="FI7429" s="5"/>
      <c r="FJ7429" s="164"/>
      <c r="FL7429" s="2"/>
      <c r="FN7429" s="2"/>
    </row>
    <row r="7430" spans="153:170" x14ac:dyDescent="0.35">
      <c r="EW7430" s="48"/>
      <c r="FB7430" s="5"/>
      <c r="FI7430" s="5"/>
      <c r="FJ7430" s="164"/>
      <c r="FL7430" s="2"/>
      <c r="FN7430" s="2"/>
    </row>
    <row r="7431" spans="153:170" x14ac:dyDescent="0.35">
      <c r="EW7431" s="48"/>
      <c r="FB7431" s="5"/>
      <c r="FI7431" s="5"/>
      <c r="FJ7431" s="164"/>
      <c r="FL7431" s="2"/>
      <c r="FN7431" s="2"/>
    </row>
    <row r="7432" spans="153:170" x14ac:dyDescent="0.35">
      <c r="EW7432" s="48"/>
      <c r="FB7432" s="5"/>
      <c r="FI7432" s="5"/>
      <c r="FJ7432" s="164"/>
      <c r="FL7432" s="2"/>
      <c r="FN7432" s="2"/>
    </row>
    <row r="7433" spans="153:170" x14ac:dyDescent="0.35">
      <c r="EW7433" s="48"/>
      <c r="FB7433" s="5"/>
      <c r="FI7433" s="5"/>
      <c r="FJ7433" s="164"/>
      <c r="FL7433" s="2"/>
      <c r="FN7433" s="2"/>
    </row>
    <row r="7434" spans="153:170" x14ac:dyDescent="0.35">
      <c r="EW7434" s="48"/>
      <c r="FB7434" s="5"/>
      <c r="FI7434" s="5"/>
      <c r="FJ7434" s="164"/>
      <c r="FL7434" s="2"/>
      <c r="FN7434" s="2"/>
    </row>
    <row r="7435" spans="153:170" x14ac:dyDescent="0.35">
      <c r="EW7435" s="48"/>
      <c r="FB7435" s="5"/>
      <c r="FI7435" s="5"/>
      <c r="FJ7435" s="164"/>
      <c r="FL7435" s="2"/>
      <c r="FN7435" s="2"/>
    </row>
    <row r="7436" spans="153:170" x14ac:dyDescent="0.35">
      <c r="EW7436" s="48"/>
      <c r="FB7436" s="5"/>
      <c r="FI7436" s="5"/>
      <c r="FJ7436" s="164"/>
      <c r="FL7436" s="2"/>
      <c r="FN7436" s="2"/>
    </row>
    <row r="7437" spans="153:170" x14ac:dyDescent="0.35">
      <c r="EW7437" s="48"/>
      <c r="FB7437" s="5"/>
      <c r="FI7437" s="5"/>
      <c r="FJ7437" s="164"/>
      <c r="FL7437" s="2"/>
      <c r="FN7437" s="2"/>
    </row>
    <row r="7438" spans="153:170" x14ac:dyDescent="0.35">
      <c r="EW7438" s="48"/>
      <c r="FB7438" s="5"/>
      <c r="FI7438" s="5"/>
      <c r="FJ7438" s="164"/>
      <c r="FL7438" s="2"/>
      <c r="FN7438" s="2"/>
    </row>
    <row r="7439" spans="153:170" x14ac:dyDescent="0.35">
      <c r="EW7439" s="48"/>
      <c r="FB7439" s="5"/>
      <c r="FI7439" s="5"/>
      <c r="FJ7439" s="164"/>
      <c r="FL7439" s="2"/>
      <c r="FN7439" s="2"/>
    </row>
    <row r="7440" spans="153:170" x14ac:dyDescent="0.35">
      <c r="EW7440" s="48"/>
      <c r="FB7440" s="5"/>
      <c r="FI7440" s="5"/>
      <c r="FJ7440" s="164"/>
      <c r="FL7440" s="2"/>
      <c r="FN7440" s="2"/>
    </row>
    <row r="7441" spans="153:170" x14ac:dyDescent="0.35">
      <c r="EW7441" s="48"/>
      <c r="FB7441" s="5"/>
      <c r="FI7441" s="5"/>
      <c r="FJ7441" s="164"/>
      <c r="FL7441" s="2"/>
      <c r="FN7441" s="2"/>
    </row>
    <row r="7442" spans="153:170" x14ac:dyDescent="0.35">
      <c r="EW7442" s="48"/>
      <c r="FB7442" s="5"/>
      <c r="FI7442" s="5"/>
      <c r="FJ7442" s="164"/>
      <c r="FL7442" s="2"/>
      <c r="FN7442" s="2"/>
    </row>
    <row r="7443" spans="153:170" x14ac:dyDescent="0.35">
      <c r="EW7443" s="48"/>
      <c r="FB7443" s="5"/>
      <c r="FI7443" s="5"/>
      <c r="FJ7443" s="164"/>
      <c r="FL7443" s="2"/>
      <c r="FN7443" s="2"/>
    </row>
    <row r="7444" spans="153:170" x14ac:dyDescent="0.35">
      <c r="EW7444" s="48"/>
      <c r="FB7444" s="5"/>
      <c r="FI7444" s="5"/>
      <c r="FJ7444" s="164"/>
      <c r="FL7444" s="2"/>
      <c r="FN7444" s="2"/>
    </row>
    <row r="7445" spans="153:170" x14ac:dyDescent="0.35">
      <c r="EW7445" s="48"/>
      <c r="FB7445" s="5"/>
      <c r="FI7445" s="5"/>
      <c r="FJ7445" s="164"/>
      <c r="FL7445" s="2"/>
      <c r="FN7445" s="2"/>
    </row>
    <row r="7446" spans="153:170" x14ac:dyDescent="0.35">
      <c r="EW7446" s="48"/>
      <c r="FB7446" s="5"/>
      <c r="FI7446" s="5"/>
      <c r="FJ7446" s="164"/>
      <c r="FL7446" s="2"/>
      <c r="FN7446" s="2"/>
    </row>
    <row r="7447" spans="153:170" x14ac:dyDescent="0.35">
      <c r="EW7447" s="48"/>
      <c r="FB7447" s="5"/>
      <c r="FI7447" s="5"/>
      <c r="FJ7447" s="164"/>
      <c r="FL7447" s="2"/>
      <c r="FN7447" s="2"/>
    </row>
    <row r="7448" spans="153:170" x14ac:dyDescent="0.35">
      <c r="EW7448" s="48"/>
      <c r="FB7448" s="5"/>
      <c r="FI7448" s="5"/>
      <c r="FJ7448" s="164"/>
      <c r="FL7448" s="2"/>
      <c r="FN7448" s="2"/>
    </row>
    <row r="7449" spans="153:170" x14ac:dyDescent="0.35">
      <c r="EW7449" s="48"/>
      <c r="FB7449" s="5"/>
      <c r="FI7449" s="5"/>
      <c r="FJ7449" s="164"/>
      <c r="FL7449" s="2"/>
      <c r="FN7449" s="2"/>
    </row>
    <row r="7450" spans="153:170" x14ac:dyDescent="0.35">
      <c r="EW7450" s="48"/>
      <c r="FB7450" s="5"/>
      <c r="FI7450" s="5"/>
      <c r="FJ7450" s="164"/>
      <c r="FL7450" s="2"/>
      <c r="FN7450" s="2"/>
    </row>
    <row r="7451" spans="153:170" x14ac:dyDescent="0.35">
      <c r="EW7451" s="48"/>
      <c r="FB7451" s="5"/>
      <c r="FI7451" s="5"/>
      <c r="FJ7451" s="164"/>
      <c r="FL7451" s="2"/>
      <c r="FN7451" s="2"/>
    </row>
    <row r="7452" spans="153:170" x14ac:dyDescent="0.35">
      <c r="EW7452" s="48"/>
      <c r="FB7452" s="5"/>
      <c r="FI7452" s="5"/>
      <c r="FJ7452" s="164"/>
      <c r="FL7452" s="2"/>
      <c r="FN7452" s="2"/>
    </row>
    <row r="7453" spans="153:170" x14ac:dyDescent="0.35">
      <c r="EW7453" s="48"/>
      <c r="FB7453" s="5"/>
      <c r="FI7453" s="5"/>
      <c r="FJ7453" s="164"/>
      <c r="FL7453" s="2"/>
      <c r="FN7453" s="2"/>
    </row>
    <row r="7454" spans="153:170" x14ac:dyDescent="0.35">
      <c r="EW7454" s="48"/>
      <c r="FB7454" s="5"/>
      <c r="FI7454" s="5"/>
      <c r="FJ7454" s="164"/>
      <c r="FL7454" s="2"/>
      <c r="FN7454" s="2"/>
    </row>
    <row r="7455" spans="153:170" x14ac:dyDescent="0.35">
      <c r="EW7455" s="48"/>
      <c r="FB7455" s="5"/>
      <c r="FI7455" s="5"/>
      <c r="FJ7455" s="164"/>
      <c r="FL7455" s="2"/>
      <c r="FN7455" s="2"/>
    </row>
    <row r="7456" spans="153:170" x14ac:dyDescent="0.35">
      <c r="EW7456" s="48"/>
      <c r="FB7456" s="5"/>
      <c r="FI7456" s="5"/>
      <c r="FJ7456" s="164"/>
      <c r="FL7456" s="2"/>
      <c r="FN7456" s="2"/>
    </row>
    <row r="7457" spans="153:170" x14ac:dyDescent="0.35">
      <c r="EW7457" s="48"/>
      <c r="FB7457" s="5"/>
      <c r="FI7457" s="5"/>
      <c r="FJ7457" s="164"/>
      <c r="FL7457" s="2"/>
      <c r="FN7457" s="2"/>
    </row>
    <row r="7458" spans="153:170" x14ac:dyDescent="0.35">
      <c r="EW7458" s="48"/>
      <c r="FB7458" s="5"/>
      <c r="FI7458" s="5"/>
      <c r="FJ7458" s="164"/>
      <c r="FL7458" s="2"/>
      <c r="FN7458" s="2"/>
    </row>
    <row r="7459" spans="153:170" x14ac:dyDescent="0.35">
      <c r="EW7459" s="48"/>
      <c r="FB7459" s="5"/>
      <c r="FI7459" s="5"/>
      <c r="FJ7459" s="164"/>
      <c r="FL7459" s="2"/>
      <c r="FN7459" s="2"/>
    </row>
    <row r="7460" spans="153:170" x14ac:dyDescent="0.35">
      <c r="EW7460" s="48"/>
      <c r="FB7460" s="5"/>
      <c r="FI7460" s="5"/>
      <c r="FJ7460" s="164"/>
      <c r="FL7460" s="2"/>
      <c r="FN7460" s="2"/>
    </row>
    <row r="7461" spans="153:170" x14ac:dyDescent="0.35">
      <c r="EW7461" s="48"/>
      <c r="FB7461" s="5"/>
      <c r="FI7461" s="5"/>
      <c r="FJ7461" s="164"/>
      <c r="FL7461" s="2"/>
      <c r="FN7461" s="2"/>
    </row>
    <row r="7462" spans="153:170" x14ac:dyDescent="0.35">
      <c r="EW7462" s="48"/>
      <c r="FB7462" s="5"/>
      <c r="FI7462" s="5"/>
      <c r="FJ7462" s="164"/>
      <c r="FL7462" s="2"/>
      <c r="FN7462" s="2"/>
    </row>
    <row r="7463" spans="153:170" x14ac:dyDescent="0.35">
      <c r="EW7463" s="48"/>
      <c r="FB7463" s="5"/>
      <c r="FI7463" s="5"/>
      <c r="FJ7463" s="164"/>
      <c r="FL7463" s="2"/>
      <c r="FN7463" s="2"/>
    </row>
    <row r="7464" spans="153:170" x14ac:dyDescent="0.35">
      <c r="EW7464" s="48"/>
      <c r="FB7464" s="5"/>
      <c r="FI7464" s="5"/>
      <c r="FJ7464" s="164"/>
      <c r="FL7464" s="2"/>
      <c r="FN7464" s="2"/>
    </row>
    <row r="7465" spans="153:170" x14ac:dyDescent="0.35">
      <c r="EW7465" s="48"/>
      <c r="FB7465" s="5"/>
      <c r="FI7465" s="5"/>
      <c r="FJ7465" s="164"/>
      <c r="FL7465" s="2"/>
      <c r="FN7465" s="2"/>
    </row>
    <row r="7466" spans="153:170" x14ac:dyDescent="0.35">
      <c r="EW7466" s="48"/>
      <c r="FB7466" s="5"/>
      <c r="FI7466" s="5"/>
      <c r="FJ7466" s="164"/>
      <c r="FL7466" s="2"/>
      <c r="FN7466" s="2"/>
    </row>
    <row r="7467" spans="153:170" x14ac:dyDescent="0.35">
      <c r="EW7467" s="48"/>
      <c r="FB7467" s="5"/>
      <c r="FI7467" s="5"/>
      <c r="FJ7467" s="164"/>
      <c r="FL7467" s="2"/>
      <c r="FN7467" s="2"/>
    </row>
    <row r="7468" spans="153:170" x14ac:dyDescent="0.35">
      <c r="EW7468" s="48"/>
      <c r="FB7468" s="5"/>
      <c r="FI7468" s="5"/>
      <c r="FJ7468" s="164"/>
      <c r="FL7468" s="2"/>
      <c r="FN7468" s="2"/>
    </row>
    <row r="7469" spans="153:170" x14ac:dyDescent="0.35">
      <c r="EW7469" s="48"/>
      <c r="FB7469" s="5"/>
      <c r="FI7469" s="5"/>
      <c r="FJ7469" s="164"/>
      <c r="FL7469" s="2"/>
      <c r="FN7469" s="2"/>
    </row>
    <row r="7470" spans="153:170" x14ac:dyDescent="0.35">
      <c r="EW7470" s="48"/>
      <c r="FB7470" s="5"/>
      <c r="FI7470" s="5"/>
      <c r="FJ7470" s="164"/>
      <c r="FL7470" s="2"/>
      <c r="FN7470" s="2"/>
    </row>
    <row r="7471" spans="153:170" x14ac:dyDescent="0.35">
      <c r="EW7471" s="48"/>
      <c r="FB7471" s="5"/>
      <c r="FI7471" s="5"/>
      <c r="FJ7471" s="164"/>
      <c r="FL7471" s="2"/>
      <c r="FN7471" s="2"/>
    </row>
    <row r="7472" spans="153:170" x14ac:dyDescent="0.35">
      <c r="EW7472" s="48"/>
      <c r="FB7472" s="5"/>
      <c r="FI7472" s="5"/>
      <c r="FJ7472" s="164"/>
      <c r="FL7472" s="2"/>
      <c r="FN7472" s="2"/>
    </row>
    <row r="7473" spans="153:170" x14ac:dyDescent="0.35">
      <c r="EW7473" s="48"/>
      <c r="FB7473" s="5"/>
      <c r="FI7473" s="5"/>
      <c r="FJ7473" s="164"/>
      <c r="FL7473" s="2"/>
      <c r="FN7473" s="2"/>
    </row>
    <row r="7474" spans="153:170" x14ac:dyDescent="0.35">
      <c r="EW7474" s="48"/>
      <c r="FB7474" s="5"/>
      <c r="FI7474" s="5"/>
      <c r="FJ7474" s="164"/>
      <c r="FL7474" s="2"/>
      <c r="FN7474" s="2"/>
    </row>
    <row r="7475" spans="153:170" x14ac:dyDescent="0.35">
      <c r="EW7475" s="48"/>
      <c r="FB7475" s="5"/>
      <c r="FI7475" s="5"/>
      <c r="FJ7475" s="164"/>
      <c r="FL7475" s="2"/>
      <c r="FN7475" s="2"/>
    </row>
    <row r="7476" spans="153:170" x14ac:dyDescent="0.35">
      <c r="EW7476" s="48"/>
      <c r="FB7476" s="5"/>
      <c r="FI7476" s="5"/>
      <c r="FJ7476" s="164"/>
      <c r="FL7476" s="2"/>
      <c r="FN7476" s="2"/>
    </row>
    <row r="7477" spans="153:170" x14ac:dyDescent="0.35">
      <c r="EW7477" s="48"/>
      <c r="FB7477" s="5"/>
      <c r="FI7477" s="5"/>
      <c r="FJ7477" s="164"/>
      <c r="FL7477" s="2"/>
      <c r="FN7477" s="2"/>
    </row>
    <row r="7478" spans="153:170" x14ac:dyDescent="0.35">
      <c r="EW7478" s="48"/>
      <c r="FB7478" s="5"/>
      <c r="FI7478" s="5"/>
      <c r="FJ7478" s="164"/>
      <c r="FL7478" s="2"/>
      <c r="FN7478" s="2"/>
    </row>
    <row r="7479" spans="153:170" x14ac:dyDescent="0.35">
      <c r="EW7479" s="48"/>
      <c r="FB7479" s="5"/>
      <c r="FI7479" s="5"/>
      <c r="FJ7479" s="164"/>
      <c r="FL7479" s="2"/>
      <c r="FN7479" s="2"/>
    </row>
    <row r="7480" spans="153:170" x14ac:dyDescent="0.35">
      <c r="EW7480" s="48"/>
      <c r="FB7480" s="5"/>
      <c r="FI7480" s="5"/>
      <c r="FJ7480" s="164"/>
      <c r="FL7480" s="2"/>
      <c r="FN7480" s="2"/>
    </row>
    <row r="7481" spans="153:170" x14ac:dyDescent="0.35">
      <c r="EW7481" s="48"/>
      <c r="FB7481" s="5"/>
      <c r="FI7481" s="5"/>
      <c r="FJ7481" s="164"/>
      <c r="FL7481" s="2"/>
      <c r="FN7481" s="2"/>
    </row>
    <row r="7482" spans="153:170" x14ac:dyDescent="0.35">
      <c r="EW7482" s="48"/>
      <c r="FB7482" s="5"/>
      <c r="FI7482" s="5"/>
      <c r="FJ7482" s="164"/>
      <c r="FL7482" s="2"/>
      <c r="FN7482" s="2"/>
    </row>
    <row r="7483" spans="153:170" x14ac:dyDescent="0.35">
      <c r="EW7483" s="48"/>
      <c r="FB7483" s="5"/>
      <c r="FI7483" s="5"/>
      <c r="FJ7483" s="164"/>
      <c r="FL7483" s="2"/>
      <c r="FN7483" s="2"/>
    </row>
    <row r="7484" spans="153:170" x14ac:dyDescent="0.35">
      <c r="EW7484" s="48"/>
      <c r="FB7484" s="5"/>
      <c r="FI7484" s="5"/>
      <c r="FJ7484" s="164"/>
      <c r="FL7484" s="2"/>
      <c r="FN7484" s="2"/>
    </row>
    <row r="7485" spans="153:170" x14ac:dyDescent="0.35">
      <c r="EW7485" s="48"/>
      <c r="FB7485" s="5"/>
      <c r="FI7485" s="5"/>
      <c r="FJ7485" s="164"/>
      <c r="FL7485" s="2"/>
      <c r="FN7485" s="2"/>
    </row>
    <row r="7486" spans="153:170" x14ac:dyDescent="0.35">
      <c r="EW7486" s="48"/>
      <c r="FB7486" s="5"/>
      <c r="FI7486" s="5"/>
      <c r="FJ7486" s="164"/>
      <c r="FL7486" s="2"/>
      <c r="FN7486" s="2"/>
    </row>
    <row r="7487" spans="153:170" x14ac:dyDescent="0.35">
      <c r="EW7487" s="48"/>
      <c r="FB7487" s="5"/>
      <c r="FI7487" s="5"/>
      <c r="FJ7487" s="164"/>
      <c r="FL7487" s="2"/>
      <c r="FN7487" s="2"/>
    </row>
    <row r="7488" spans="153:170" x14ac:dyDescent="0.35">
      <c r="EW7488" s="48"/>
      <c r="FB7488" s="5"/>
      <c r="FI7488" s="5"/>
      <c r="FJ7488" s="164"/>
      <c r="FL7488" s="2"/>
      <c r="FN7488" s="2"/>
    </row>
    <row r="7489" spans="153:170" x14ac:dyDescent="0.35">
      <c r="EW7489" s="48"/>
      <c r="FB7489" s="5"/>
      <c r="FI7489" s="5"/>
      <c r="FJ7489" s="164"/>
      <c r="FL7489" s="2"/>
      <c r="FN7489" s="2"/>
    </row>
    <row r="7490" spans="153:170" x14ac:dyDescent="0.35">
      <c r="EW7490" s="48"/>
      <c r="FB7490" s="5"/>
      <c r="FI7490" s="5"/>
      <c r="FJ7490" s="164"/>
      <c r="FL7490" s="2"/>
      <c r="FN7490" s="2"/>
    </row>
    <row r="7491" spans="153:170" x14ac:dyDescent="0.35">
      <c r="EW7491" s="48"/>
      <c r="FB7491" s="5"/>
      <c r="FI7491" s="5"/>
      <c r="FJ7491" s="164"/>
      <c r="FL7491" s="2"/>
      <c r="FN7491" s="2"/>
    </row>
    <row r="7492" spans="153:170" x14ac:dyDescent="0.35">
      <c r="EW7492" s="48"/>
      <c r="FB7492" s="5"/>
      <c r="FI7492" s="5"/>
      <c r="FJ7492" s="164"/>
      <c r="FL7492" s="2"/>
      <c r="FN7492" s="2"/>
    </row>
    <row r="7493" spans="153:170" x14ac:dyDescent="0.35">
      <c r="EW7493" s="48"/>
      <c r="FB7493" s="5"/>
      <c r="FI7493" s="5"/>
      <c r="FJ7493" s="164"/>
      <c r="FL7493" s="2"/>
      <c r="FN7493" s="2"/>
    </row>
    <row r="7494" spans="153:170" x14ac:dyDescent="0.35">
      <c r="EW7494" s="48"/>
      <c r="FB7494" s="5"/>
      <c r="FI7494" s="5"/>
      <c r="FJ7494" s="164"/>
      <c r="FL7494" s="2"/>
      <c r="FN7494" s="2"/>
    </row>
    <row r="7495" spans="153:170" x14ac:dyDescent="0.35">
      <c r="EW7495" s="48"/>
      <c r="FB7495" s="5"/>
      <c r="FI7495" s="5"/>
      <c r="FJ7495" s="164"/>
      <c r="FL7495" s="2"/>
      <c r="FN7495" s="2"/>
    </row>
    <row r="7496" spans="153:170" x14ac:dyDescent="0.35">
      <c r="EW7496" s="48"/>
      <c r="FB7496" s="5"/>
      <c r="FI7496" s="5"/>
      <c r="FJ7496" s="164"/>
      <c r="FL7496" s="2"/>
      <c r="FN7496" s="2"/>
    </row>
    <row r="7497" spans="153:170" x14ac:dyDescent="0.35">
      <c r="EW7497" s="48"/>
      <c r="FB7497" s="5"/>
      <c r="FI7497" s="5"/>
      <c r="FJ7497" s="164"/>
      <c r="FL7497" s="2"/>
      <c r="FN7497" s="2"/>
    </row>
    <row r="7498" spans="153:170" x14ac:dyDescent="0.35">
      <c r="EW7498" s="48"/>
      <c r="FB7498" s="5"/>
      <c r="FI7498" s="5"/>
      <c r="FJ7498" s="164"/>
      <c r="FL7498" s="2"/>
      <c r="FN7498" s="2"/>
    </row>
    <row r="7499" spans="153:170" x14ac:dyDescent="0.35">
      <c r="EW7499" s="48"/>
      <c r="FB7499" s="5"/>
      <c r="FI7499" s="5"/>
      <c r="FJ7499" s="164"/>
      <c r="FL7499" s="2"/>
      <c r="FN7499" s="2"/>
    </row>
    <row r="7500" spans="153:170" x14ac:dyDescent="0.35">
      <c r="EW7500" s="48"/>
      <c r="FB7500" s="5"/>
      <c r="FI7500" s="5"/>
      <c r="FJ7500" s="164"/>
      <c r="FL7500" s="2"/>
      <c r="FN7500" s="2"/>
    </row>
    <row r="7501" spans="153:170" x14ac:dyDescent="0.35">
      <c r="EW7501" s="48"/>
      <c r="FB7501" s="5"/>
      <c r="FI7501" s="5"/>
      <c r="FJ7501" s="164"/>
      <c r="FL7501" s="2"/>
      <c r="FN7501" s="2"/>
    </row>
    <row r="7502" spans="153:170" x14ac:dyDescent="0.35">
      <c r="EW7502" s="48"/>
      <c r="FB7502" s="5"/>
      <c r="FI7502" s="5"/>
      <c r="FJ7502" s="164"/>
      <c r="FL7502" s="2"/>
      <c r="FN7502" s="2"/>
    </row>
    <row r="7503" spans="153:170" x14ac:dyDescent="0.35">
      <c r="EW7503" s="48"/>
      <c r="FB7503" s="5"/>
      <c r="FI7503" s="5"/>
      <c r="FJ7503" s="164"/>
      <c r="FL7503" s="2"/>
      <c r="FN7503" s="2"/>
    </row>
    <row r="7504" spans="153:170" x14ac:dyDescent="0.35">
      <c r="EW7504" s="48"/>
      <c r="FB7504" s="5"/>
      <c r="FI7504" s="5"/>
      <c r="FJ7504" s="164"/>
      <c r="FL7504" s="2"/>
      <c r="FN7504" s="2"/>
    </row>
    <row r="7505" spans="153:170" x14ac:dyDescent="0.35">
      <c r="EW7505" s="48"/>
      <c r="FB7505" s="5"/>
      <c r="FI7505" s="5"/>
      <c r="FJ7505" s="164"/>
      <c r="FL7505" s="2"/>
      <c r="FN7505" s="2"/>
    </row>
    <row r="7506" spans="153:170" x14ac:dyDescent="0.35">
      <c r="EW7506" s="48"/>
      <c r="FB7506" s="5"/>
      <c r="FI7506" s="5"/>
      <c r="FJ7506" s="164"/>
      <c r="FL7506" s="2"/>
      <c r="FN7506" s="2"/>
    </row>
    <row r="7507" spans="153:170" x14ac:dyDescent="0.35">
      <c r="EW7507" s="48"/>
      <c r="FB7507" s="5"/>
      <c r="FI7507" s="5"/>
      <c r="FJ7507" s="164"/>
      <c r="FL7507" s="2"/>
      <c r="FN7507" s="2"/>
    </row>
    <row r="7508" spans="153:170" x14ac:dyDescent="0.35">
      <c r="EW7508" s="48"/>
      <c r="FB7508" s="5"/>
      <c r="FI7508" s="5"/>
      <c r="FJ7508" s="164"/>
      <c r="FL7508" s="2"/>
      <c r="FN7508" s="2"/>
    </row>
    <row r="7509" spans="153:170" x14ac:dyDescent="0.35">
      <c r="EW7509" s="48"/>
      <c r="FB7509" s="5"/>
      <c r="FI7509" s="5"/>
      <c r="FJ7509" s="164"/>
      <c r="FL7509" s="2"/>
      <c r="FN7509" s="2"/>
    </row>
    <row r="7510" spans="153:170" x14ac:dyDescent="0.35">
      <c r="EW7510" s="48"/>
      <c r="FB7510" s="5"/>
      <c r="FI7510" s="5"/>
      <c r="FJ7510" s="164"/>
      <c r="FL7510" s="2"/>
      <c r="FN7510" s="2"/>
    </row>
    <row r="7511" spans="153:170" x14ac:dyDescent="0.35">
      <c r="EW7511" s="48"/>
      <c r="FB7511" s="5"/>
      <c r="FI7511" s="5"/>
      <c r="FJ7511" s="164"/>
      <c r="FL7511" s="2"/>
      <c r="FN7511" s="2"/>
    </row>
    <row r="7512" spans="153:170" x14ac:dyDescent="0.35">
      <c r="EW7512" s="48"/>
      <c r="FB7512" s="5"/>
      <c r="FI7512" s="5"/>
      <c r="FJ7512" s="164"/>
      <c r="FL7512" s="2"/>
      <c r="FN7512" s="2"/>
    </row>
    <row r="7513" spans="153:170" x14ac:dyDescent="0.35">
      <c r="EW7513" s="48"/>
      <c r="FB7513" s="5"/>
      <c r="FI7513" s="5"/>
      <c r="FJ7513" s="164"/>
      <c r="FL7513" s="2"/>
      <c r="FN7513" s="2"/>
    </row>
    <row r="7514" spans="153:170" x14ac:dyDescent="0.35">
      <c r="EW7514" s="48"/>
      <c r="FB7514" s="5"/>
      <c r="FI7514" s="5"/>
      <c r="FJ7514" s="164"/>
      <c r="FL7514" s="2"/>
      <c r="FN7514" s="2"/>
    </row>
    <row r="7515" spans="153:170" x14ac:dyDescent="0.35">
      <c r="EW7515" s="48"/>
      <c r="FB7515" s="5"/>
      <c r="FI7515" s="5"/>
      <c r="FJ7515" s="164"/>
      <c r="FL7515" s="2"/>
      <c r="FN7515" s="2"/>
    </row>
    <row r="7516" spans="153:170" x14ac:dyDescent="0.35">
      <c r="EW7516" s="48"/>
      <c r="FB7516" s="5"/>
      <c r="FI7516" s="5"/>
      <c r="FJ7516" s="164"/>
      <c r="FL7516" s="2"/>
      <c r="FN7516" s="2"/>
    </row>
    <row r="7517" spans="153:170" x14ac:dyDescent="0.35">
      <c r="EW7517" s="48"/>
      <c r="FB7517" s="5"/>
      <c r="FI7517" s="5"/>
      <c r="FJ7517" s="164"/>
      <c r="FL7517" s="2"/>
      <c r="FN7517" s="2"/>
    </row>
    <row r="7518" spans="153:170" x14ac:dyDescent="0.35">
      <c r="EW7518" s="48"/>
      <c r="FB7518" s="5"/>
      <c r="FI7518" s="5"/>
      <c r="FJ7518" s="164"/>
      <c r="FL7518" s="2"/>
      <c r="FN7518" s="2"/>
    </row>
    <row r="7519" spans="153:170" x14ac:dyDescent="0.35">
      <c r="EW7519" s="48"/>
      <c r="FB7519" s="5"/>
      <c r="FI7519" s="5"/>
      <c r="FJ7519" s="164"/>
      <c r="FL7519" s="2"/>
      <c r="FN7519" s="2"/>
    </row>
    <row r="7520" spans="153:170" x14ac:dyDescent="0.35">
      <c r="EW7520" s="48"/>
      <c r="FB7520" s="5"/>
      <c r="FI7520" s="5"/>
      <c r="FJ7520" s="164"/>
      <c r="FL7520" s="2"/>
      <c r="FN7520" s="2"/>
    </row>
    <row r="7521" spans="153:170" x14ac:dyDescent="0.35">
      <c r="EW7521" s="48"/>
      <c r="FB7521" s="5"/>
      <c r="FI7521" s="5"/>
      <c r="FJ7521" s="164"/>
      <c r="FL7521" s="2"/>
      <c r="FN7521" s="2"/>
    </row>
    <row r="7522" spans="153:170" x14ac:dyDescent="0.35">
      <c r="EW7522" s="48"/>
      <c r="FB7522" s="5"/>
      <c r="FI7522" s="5"/>
      <c r="FJ7522" s="164"/>
      <c r="FL7522" s="2"/>
      <c r="FN7522" s="2"/>
    </row>
    <row r="7523" spans="153:170" x14ac:dyDescent="0.35">
      <c r="EW7523" s="48"/>
      <c r="FB7523" s="5"/>
      <c r="FI7523" s="5"/>
      <c r="FJ7523" s="164"/>
      <c r="FL7523" s="2"/>
      <c r="FN7523" s="2"/>
    </row>
    <row r="7524" spans="153:170" x14ac:dyDescent="0.35">
      <c r="EW7524" s="48"/>
      <c r="FB7524" s="5"/>
      <c r="FI7524" s="5"/>
      <c r="FJ7524" s="164"/>
      <c r="FL7524" s="2"/>
      <c r="FN7524" s="2"/>
    </row>
    <row r="7525" spans="153:170" x14ac:dyDescent="0.35">
      <c r="EW7525" s="48"/>
      <c r="FB7525" s="5"/>
      <c r="FI7525" s="5"/>
      <c r="FJ7525" s="164"/>
      <c r="FL7525" s="2"/>
      <c r="FN7525" s="2"/>
    </row>
    <row r="7526" spans="153:170" x14ac:dyDescent="0.35">
      <c r="EW7526" s="48"/>
      <c r="FB7526" s="5"/>
      <c r="FI7526" s="5"/>
      <c r="FJ7526" s="164"/>
      <c r="FL7526" s="2"/>
      <c r="FN7526" s="2"/>
    </row>
    <row r="7527" spans="153:170" x14ac:dyDescent="0.35">
      <c r="EW7527" s="48"/>
      <c r="FB7527" s="5"/>
      <c r="FI7527" s="5"/>
      <c r="FJ7527" s="164"/>
      <c r="FL7527" s="2"/>
      <c r="FN7527" s="2"/>
    </row>
    <row r="7528" spans="153:170" x14ac:dyDescent="0.35">
      <c r="EW7528" s="48"/>
      <c r="FB7528" s="5"/>
      <c r="FI7528" s="5"/>
      <c r="FJ7528" s="164"/>
      <c r="FL7528" s="2"/>
      <c r="FN7528" s="2"/>
    </row>
    <row r="7529" spans="153:170" x14ac:dyDescent="0.35">
      <c r="EW7529" s="48"/>
      <c r="FB7529" s="5"/>
      <c r="FI7529" s="5"/>
      <c r="FJ7529" s="164"/>
      <c r="FL7529" s="2"/>
      <c r="FN7529" s="2"/>
    </row>
    <row r="7530" spans="153:170" x14ac:dyDescent="0.35">
      <c r="EW7530" s="48"/>
      <c r="FB7530" s="5"/>
      <c r="FI7530" s="5"/>
      <c r="FJ7530" s="164"/>
      <c r="FL7530" s="2"/>
      <c r="FN7530" s="2"/>
    </row>
    <row r="7531" spans="153:170" x14ac:dyDescent="0.35">
      <c r="EW7531" s="48"/>
      <c r="FB7531" s="5"/>
      <c r="FI7531" s="5"/>
      <c r="FJ7531" s="164"/>
      <c r="FL7531" s="2"/>
      <c r="FN7531" s="2"/>
    </row>
    <row r="7532" spans="153:170" x14ac:dyDescent="0.35">
      <c r="EW7532" s="48"/>
      <c r="FB7532" s="5"/>
      <c r="FI7532" s="5"/>
      <c r="FJ7532" s="164"/>
      <c r="FL7532" s="2"/>
      <c r="FN7532" s="2"/>
    </row>
    <row r="7533" spans="153:170" x14ac:dyDescent="0.35">
      <c r="EW7533" s="48"/>
      <c r="FB7533" s="5"/>
      <c r="FI7533" s="5"/>
      <c r="FJ7533" s="164"/>
      <c r="FL7533" s="2"/>
      <c r="FN7533" s="2"/>
    </row>
    <row r="7534" spans="153:170" x14ac:dyDescent="0.35">
      <c r="EW7534" s="48"/>
      <c r="FB7534" s="5"/>
      <c r="FI7534" s="5"/>
      <c r="FJ7534" s="164"/>
      <c r="FL7534" s="2"/>
      <c r="FN7534" s="2"/>
    </row>
    <row r="7535" spans="153:170" x14ac:dyDescent="0.35">
      <c r="EW7535" s="48"/>
      <c r="FB7535" s="5"/>
      <c r="FI7535" s="5"/>
      <c r="FJ7535" s="164"/>
      <c r="FL7535" s="2"/>
      <c r="FN7535" s="2"/>
    </row>
    <row r="7536" spans="153:170" x14ac:dyDescent="0.35">
      <c r="EW7536" s="48"/>
      <c r="FB7536" s="5"/>
      <c r="FI7536" s="5"/>
      <c r="FJ7536" s="164"/>
      <c r="FL7536" s="2"/>
      <c r="FN7536" s="2"/>
    </row>
    <row r="7537" spans="153:170" x14ac:dyDescent="0.35">
      <c r="EW7537" s="48"/>
      <c r="FB7537" s="5"/>
      <c r="FI7537" s="5"/>
      <c r="FJ7537" s="164"/>
      <c r="FL7537" s="2"/>
      <c r="FN7537" s="2"/>
    </row>
    <row r="7538" spans="153:170" x14ac:dyDescent="0.35">
      <c r="EW7538" s="48"/>
      <c r="FB7538" s="5"/>
      <c r="FI7538" s="5"/>
      <c r="FJ7538" s="164"/>
      <c r="FL7538" s="2"/>
      <c r="FN7538" s="2"/>
    </row>
    <row r="7539" spans="153:170" x14ac:dyDescent="0.35">
      <c r="EW7539" s="48"/>
      <c r="FB7539" s="5"/>
      <c r="FI7539" s="5"/>
      <c r="FJ7539" s="164"/>
      <c r="FL7539" s="2"/>
      <c r="FN7539" s="2"/>
    </row>
    <row r="7540" spans="153:170" x14ac:dyDescent="0.35">
      <c r="EW7540" s="48"/>
      <c r="FB7540" s="5"/>
      <c r="FI7540" s="5"/>
      <c r="FJ7540" s="164"/>
      <c r="FL7540" s="2"/>
      <c r="FN7540" s="2"/>
    </row>
    <row r="7541" spans="153:170" x14ac:dyDescent="0.35">
      <c r="EW7541" s="48"/>
      <c r="FB7541" s="5"/>
      <c r="FI7541" s="5"/>
      <c r="FJ7541" s="164"/>
      <c r="FL7541" s="2"/>
      <c r="FN7541" s="2"/>
    </row>
    <row r="7542" spans="153:170" x14ac:dyDescent="0.35">
      <c r="EW7542" s="48"/>
      <c r="FB7542" s="5"/>
      <c r="FI7542" s="5"/>
      <c r="FJ7542" s="164"/>
      <c r="FL7542" s="2"/>
      <c r="FN7542" s="2"/>
    </row>
    <row r="7543" spans="153:170" x14ac:dyDescent="0.35">
      <c r="EW7543" s="48"/>
      <c r="FB7543" s="5"/>
      <c r="FI7543" s="5"/>
      <c r="FJ7543" s="164"/>
      <c r="FL7543" s="2"/>
      <c r="FN7543" s="2"/>
    </row>
    <row r="7544" spans="153:170" x14ac:dyDescent="0.35">
      <c r="EW7544" s="48"/>
      <c r="FB7544" s="5"/>
      <c r="FI7544" s="5"/>
      <c r="FJ7544" s="164"/>
      <c r="FL7544" s="2"/>
      <c r="FN7544" s="2"/>
    </row>
    <row r="7545" spans="153:170" x14ac:dyDescent="0.35">
      <c r="EW7545" s="48"/>
      <c r="FB7545" s="5"/>
      <c r="FI7545" s="5"/>
      <c r="FJ7545" s="164"/>
      <c r="FL7545" s="2"/>
      <c r="FN7545" s="2"/>
    </row>
    <row r="7546" spans="153:170" x14ac:dyDescent="0.35">
      <c r="EW7546" s="48"/>
      <c r="FB7546" s="5"/>
      <c r="FI7546" s="5"/>
      <c r="FJ7546" s="164"/>
      <c r="FL7546" s="2"/>
      <c r="FN7546" s="2"/>
    </row>
    <row r="7547" spans="153:170" x14ac:dyDescent="0.35">
      <c r="EW7547" s="48"/>
      <c r="FB7547" s="5"/>
      <c r="FI7547" s="5"/>
      <c r="FJ7547" s="164"/>
      <c r="FL7547" s="2"/>
      <c r="FN7547" s="2"/>
    </row>
    <row r="7548" spans="153:170" x14ac:dyDescent="0.35">
      <c r="EW7548" s="48"/>
      <c r="FB7548" s="5"/>
      <c r="FI7548" s="5"/>
      <c r="FJ7548" s="164"/>
      <c r="FL7548" s="2"/>
      <c r="FN7548" s="2"/>
    </row>
    <row r="7549" spans="153:170" x14ac:dyDescent="0.35">
      <c r="EW7549" s="48"/>
      <c r="FB7549" s="5"/>
      <c r="FI7549" s="5"/>
      <c r="FJ7549" s="164"/>
      <c r="FL7549" s="2"/>
      <c r="FN7549" s="2"/>
    </row>
    <row r="7550" spans="153:170" x14ac:dyDescent="0.35">
      <c r="EW7550" s="48"/>
      <c r="FB7550" s="5"/>
      <c r="FI7550" s="5"/>
      <c r="FJ7550" s="164"/>
      <c r="FL7550" s="2"/>
      <c r="FN7550" s="2"/>
    </row>
    <row r="7551" spans="153:170" x14ac:dyDescent="0.35">
      <c r="EW7551" s="48"/>
      <c r="FB7551" s="5"/>
      <c r="FI7551" s="5"/>
      <c r="FJ7551" s="164"/>
      <c r="FL7551" s="2"/>
      <c r="FN7551" s="2"/>
    </row>
    <row r="7552" spans="153:170" x14ac:dyDescent="0.35">
      <c r="EW7552" s="48"/>
      <c r="FB7552" s="5"/>
      <c r="FI7552" s="5"/>
      <c r="FJ7552" s="164"/>
      <c r="FL7552" s="2"/>
      <c r="FN7552" s="2"/>
    </row>
    <row r="7553" spans="153:170" x14ac:dyDescent="0.35">
      <c r="EW7553" s="48"/>
      <c r="FB7553" s="5"/>
      <c r="FI7553" s="5"/>
      <c r="FJ7553" s="164"/>
      <c r="FL7553" s="2"/>
      <c r="FN7553" s="2"/>
    </row>
    <row r="7554" spans="153:170" x14ac:dyDescent="0.35">
      <c r="EW7554" s="48"/>
      <c r="FB7554" s="5"/>
      <c r="FI7554" s="5"/>
      <c r="FJ7554" s="164"/>
      <c r="FL7554" s="2"/>
      <c r="FN7554" s="2"/>
    </row>
    <row r="7555" spans="153:170" x14ac:dyDescent="0.35">
      <c r="EW7555" s="48"/>
      <c r="FB7555" s="5"/>
      <c r="FI7555" s="5"/>
      <c r="FJ7555" s="164"/>
      <c r="FL7555" s="2"/>
      <c r="FN7555" s="2"/>
    </row>
    <row r="7556" spans="153:170" x14ac:dyDescent="0.35">
      <c r="EW7556" s="48"/>
      <c r="FB7556" s="5"/>
      <c r="FI7556" s="5"/>
      <c r="FJ7556" s="164"/>
      <c r="FL7556" s="2"/>
      <c r="FN7556" s="2"/>
    </row>
    <row r="7557" spans="153:170" x14ac:dyDescent="0.35">
      <c r="EW7557" s="48"/>
      <c r="FB7557" s="5"/>
      <c r="FI7557" s="5"/>
      <c r="FJ7557" s="164"/>
      <c r="FL7557" s="2"/>
      <c r="FN7557" s="2"/>
    </row>
    <row r="7558" spans="153:170" x14ac:dyDescent="0.35">
      <c r="EW7558" s="48"/>
      <c r="FB7558" s="5"/>
      <c r="FI7558" s="5"/>
      <c r="FJ7558" s="164"/>
      <c r="FL7558" s="2"/>
      <c r="FN7558" s="2"/>
    </row>
    <row r="7559" spans="153:170" x14ac:dyDescent="0.35">
      <c r="EW7559" s="48"/>
      <c r="FB7559" s="5"/>
      <c r="FI7559" s="5"/>
      <c r="FJ7559" s="164"/>
      <c r="FL7559" s="2"/>
      <c r="FN7559" s="2"/>
    </row>
    <row r="7560" spans="153:170" x14ac:dyDescent="0.35">
      <c r="EW7560" s="48"/>
      <c r="FB7560" s="5"/>
      <c r="FI7560" s="5"/>
      <c r="FJ7560" s="164"/>
      <c r="FL7560" s="2"/>
      <c r="FN7560" s="2"/>
    </row>
    <row r="7561" spans="153:170" x14ac:dyDescent="0.35">
      <c r="EW7561" s="48"/>
      <c r="FB7561" s="5"/>
      <c r="FI7561" s="5"/>
      <c r="FJ7561" s="164"/>
      <c r="FL7561" s="2"/>
      <c r="FN7561" s="2"/>
    </row>
    <row r="7562" spans="153:170" x14ac:dyDescent="0.35">
      <c r="EW7562" s="48"/>
      <c r="FB7562" s="5"/>
      <c r="FI7562" s="5"/>
      <c r="FJ7562" s="164"/>
      <c r="FL7562" s="2"/>
      <c r="FN7562" s="2"/>
    </row>
    <row r="7563" spans="153:170" x14ac:dyDescent="0.35">
      <c r="EW7563" s="48"/>
      <c r="FB7563" s="5"/>
      <c r="FI7563" s="5"/>
      <c r="FJ7563" s="164"/>
      <c r="FL7563" s="2"/>
      <c r="FN7563" s="2"/>
    </row>
    <row r="7564" spans="153:170" x14ac:dyDescent="0.35">
      <c r="EW7564" s="48"/>
      <c r="FB7564" s="5"/>
      <c r="FI7564" s="5"/>
      <c r="FJ7564" s="164"/>
      <c r="FL7564" s="2"/>
      <c r="FN7564" s="2"/>
    </row>
    <row r="7565" spans="153:170" x14ac:dyDescent="0.35">
      <c r="EW7565" s="48"/>
      <c r="FB7565" s="5"/>
      <c r="FI7565" s="5"/>
      <c r="FJ7565" s="164"/>
      <c r="FL7565" s="2"/>
      <c r="FN7565" s="2"/>
    </row>
    <row r="7566" spans="153:170" x14ac:dyDescent="0.35">
      <c r="EW7566" s="48"/>
      <c r="FB7566" s="5"/>
      <c r="FI7566" s="5"/>
      <c r="FJ7566" s="164"/>
      <c r="FL7566" s="2"/>
      <c r="FN7566" s="2"/>
    </row>
    <row r="7567" spans="153:170" x14ac:dyDescent="0.35">
      <c r="EW7567" s="48"/>
      <c r="FB7567" s="5"/>
      <c r="FI7567" s="5"/>
      <c r="FJ7567" s="164"/>
      <c r="FL7567" s="2"/>
      <c r="FN7567" s="2"/>
    </row>
    <row r="7568" spans="153:170" x14ac:dyDescent="0.35">
      <c r="EW7568" s="48"/>
      <c r="FB7568" s="5"/>
      <c r="FI7568" s="5"/>
      <c r="FJ7568" s="164"/>
      <c r="FL7568" s="2"/>
      <c r="FN7568" s="2"/>
    </row>
    <row r="7569" spans="153:170" x14ac:dyDescent="0.35">
      <c r="EW7569" s="48"/>
      <c r="FB7569" s="5"/>
      <c r="FI7569" s="5"/>
      <c r="FJ7569" s="164"/>
      <c r="FL7569" s="2"/>
      <c r="FN7569" s="2"/>
    </row>
    <row r="7570" spans="153:170" x14ac:dyDescent="0.35">
      <c r="EW7570" s="48"/>
      <c r="FB7570" s="5"/>
      <c r="FI7570" s="5"/>
      <c r="FJ7570" s="164"/>
      <c r="FL7570" s="2"/>
      <c r="FN7570" s="2"/>
    </row>
    <row r="7571" spans="153:170" x14ac:dyDescent="0.35">
      <c r="EW7571" s="48"/>
      <c r="FB7571" s="5"/>
      <c r="FI7571" s="5"/>
      <c r="FJ7571" s="164"/>
      <c r="FL7571" s="2"/>
      <c r="FN7571" s="2"/>
    </row>
    <row r="7572" spans="153:170" x14ac:dyDescent="0.35">
      <c r="EW7572" s="48"/>
      <c r="FB7572" s="5"/>
      <c r="FI7572" s="5"/>
      <c r="FJ7572" s="164"/>
      <c r="FL7572" s="2"/>
      <c r="FN7572" s="2"/>
    </row>
    <row r="7573" spans="153:170" x14ac:dyDescent="0.35">
      <c r="EW7573" s="48"/>
      <c r="FB7573" s="5"/>
      <c r="FI7573" s="5"/>
      <c r="FJ7573" s="164"/>
      <c r="FL7573" s="2"/>
      <c r="FN7573" s="2"/>
    </row>
    <row r="7574" spans="153:170" x14ac:dyDescent="0.35">
      <c r="EW7574" s="48"/>
      <c r="FB7574" s="5"/>
      <c r="FI7574" s="5"/>
      <c r="FJ7574" s="164"/>
      <c r="FL7574" s="2"/>
      <c r="FN7574" s="2"/>
    </row>
    <row r="7575" spans="153:170" x14ac:dyDescent="0.35">
      <c r="EW7575" s="48"/>
      <c r="FB7575" s="5"/>
      <c r="FI7575" s="5"/>
      <c r="FJ7575" s="164"/>
      <c r="FL7575" s="2"/>
      <c r="FN7575" s="2"/>
    </row>
    <row r="7576" spans="153:170" x14ac:dyDescent="0.35">
      <c r="EW7576" s="48"/>
      <c r="FB7576" s="5"/>
      <c r="FI7576" s="5"/>
      <c r="FJ7576" s="164"/>
      <c r="FL7576" s="2"/>
      <c r="FN7576" s="2"/>
    </row>
    <row r="7577" spans="153:170" x14ac:dyDescent="0.35">
      <c r="EW7577" s="48"/>
      <c r="FB7577" s="5"/>
      <c r="FI7577" s="5"/>
      <c r="FJ7577" s="164"/>
      <c r="FL7577" s="2"/>
      <c r="FN7577" s="2"/>
    </row>
    <row r="7578" spans="153:170" x14ac:dyDescent="0.35">
      <c r="EW7578" s="48"/>
      <c r="FB7578" s="5"/>
      <c r="FI7578" s="5"/>
      <c r="FJ7578" s="164"/>
      <c r="FL7578" s="2"/>
      <c r="FN7578" s="2"/>
    </row>
    <row r="7579" spans="153:170" x14ac:dyDescent="0.35">
      <c r="EW7579" s="48"/>
      <c r="FB7579" s="5"/>
      <c r="FI7579" s="5"/>
      <c r="FJ7579" s="164"/>
      <c r="FL7579" s="2"/>
      <c r="FN7579" s="2"/>
    </row>
    <row r="7580" spans="153:170" x14ac:dyDescent="0.35">
      <c r="EW7580" s="48"/>
      <c r="FB7580" s="5"/>
      <c r="FI7580" s="5"/>
      <c r="FJ7580" s="164"/>
      <c r="FL7580" s="2"/>
      <c r="FN7580" s="2"/>
    </row>
    <row r="7581" spans="153:170" x14ac:dyDescent="0.35">
      <c r="EW7581" s="48"/>
      <c r="FB7581" s="5"/>
      <c r="FI7581" s="5"/>
      <c r="FJ7581" s="164"/>
      <c r="FL7581" s="2"/>
      <c r="FN7581" s="2"/>
    </row>
    <row r="7582" spans="153:170" x14ac:dyDescent="0.35">
      <c r="EW7582" s="48"/>
      <c r="FB7582" s="5"/>
      <c r="FI7582" s="5"/>
      <c r="FJ7582" s="164"/>
      <c r="FL7582" s="2"/>
      <c r="FN7582" s="2"/>
    </row>
    <row r="7583" spans="153:170" x14ac:dyDescent="0.35">
      <c r="EW7583" s="48"/>
      <c r="FB7583" s="5"/>
      <c r="FI7583" s="5"/>
      <c r="FJ7583" s="164"/>
      <c r="FL7583" s="2"/>
      <c r="FN7583" s="2"/>
    </row>
    <row r="7584" spans="153:170" x14ac:dyDescent="0.35">
      <c r="EW7584" s="48"/>
      <c r="FB7584" s="5"/>
      <c r="FI7584" s="5"/>
      <c r="FJ7584" s="164"/>
      <c r="FL7584" s="2"/>
      <c r="FN7584" s="2"/>
    </row>
    <row r="7585" spans="153:170" x14ac:dyDescent="0.35">
      <c r="EW7585" s="48"/>
      <c r="FB7585" s="5"/>
      <c r="FI7585" s="5"/>
      <c r="FJ7585" s="164"/>
      <c r="FL7585" s="2"/>
      <c r="FN7585" s="2"/>
    </row>
    <row r="7586" spans="153:170" x14ac:dyDescent="0.35">
      <c r="EW7586" s="48"/>
      <c r="FB7586" s="5"/>
      <c r="FI7586" s="5"/>
      <c r="FJ7586" s="164"/>
      <c r="FL7586" s="2"/>
      <c r="FN7586" s="2"/>
    </row>
    <row r="7587" spans="153:170" x14ac:dyDescent="0.35">
      <c r="EW7587" s="48"/>
      <c r="FB7587" s="5"/>
      <c r="FI7587" s="5"/>
      <c r="FJ7587" s="164"/>
      <c r="FL7587" s="2"/>
      <c r="FN7587" s="2"/>
    </row>
    <row r="7588" spans="153:170" x14ac:dyDescent="0.35">
      <c r="EW7588" s="48"/>
      <c r="FB7588" s="5"/>
      <c r="FI7588" s="5"/>
      <c r="FJ7588" s="164"/>
      <c r="FL7588" s="2"/>
      <c r="FN7588" s="2"/>
    </row>
    <row r="7589" spans="153:170" x14ac:dyDescent="0.35">
      <c r="EW7589" s="48"/>
      <c r="FB7589" s="5"/>
      <c r="FI7589" s="5"/>
      <c r="FJ7589" s="164"/>
      <c r="FL7589" s="2"/>
      <c r="FN7589" s="2"/>
    </row>
    <row r="7590" spans="153:170" x14ac:dyDescent="0.35">
      <c r="EW7590" s="48"/>
      <c r="FB7590" s="5"/>
      <c r="FI7590" s="5"/>
      <c r="FJ7590" s="164"/>
      <c r="FL7590" s="2"/>
      <c r="FN7590" s="2"/>
    </row>
    <row r="7591" spans="153:170" x14ac:dyDescent="0.35">
      <c r="EW7591" s="48"/>
      <c r="FB7591" s="5"/>
      <c r="FI7591" s="5"/>
      <c r="FJ7591" s="164"/>
      <c r="FL7591" s="2"/>
      <c r="FN7591" s="2"/>
    </row>
    <row r="7592" spans="153:170" x14ac:dyDescent="0.35">
      <c r="EW7592" s="48"/>
      <c r="FB7592" s="5"/>
      <c r="FI7592" s="5"/>
      <c r="FJ7592" s="164"/>
      <c r="FL7592" s="2"/>
      <c r="FN7592" s="2"/>
    </row>
    <row r="7593" spans="153:170" x14ac:dyDescent="0.35">
      <c r="EW7593" s="48"/>
      <c r="FB7593" s="5"/>
      <c r="FI7593" s="5"/>
      <c r="FJ7593" s="164"/>
      <c r="FL7593" s="2"/>
      <c r="FN7593" s="2"/>
    </row>
    <row r="7594" spans="153:170" x14ac:dyDescent="0.35">
      <c r="EW7594" s="48"/>
      <c r="FB7594" s="5"/>
      <c r="FI7594" s="5"/>
      <c r="FJ7594" s="164"/>
      <c r="FL7594" s="2"/>
      <c r="FN7594" s="2"/>
    </row>
    <row r="7595" spans="153:170" x14ac:dyDescent="0.35">
      <c r="EW7595" s="48"/>
      <c r="FB7595" s="5"/>
      <c r="FI7595" s="5"/>
      <c r="FJ7595" s="164"/>
      <c r="FL7595" s="2"/>
      <c r="FN7595" s="2"/>
    </row>
    <row r="7596" spans="153:170" x14ac:dyDescent="0.35">
      <c r="EW7596" s="48"/>
      <c r="FB7596" s="5"/>
      <c r="FI7596" s="5"/>
      <c r="FJ7596" s="164"/>
      <c r="FL7596" s="2"/>
      <c r="FN7596" s="2"/>
    </row>
    <row r="7597" spans="153:170" x14ac:dyDescent="0.35">
      <c r="EW7597" s="48"/>
      <c r="FB7597" s="5"/>
      <c r="FI7597" s="5"/>
      <c r="FJ7597" s="164"/>
      <c r="FL7597" s="2"/>
      <c r="FN7597" s="2"/>
    </row>
    <row r="7598" spans="153:170" x14ac:dyDescent="0.35">
      <c r="EW7598" s="48"/>
      <c r="FB7598" s="5"/>
      <c r="FI7598" s="5"/>
      <c r="FJ7598" s="164"/>
      <c r="FL7598" s="2"/>
      <c r="FN7598" s="2"/>
    </row>
    <row r="7599" spans="153:170" x14ac:dyDescent="0.35">
      <c r="EW7599" s="48"/>
      <c r="FB7599" s="5"/>
      <c r="FI7599" s="5"/>
      <c r="FJ7599" s="164"/>
      <c r="FL7599" s="2"/>
      <c r="FN7599" s="2"/>
    </row>
    <row r="7600" spans="153:170" x14ac:dyDescent="0.35">
      <c r="EW7600" s="48"/>
      <c r="FB7600" s="5"/>
      <c r="FI7600" s="5"/>
      <c r="FJ7600" s="164"/>
      <c r="FL7600" s="2"/>
      <c r="FN7600" s="2"/>
    </row>
    <row r="7601" spans="153:170" x14ac:dyDescent="0.35">
      <c r="EW7601" s="48"/>
      <c r="FB7601" s="5"/>
      <c r="FI7601" s="5"/>
      <c r="FJ7601" s="164"/>
      <c r="FL7601" s="2"/>
      <c r="FN7601" s="2"/>
    </row>
    <row r="7602" spans="153:170" x14ac:dyDescent="0.35">
      <c r="EW7602" s="48"/>
      <c r="FB7602" s="5"/>
      <c r="FI7602" s="5"/>
      <c r="FJ7602" s="164"/>
      <c r="FL7602" s="2"/>
      <c r="FN7602" s="2"/>
    </row>
    <row r="7603" spans="153:170" x14ac:dyDescent="0.35">
      <c r="EW7603" s="48"/>
      <c r="FB7603" s="5"/>
      <c r="FI7603" s="5"/>
      <c r="FJ7603" s="164"/>
      <c r="FL7603" s="2"/>
      <c r="FN7603" s="2"/>
    </row>
    <row r="7604" spans="153:170" x14ac:dyDescent="0.35">
      <c r="EW7604" s="48"/>
      <c r="FB7604" s="5"/>
      <c r="FI7604" s="5"/>
      <c r="FJ7604" s="164"/>
      <c r="FL7604" s="2"/>
      <c r="FN7604" s="2"/>
    </row>
    <row r="7605" spans="153:170" x14ac:dyDescent="0.35">
      <c r="EW7605" s="48"/>
      <c r="FB7605" s="5"/>
      <c r="FI7605" s="5"/>
      <c r="FJ7605" s="164"/>
      <c r="FL7605" s="2"/>
      <c r="FN7605" s="2"/>
    </row>
    <row r="7606" spans="153:170" x14ac:dyDescent="0.35">
      <c r="EW7606" s="48"/>
      <c r="FB7606" s="5"/>
      <c r="FI7606" s="5"/>
      <c r="FJ7606" s="164"/>
      <c r="FL7606" s="2"/>
      <c r="FN7606" s="2"/>
    </row>
    <row r="7607" spans="153:170" x14ac:dyDescent="0.35">
      <c r="EW7607" s="48"/>
      <c r="FB7607" s="5"/>
      <c r="FI7607" s="5"/>
      <c r="FJ7607" s="164"/>
      <c r="FL7607" s="2"/>
      <c r="FN7607" s="2"/>
    </row>
    <row r="7608" spans="153:170" x14ac:dyDescent="0.35">
      <c r="EW7608" s="48"/>
      <c r="FB7608" s="5"/>
      <c r="FI7608" s="5"/>
      <c r="FJ7608" s="164"/>
      <c r="FL7608" s="2"/>
      <c r="FN7608" s="2"/>
    </row>
    <row r="7609" spans="153:170" x14ac:dyDescent="0.35">
      <c r="EW7609" s="48"/>
      <c r="FB7609" s="5"/>
      <c r="FI7609" s="5"/>
      <c r="FJ7609" s="164"/>
      <c r="FL7609" s="2"/>
      <c r="FN7609" s="2"/>
    </row>
    <row r="7610" spans="153:170" x14ac:dyDescent="0.35">
      <c r="EW7610" s="48"/>
      <c r="FB7610" s="5"/>
      <c r="FI7610" s="5"/>
      <c r="FJ7610" s="164"/>
      <c r="FL7610" s="2"/>
      <c r="FN7610" s="2"/>
    </row>
    <row r="7611" spans="153:170" x14ac:dyDescent="0.35">
      <c r="EW7611" s="48"/>
      <c r="FB7611" s="5"/>
      <c r="FI7611" s="5"/>
      <c r="FJ7611" s="164"/>
      <c r="FL7611" s="2"/>
      <c r="FN7611" s="2"/>
    </row>
    <row r="7612" spans="153:170" x14ac:dyDescent="0.35">
      <c r="EW7612" s="48"/>
      <c r="FB7612" s="5"/>
      <c r="FI7612" s="5"/>
      <c r="FJ7612" s="164"/>
      <c r="FL7612" s="2"/>
      <c r="FN7612" s="2"/>
    </row>
    <row r="7613" spans="153:170" x14ac:dyDescent="0.35">
      <c r="EW7613" s="48"/>
      <c r="FB7613" s="5"/>
      <c r="FI7613" s="5"/>
      <c r="FJ7613" s="164"/>
      <c r="FL7613" s="2"/>
      <c r="FN7613" s="2"/>
    </row>
    <row r="7614" spans="153:170" x14ac:dyDescent="0.35">
      <c r="EW7614" s="48"/>
      <c r="FB7614" s="5"/>
      <c r="FI7614" s="5"/>
      <c r="FJ7614" s="164"/>
      <c r="FL7614" s="2"/>
      <c r="FN7614" s="2"/>
    </row>
    <row r="7615" spans="153:170" x14ac:dyDescent="0.35">
      <c r="EW7615" s="48"/>
      <c r="FB7615" s="5"/>
      <c r="FI7615" s="5"/>
      <c r="FJ7615" s="164"/>
      <c r="FL7615" s="2"/>
      <c r="FN7615" s="2"/>
    </row>
    <row r="7616" spans="153:170" x14ac:dyDescent="0.35">
      <c r="EW7616" s="48"/>
      <c r="FB7616" s="5"/>
      <c r="FI7616" s="5"/>
      <c r="FJ7616" s="164"/>
      <c r="FL7616" s="2"/>
      <c r="FN7616" s="2"/>
    </row>
    <row r="7617" spans="153:170" x14ac:dyDescent="0.35">
      <c r="EW7617" s="48"/>
      <c r="FB7617" s="5"/>
      <c r="FI7617" s="5"/>
      <c r="FJ7617" s="164"/>
      <c r="FL7617" s="2"/>
      <c r="FN7617" s="2"/>
    </row>
    <row r="7618" spans="153:170" x14ac:dyDescent="0.35">
      <c r="EW7618" s="48"/>
      <c r="FB7618" s="5"/>
      <c r="FI7618" s="5"/>
      <c r="FJ7618" s="164"/>
      <c r="FL7618" s="2"/>
      <c r="FN7618" s="2"/>
    </row>
    <row r="7619" spans="153:170" x14ac:dyDescent="0.35">
      <c r="EW7619" s="48"/>
      <c r="FB7619" s="5"/>
      <c r="FI7619" s="5"/>
      <c r="FJ7619" s="164"/>
      <c r="FL7619" s="2"/>
      <c r="FN7619" s="2"/>
    </row>
    <row r="7620" spans="153:170" x14ac:dyDescent="0.35">
      <c r="EW7620" s="48"/>
      <c r="FB7620" s="5"/>
      <c r="FI7620" s="5"/>
      <c r="FJ7620" s="164"/>
      <c r="FL7620" s="2"/>
      <c r="FN7620" s="2"/>
    </row>
    <row r="7621" spans="153:170" x14ac:dyDescent="0.35">
      <c r="EW7621" s="48"/>
      <c r="FB7621" s="5"/>
      <c r="FI7621" s="5"/>
      <c r="FJ7621" s="164"/>
      <c r="FL7621" s="2"/>
      <c r="FN7621" s="2"/>
    </row>
    <row r="7622" spans="153:170" x14ac:dyDescent="0.35">
      <c r="EW7622" s="48"/>
      <c r="FB7622" s="5"/>
      <c r="FI7622" s="5"/>
      <c r="FJ7622" s="164"/>
      <c r="FL7622" s="2"/>
      <c r="FN7622" s="2"/>
    </row>
    <row r="7623" spans="153:170" x14ac:dyDescent="0.35">
      <c r="EW7623" s="48"/>
      <c r="FB7623" s="5"/>
      <c r="FI7623" s="5"/>
      <c r="FJ7623" s="164"/>
      <c r="FL7623" s="2"/>
      <c r="FN7623" s="2"/>
    </row>
    <row r="7624" spans="153:170" x14ac:dyDescent="0.35">
      <c r="EW7624" s="48"/>
      <c r="FB7624" s="5"/>
      <c r="FI7624" s="5"/>
      <c r="FJ7624" s="164"/>
      <c r="FL7624" s="2"/>
      <c r="FN7624" s="2"/>
    </row>
    <row r="7625" spans="153:170" x14ac:dyDescent="0.35">
      <c r="EW7625" s="48"/>
      <c r="FB7625" s="5"/>
      <c r="FI7625" s="5"/>
      <c r="FJ7625" s="164"/>
      <c r="FL7625" s="2"/>
      <c r="FN7625" s="2"/>
    </row>
    <row r="7626" spans="153:170" x14ac:dyDescent="0.35">
      <c r="EW7626" s="48"/>
      <c r="FB7626" s="5"/>
      <c r="FI7626" s="5"/>
      <c r="FJ7626" s="164"/>
      <c r="FL7626" s="2"/>
      <c r="FN7626" s="2"/>
    </row>
    <row r="7627" spans="153:170" x14ac:dyDescent="0.35">
      <c r="EW7627" s="48"/>
      <c r="FB7627" s="5"/>
      <c r="FI7627" s="5"/>
      <c r="FJ7627" s="164"/>
      <c r="FL7627" s="2"/>
      <c r="FN7627" s="2"/>
    </row>
    <row r="7628" spans="153:170" x14ac:dyDescent="0.35">
      <c r="EW7628" s="48"/>
      <c r="FB7628" s="5"/>
      <c r="FI7628" s="5"/>
      <c r="FJ7628" s="164"/>
      <c r="FL7628" s="2"/>
      <c r="FN7628" s="2"/>
    </row>
    <row r="7629" spans="153:170" x14ac:dyDescent="0.35">
      <c r="EW7629" s="48"/>
      <c r="FB7629" s="5"/>
      <c r="FI7629" s="5"/>
      <c r="FJ7629" s="164"/>
      <c r="FL7629" s="2"/>
      <c r="FN7629" s="2"/>
    </row>
    <row r="7630" spans="153:170" x14ac:dyDescent="0.35">
      <c r="EW7630" s="48"/>
      <c r="FB7630" s="5"/>
      <c r="FI7630" s="5"/>
      <c r="FJ7630" s="164"/>
      <c r="FL7630" s="2"/>
      <c r="FN7630" s="2"/>
    </row>
    <row r="7631" spans="153:170" x14ac:dyDescent="0.35">
      <c r="EW7631" s="48"/>
      <c r="FB7631" s="5"/>
      <c r="FI7631" s="5"/>
      <c r="FJ7631" s="164"/>
      <c r="FL7631" s="2"/>
      <c r="FN7631" s="2"/>
    </row>
    <row r="7632" spans="153:170" x14ac:dyDescent="0.35">
      <c r="EW7632" s="48"/>
      <c r="FB7632" s="5"/>
      <c r="FI7632" s="5"/>
      <c r="FJ7632" s="164"/>
      <c r="FL7632" s="2"/>
      <c r="FN7632" s="2"/>
    </row>
    <row r="7633" spans="153:170" x14ac:dyDescent="0.35">
      <c r="EW7633" s="48"/>
      <c r="FB7633" s="5"/>
      <c r="FI7633" s="5"/>
      <c r="FJ7633" s="164"/>
      <c r="FL7633" s="2"/>
      <c r="FN7633" s="2"/>
    </row>
    <row r="7634" spans="153:170" x14ac:dyDescent="0.35">
      <c r="EW7634" s="48"/>
      <c r="FB7634" s="5"/>
      <c r="FI7634" s="5"/>
      <c r="FJ7634" s="164"/>
      <c r="FL7634" s="2"/>
      <c r="FN7634" s="2"/>
    </row>
    <row r="7635" spans="153:170" x14ac:dyDescent="0.35">
      <c r="EW7635" s="48"/>
      <c r="FB7635" s="5"/>
      <c r="FI7635" s="5"/>
      <c r="FJ7635" s="164"/>
      <c r="FL7635" s="2"/>
      <c r="FN7635" s="2"/>
    </row>
    <row r="7636" spans="153:170" x14ac:dyDescent="0.35">
      <c r="EW7636" s="48"/>
      <c r="FB7636" s="5"/>
      <c r="FI7636" s="5"/>
      <c r="FJ7636" s="164"/>
      <c r="FL7636" s="2"/>
      <c r="FN7636" s="2"/>
    </row>
    <row r="7637" spans="153:170" x14ac:dyDescent="0.35">
      <c r="EW7637" s="48"/>
      <c r="FB7637" s="5"/>
      <c r="FI7637" s="5"/>
      <c r="FJ7637" s="164"/>
      <c r="FL7637" s="2"/>
      <c r="FN7637" s="2"/>
    </row>
    <row r="7638" spans="153:170" x14ac:dyDescent="0.35">
      <c r="EW7638" s="48"/>
      <c r="FB7638" s="5"/>
      <c r="FI7638" s="5"/>
      <c r="FJ7638" s="164"/>
      <c r="FL7638" s="2"/>
      <c r="FN7638" s="2"/>
    </row>
    <row r="7639" spans="153:170" x14ac:dyDescent="0.35">
      <c r="EW7639" s="48"/>
      <c r="FB7639" s="5"/>
      <c r="FI7639" s="5"/>
      <c r="FJ7639" s="164"/>
      <c r="FL7639" s="2"/>
      <c r="FN7639" s="2"/>
    </row>
    <row r="7640" spans="153:170" x14ac:dyDescent="0.35">
      <c r="EW7640" s="48"/>
      <c r="FB7640" s="5"/>
      <c r="FI7640" s="5"/>
      <c r="FJ7640" s="164"/>
      <c r="FL7640" s="2"/>
      <c r="FN7640" s="2"/>
    </row>
    <row r="7641" spans="153:170" x14ac:dyDescent="0.35">
      <c r="EW7641" s="48"/>
      <c r="FB7641" s="5"/>
      <c r="FI7641" s="5"/>
      <c r="FJ7641" s="164"/>
      <c r="FL7641" s="2"/>
      <c r="FN7641" s="2"/>
    </row>
    <row r="7642" spans="153:170" x14ac:dyDescent="0.35">
      <c r="EW7642" s="48"/>
      <c r="FB7642" s="5"/>
      <c r="FI7642" s="5"/>
      <c r="FJ7642" s="164"/>
      <c r="FL7642" s="2"/>
      <c r="FN7642" s="2"/>
    </row>
    <row r="7643" spans="153:170" x14ac:dyDescent="0.35">
      <c r="EW7643" s="48"/>
      <c r="FB7643" s="5"/>
      <c r="FI7643" s="5"/>
      <c r="FJ7643" s="164"/>
      <c r="FL7643" s="2"/>
      <c r="FN7643" s="2"/>
    </row>
    <row r="7644" spans="153:170" x14ac:dyDescent="0.35">
      <c r="EW7644" s="48"/>
      <c r="FB7644" s="5"/>
      <c r="FI7644" s="5"/>
      <c r="FJ7644" s="164"/>
      <c r="FL7644" s="2"/>
      <c r="FN7644" s="2"/>
    </row>
    <row r="7645" spans="153:170" x14ac:dyDescent="0.35">
      <c r="EW7645" s="48"/>
      <c r="FB7645" s="5"/>
      <c r="FI7645" s="5"/>
      <c r="FJ7645" s="164"/>
      <c r="FL7645" s="2"/>
      <c r="FN7645" s="2"/>
    </row>
    <row r="7646" spans="153:170" x14ac:dyDescent="0.35">
      <c r="EW7646" s="48"/>
      <c r="FB7646" s="5"/>
      <c r="FI7646" s="5"/>
      <c r="FJ7646" s="164"/>
      <c r="FL7646" s="2"/>
      <c r="FN7646" s="2"/>
    </row>
    <row r="7647" spans="153:170" x14ac:dyDescent="0.35">
      <c r="EW7647" s="48"/>
      <c r="FB7647" s="5"/>
      <c r="FI7647" s="5"/>
      <c r="FJ7647" s="164"/>
      <c r="FL7647" s="2"/>
      <c r="FN7647" s="2"/>
    </row>
    <row r="7648" spans="153:170" x14ac:dyDescent="0.35">
      <c r="EW7648" s="48"/>
      <c r="FB7648" s="5"/>
      <c r="FI7648" s="5"/>
      <c r="FJ7648" s="164"/>
      <c r="FL7648" s="2"/>
      <c r="FN7648" s="2"/>
    </row>
    <row r="7649" spans="153:170" x14ac:dyDescent="0.35">
      <c r="EW7649" s="48"/>
      <c r="FB7649" s="5"/>
      <c r="FI7649" s="5"/>
      <c r="FJ7649" s="164"/>
      <c r="FL7649" s="2"/>
      <c r="FN7649" s="2"/>
    </row>
    <row r="7650" spans="153:170" x14ac:dyDescent="0.35">
      <c r="EW7650" s="48"/>
      <c r="FB7650" s="5"/>
      <c r="FI7650" s="5"/>
      <c r="FJ7650" s="164"/>
      <c r="FL7650" s="2"/>
      <c r="FN7650" s="2"/>
    </row>
    <row r="7651" spans="153:170" x14ac:dyDescent="0.35">
      <c r="EW7651" s="48"/>
      <c r="FB7651" s="5"/>
      <c r="FI7651" s="5"/>
      <c r="FJ7651" s="164"/>
      <c r="FL7651" s="2"/>
      <c r="FN7651" s="2"/>
    </row>
    <row r="7652" spans="153:170" x14ac:dyDescent="0.35">
      <c r="EW7652" s="48"/>
      <c r="FB7652" s="5"/>
      <c r="FI7652" s="5"/>
      <c r="FJ7652" s="164"/>
      <c r="FL7652" s="2"/>
      <c r="FN7652" s="2"/>
    </row>
    <row r="7653" spans="153:170" x14ac:dyDescent="0.35">
      <c r="EW7653" s="48"/>
      <c r="FB7653" s="5"/>
      <c r="FI7653" s="5"/>
      <c r="FJ7653" s="164"/>
      <c r="FL7653" s="2"/>
      <c r="FN7653" s="2"/>
    </row>
    <row r="7654" spans="153:170" x14ac:dyDescent="0.35">
      <c r="EW7654" s="48"/>
      <c r="FB7654" s="5"/>
      <c r="FI7654" s="5"/>
      <c r="FJ7654" s="164"/>
      <c r="FL7654" s="2"/>
      <c r="FN7654" s="2"/>
    </row>
    <row r="7655" spans="153:170" x14ac:dyDescent="0.35">
      <c r="EW7655" s="48"/>
      <c r="FB7655" s="5"/>
      <c r="FI7655" s="5"/>
      <c r="FJ7655" s="164"/>
      <c r="FL7655" s="2"/>
      <c r="FN7655" s="2"/>
    </row>
    <row r="7656" spans="153:170" x14ac:dyDescent="0.35">
      <c r="EW7656" s="48"/>
      <c r="FB7656" s="5"/>
      <c r="FI7656" s="5"/>
      <c r="FJ7656" s="164"/>
      <c r="FL7656" s="2"/>
      <c r="FN7656" s="2"/>
    </row>
    <row r="7657" spans="153:170" x14ac:dyDescent="0.35">
      <c r="EW7657" s="48"/>
      <c r="FB7657" s="5"/>
      <c r="FI7657" s="5"/>
      <c r="FJ7657" s="164"/>
      <c r="FL7657" s="2"/>
      <c r="FN7657" s="2"/>
    </row>
    <row r="7658" spans="153:170" x14ac:dyDescent="0.35">
      <c r="EW7658" s="48"/>
      <c r="FB7658" s="5"/>
      <c r="FI7658" s="5"/>
      <c r="FJ7658" s="164"/>
      <c r="FL7658" s="2"/>
      <c r="FN7658" s="2"/>
    </row>
    <row r="7659" spans="153:170" x14ac:dyDescent="0.35">
      <c r="EW7659" s="48"/>
      <c r="FB7659" s="5"/>
      <c r="FI7659" s="5"/>
      <c r="FJ7659" s="164"/>
      <c r="FL7659" s="2"/>
      <c r="FN7659" s="2"/>
    </row>
    <row r="7660" spans="153:170" x14ac:dyDescent="0.35">
      <c r="EW7660" s="48"/>
      <c r="FB7660" s="5"/>
      <c r="FI7660" s="5"/>
      <c r="FJ7660" s="164"/>
      <c r="FL7660" s="2"/>
      <c r="FN7660" s="2"/>
    </row>
    <row r="7661" spans="153:170" x14ac:dyDescent="0.35">
      <c r="EW7661" s="48"/>
      <c r="FB7661" s="5"/>
      <c r="FI7661" s="5"/>
      <c r="FJ7661" s="164"/>
      <c r="FL7661" s="2"/>
      <c r="FN7661" s="2"/>
    </row>
    <row r="7662" spans="153:170" x14ac:dyDescent="0.35">
      <c r="EW7662" s="48"/>
      <c r="FB7662" s="5"/>
      <c r="FI7662" s="5"/>
      <c r="FJ7662" s="164"/>
      <c r="FL7662" s="2"/>
      <c r="FN7662" s="2"/>
    </row>
    <row r="7663" spans="153:170" x14ac:dyDescent="0.35">
      <c r="EW7663" s="48"/>
      <c r="FB7663" s="5"/>
      <c r="FI7663" s="5"/>
      <c r="FJ7663" s="164"/>
      <c r="FL7663" s="2"/>
      <c r="FN7663" s="2"/>
    </row>
    <row r="7664" spans="153:170" x14ac:dyDescent="0.35">
      <c r="EW7664" s="48"/>
      <c r="FB7664" s="5"/>
      <c r="FI7664" s="5"/>
      <c r="FJ7664" s="164"/>
      <c r="FL7664" s="2"/>
      <c r="FN7664" s="2"/>
    </row>
    <row r="7665" spans="153:170" x14ac:dyDescent="0.35">
      <c r="EW7665" s="48"/>
      <c r="FB7665" s="5"/>
      <c r="FI7665" s="5"/>
      <c r="FJ7665" s="164"/>
      <c r="FL7665" s="2"/>
      <c r="FN7665" s="2"/>
    </row>
    <row r="7666" spans="153:170" x14ac:dyDescent="0.35">
      <c r="EW7666" s="48"/>
      <c r="FB7666" s="5"/>
      <c r="FI7666" s="5"/>
      <c r="FJ7666" s="164"/>
      <c r="FL7666" s="2"/>
      <c r="FN7666" s="2"/>
    </row>
    <row r="7667" spans="153:170" x14ac:dyDescent="0.35">
      <c r="EW7667" s="48"/>
      <c r="FB7667" s="5"/>
      <c r="FI7667" s="5"/>
      <c r="FJ7667" s="164"/>
      <c r="FL7667" s="2"/>
      <c r="FN7667" s="2"/>
    </row>
    <row r="7668" spans="153:170" x14ac:dyDescent="0.35">
      <c r="EW7668" s="48"/>
      <c r="FB7668" s="5"/>
      <c r="FI7668" s="5"/>
      <c r="FJ7668" s="164"/>
      <c r="FL7668" s="2"/>
      <c r="FN7668" s="2"/>
    </row>
    <row r="7669" spans="153:170" x14ac:dyDescent="0.35">
      <c r="EW7669" s="48"/>
      <c r="FB7669" s="5"/>
      <c r="FI7669" s="5"/>
      <c r="FJ7669" s="164"/>
      <c r="FL7669" s="2"/>
      <c r="FN7669" s="2"/>
    </row>
    <row r="7670" spans="153:170" x14ac:dyDescent="0.35">
      <c r="EW7670" s="48"/>
      <c r="FB7670" s="5"/>
      <c r="FI7670" s="5"/>
      <c r="FJ7670" s="164"/>
      <c r="FL7670" s="2"/>
      <c r="FN7670" s="2"/>
    </row>
    <row r="7671" spans="153:170" x14ac:dyDescent="0.35">
      <c r="EW7671" s="48"/>
      <c r="FB7671" s="5"/>
      <c r="FI7671" s="5"/>
      <c r="FJ7671" s="164"/>
      <c r="FL7671" s="2"/>
      <c r="FN7671" s="2"/>
    </row>
    <row r="7672" spans="153:170" x14ac:dyDescent="0.35">
      <c r="EW7672" s="48"/>
      <c r="FB7672" s="5"/>
      <c r="FI7672" s="5"/>
      <c r="FJ7672" s="164"/>
      <c r="FL7672" s="2"/>
      <c r="FN7672" s="2"/>
    </row>
    <row r="7673" spans="153:170" x14ac:dyDescent="0.35">
      <c r="EW7673" s="48"/>
      <c r="FB7673" s="5"/>
      <c r="FI7673" s="5"/>
      <c r="FJ7673" s="164"/>
      <c r="FL7673" s="2"/>
      <c r="FN7673" s="2"/>
    </row>
    <row r="7674" spans="153:170" x14ac:dyDescent="0.35">
      <c r="EW7674" s="48"/>
      <c r="FB7674" s="5"/>
      <c r="FI7674" s="5"/>
      <c r="FJ7674" s="164"/>
      <c r="FL7674" s="2"/>
      <c r="FN7674" s="2"/>
    </row>
    <row r="7675" spans="153:170" x14ac:dyDescent="0.35">
      <c r="EW7675" s="48"/>
      <c r="FB7675" s="5"/>
      <c r="FI7675" s="5"/>
      <c r="FJ7675" s="164"/>
      <c r="FL7675" s="2"/>
      <c r="FN7675" s="2"/>
    </row>
    <row r="7676" spans="153:170" x14ac:dyDescent="0.35">
      <c r="EW7676" s="48"/>
      <c r="FB7676" s="5"/>
      <c r="FI7676" s="5"/>
      <c r="FJ7676" s="164"/>
      <c r="FL7676" s="2"/>
      <c r="FN7676" s="2"/>
    </row>
    <row r="7677" spans="153:170" x14ac:dyDescent="0.35">
      <c r="EW7677" s="48"/>
      <c r="FB7677" s="5"/>
      <c r="FI7677" s="5"/>
      <c r="FJ7677" s="164"/>
      <c r="FL7677" s="2"/>
      <c r="FN7677" s="2"/>
    </row>
    <row r="7678" spans="153:170" x14ac:dyDescent="0.35">
      <c r="EW7678" s="48"/>
      <c r="FB7678" s="5"/>
      <c r="FI7678" s="5"/>
      <c r="FJ7678" s="164"/>
      <c r="FL7678" s="2"/>
      <c r="FN7678" s="2"/>
    </row>
    <row r="7679" spans="153:170" x14ac:dyDescent="0.35">
      <c r="EW7679" s="48"/>
      <c r="FB7679" s="5"/>
      <c r="FI7679" s="5"/>
      <c r="FJ7679" s="164"/>
      <c r="FL7679" s="2"/>
      <c r="FN7679" s="2"/>
    </row>
    <row r="7680" spans="153:170" x14ac:dyDescent="0.35">
      <c r="EW7680" s="48"/>
      <c r="FB7680" s="5"/>
      <c r="FI7680" s="5"/>
      <c r="FJ7680" s="164"/>
      <c r="FL7680" s="2"/>
      <c r="FN7680" s="2"/>
    </row>
    <row r="7681" spans="153:170" x14ac:dyDescent="0.35">
      <c r="EW7681" s="48"/>
      <c r="FB7681" s="5"/>
      <c r="FI7681" s="5"/>
      <c r="FJ7681" s="164"/>
      <c r="FL7681" s="2"/>
      <c r="FN7681" s="2"/>
    </row>
    <row r="7682" spans="153:170" x14ac:dyDescent="0.35">
      <c r="EW7682" s="48"/>
      <c r="FB7682" s="5"/>
      <c r="FI7682" s="5"/>
      <c r="FJ7682" s="164"/>
      <c r="FL7682" s="2"/>
      <c r="FN7682" s="2"/>
    </row>
    <row r="7683" spans="153:170" x14ac:dyDescent="0.35">
      <c r="EW7683" s="48"/>
      <c r="FB7683" s="5"/>
      <c r="FI7683" s="5"/>
      <c r="FJ7683" s="164"/>
      <c r="FL7683" s="2"/>
      <c r="FN7683" s="2"/>
    </row>
    <row r="7684" spans="153:170" x14ac:dyDescent="0.35">
      <c r="EW7684" s="48"/>
      <c r="FB7684" s="5"/>
      <c r="FI7684" s="5"/>
      <c r="FJ7684" s="164"/>
      <c r="FL7684" s="2"/>
      <c r="FN7684" s="2"/>
    </row>
    <row r="7685" spans="153:170" x14ac:dyDescent="0.35">
      <c r="EW7685" s="48"/>
      <c r="FB7685" s="5"/>
      <c r="FI7685" s="5"/>
      <c r="FJ7685" s="164"/>
      <c r="FL7685" s="2"/>
      <c r="FN7685" s="2"/>
    </row>
    <row r="7686" spans="153:170" x14ac:dyDescent="0.35">
      <c r="EW7686" s="48"/>
      <c r="FB7686" s="5"/>
      <c r="FI7686" s="5"/>
      <c r="FJ7686" s="164"/>
      <c r="FL7686" s="2"/>
      <c r="FN7686" s="2"/>
    </row>
    <row r="7687" spans="153:170" x14ac:dyDescent="0.35">
      <c r="EW7687" s="48"/>
      <c r="FB7687" s="5"/>
      <c r="FI7687" s="5"/>
      <c r="FJ7687" s="164"/>
      <c r="FL7687" s="2"/>
      <c r="FN7687" s="2"/>
    </row>
    <row r="7688" spans="153:170" x14ac:dyDescent="0.35">
      <c r="EW7688" s="48"/>
      <c r="FB7688" s="5"/>
      <c r="FI7688" s="5"/>
      <c r="FJ7688" s="164"/>
      <c r="FL7688" s="2"/>
      <c r="FN7688" s="2"/>
    </row>
    <row r="7689" spans="153:170" x14ac:dyDescent="0.35">
      <c r="EW7689" s="48"/>
      <c r="FB7689" s="5"/>
      <c r="FI7689" s="5"/>
      <c r="FJ7689" s="164"/>
      <c r="FL7689" s="2"/>
      <c r="FN7689" s="2"/>
    </row>
    <row r="7690" spans="153:170" x14ac:dyDescent="0.35">
      <c r="EW7690" s="48"/>
      <c r="FB7690" s="5"/>
      <c r="FI7690" s="5"/>
      <c r="FJ7690" s="164"/>
      <c r="FL7690" s="2"/>
      <c r="FN7690" s="2"/>
    </row>
    <row r="7691" spans="153:170" x14ac:dyDescent="0.35">
      <c r="EW7691" s="48"/>
      <c r="FB7691" s="5"/>
      <c r="FI7691" s="5"/>
      <c r="FJ7691" s="164"/>
      <c r="FL7691" s="2"/>
      <c r="FN7691" s="2"/>
    </row>
    <row r="7692" spans="153:170" x14ac:dyDescent="0.35">
      <c r="EW7692" s="48"/>
      <c r="FB7692" s="5"/>
      <c r="FI7692" s="5"/>
      <c r="FJ7692" s="164"/>
      <c r="FL7692" s="2"/>
      <c r="FN7692" s="2"/>
    </row>
    <row r="7693" spans="153:170" x14ac:dyDescent="0.35">
      <c r="EW7693" s="48"/>
      <c r="FB7693" s="5"/>
      <c r="FI7693" s="5"/>
      <c r="FJ7693" s="164"/>
      <c r="FL7693" s="2"/>
      <c r="FN7693" s="2"/>
    </row>
    <row r="7694" spans="153:170" x14ac:dyDescent="0.35">
      <c r="EW7694" s="48"/>
      <c r="FB7694" s="5"/>
      <c r="FI7694" s="5"/>
      <c r="FJ7694" s="164"/>
      <c r="FL7694" s="2"/>
      <c r="FN7694" s="2"/>
    </row>
    <row r="7695" spans="153:170" x14ac:dyDescent="0.35">
      <c r="EW7695" s="48"/>
      <c r="FB7695" s="5"/>
      <c r="FI7695" s="5"/>
      <c r="FJ7695" s="164"/>
      <c r="FL7695" s="2"/>
      <c r="FN7695" s="2"/>
    </row>
    <row r="7696" spans="153:170" x14ac:dyDescent="0.35">
      <c r="EW7696" s="48"/>
      <c r="FB7696" s="5"/>
      <c r="FI7696" s="5"/>
      <c r="FJ7696" s="164"/>
      <c r="FL7696" s="2"/>
      <c r="FN7696" s="2"/>
    </row>
    <row r="7697" spans="153:170" x14ac:dyDescent="0.35">
      <c r="EW7697" s="48"/>
      <c r="FB7697" s="5"/>
      <c r="FI7697" s="5"/>
      <c r="FJ7697" s="164"/>
      <c r="FL7697" s="2"/>
      <c r="FN7697" s="2"/>
    </row>
    <row r="7698" spans="153:170" x14ac:dyDescent="0.35">
      <c r="EW7698" s="48"/>
      <c r="FB7698" s="5"/>
      <c r="FI7698" s="5"/>
      <c r="FJ7698" s="164"/>
      <c r="FL7698" s="2"/>
      <c r="FN7698" s="2"/>
    </row>
    <row r="7699" spans="153:170" x14ac:dyDescent="0.35">
      <c r="EW7699" s="48"/>
      <c r="FB7699" s="5"/>
      <c r="FI7699" s="5"/>
      <c r="FJ7699" s="164"/>
      <c r="FL7699" s="2"/>
      <c r="FN7699" s="2"/>
    </row>
    <row r="7700" spans="153:170" x14ac:dyDescent="0.35">
      <c r="EW7700" s="48"/>
      <c r="FB7700" s="5"/>
      <c r="FI7700" s="5"/>
      <c r="FJ7700" s="164"/>
      <c r="FL7700" s="2"/>
      <c r="FN7700" s="2"/>
    </row>
    <row r="7701" spans="153:170" x14ac:dyDescent="0.35">
      <c r="EW7701" s="48"/>
      <c r="FB7701" s="5"/>
      <c r="FI7701" s="5"/>
      <c r="FJ7701" s="164"/>
      <c r="FL7701" s="2"/>
      <c r="FN7701" s="2"/>
    </row>
    <row r="7702" spans="153:170" x14ac:dyDescent="0.35">
      <c r="EW7702" s="48"/>
      <c r="FB7702" s="5"/>
      <c r="FI7702" s="5"/>
      <c r="FJ7702" s="164"/>
      <c r="FL7702" s="2"/>
      <c r="FN7702" s="2"/>
    </row>
    <row r="7703" spans="153:170" x14ac:dyDescent="0.35">
      <c r="EW7703" s="48"/>
      <c r="FB7703" s="5"/>
      <c r="FI7703" s="5"/>
      <c r="FJ7703" s="164"/>
      <c r="FL7703" s="2"/>
      <c r="FN7703" s="2"/>
    </row>
    <row r="7704" spans="153:170" x14ac:dyDescent="0.35">
      <c r="EW7704" s="48"/>
      <c r="FB7704" s="5"/>
      <c r="FI7704" s="5"/>
      <c r="FJ7704" s="164"/>
      <c r="FL7704" s="2"/>
      <c r="FN7704" s="2"/>
    </row>
    <row r="7705" spans="153:170" x14ac:dyDescent="0.35">
      <c r="EW7705" s="48"/>
      <c r="FB7705" s="5"/>
      <c r="FI7705" s="5"/>
      <c r="FJ7705" s="164"/>
      <c r="FL7705" s="2"/>
      <c r="FN7705" s="2"/>
    </row>
    <row r="7706" spans="153:170" x14ac:dyDescent="0.35">
      <c r="EW7706" s="48"/>
      <c r="FB7706" s="5"/>
      <c r="FI7706" s="5"/>
      <c r="FJ7706" s="164"/>
      <c r="FL7706" s="2"/>
      <c r="FN7706" s="2"/>
    </row>
    <row r="7707" spans="153:170" x14ac:dyDescent="0.35">
      <c r="EW7707" s="48"/>
      <c r="FB7707" s="5"/>
      <c r="FI7707" s="5"/>
      <c r="FJ7707" s="164"/>
      <c r="FL7707" s="2"/>
      <c r="FN7707" s="2"/>
    </row>
    <row r="7708" spans="153:170" x14ac:dyDescent="0.35">
      <c r="EW7708" s="48"/>
      <c r="FB7708" s="5"/>
      <c r="FI7708" s="5"/>
      <c r="FJ7708" s="164"/>
      <c r="FL7708" s="2"/>
      <c r="FN7708" s="2"/>
    </row>
    <row r="7709" spans="153:170" x14ac:dyDescent="0.35">
      <c r="EW7709" s="48"/>
      <c r="FB7709" s="5"/>
      <c r="FI7709" s="5"/>
      <c r="FJ7709" s="164"/>
      <c r="FL7709" s="2"/>
      <c r="FN7709" s="2"/>
    </row>
    <row r="7710" spans="153:170" x14ac:dyDescent="0.35">
      <c r="EW7710" s="48"/>
      <c r="FB7710" s="5"/>
      <c r="FI7710" s="5"/>
      <c r="FJ7710" s="164"/>
      <c r="FL7710" s="2"/>
      <c r="FN7710" s="2"/>
    </row>
    <row r="7711" spans="153:170" x14ac:dyDescent="0.35">
      <c r="EW7711" s="48"/>
      <c r="FB7711" s="5"/>
      <c r="FI7711" s="5"/>
      <c r="FJ7711" s="164"/>
      <c r="FL7711" s="2"/>
      <c r="FN7711" s="2"/>
    </row>
    <row r="7712" spans="153:170" x14ac:dyDescent="0.35">
      <c r="EW7712" s="48"/>
      <c r="FB7712" s="5"/>
      <c r="FI7712" s="5"/>
      <c r="FJ7712" s="164"/>
      <c r="FL7712" s="2"/>
      <c r="FN7712" s="2"/>
    </row>
    <row r="7713" spans="153:170" x14ac:dyDescent="0.35">
      <c r="EW7713" s="48"/>
      <c r="FB7713" s="5"/>
      <c r="FI7713" s="5"/>
      <c r="FJ7713" s="164"/>
      <c r="FL7713" s="2"/>
      <c r="FN7713" s="2"/>
    </row>
    <row r="7714" spans="153:170" x14ac:dyDescent="0.35">
      <c r="EW7714" s="48"/>
      <c r="FB7714" s="5"/>
      <c r="FI7714" s="5"/>
      <c r="FJ7714" s="164"/>
      <c r="FL7714" s="2"/>
      <c r="FN7714" s="2"/>
    </row>
    <row r="7715" spans="153:170" x14ac:dyDescent="0.35">
      <c r="EW7715" s="48"/>
      <c r="FB7715" s="5"/>
      <c r="FI7715" s="5"/>
      <c r="FJ7715" s="164"/>
      <c r="FL7715" s="2"/>
      <c r="FN7715" s="2"/>
    </row>
    <row r="7716" spans="153:170" x14ac:dyDescent="0.35">
      <c r="EW7716" s="48"/>
      <c r="FB7716" s="5"/>
      <c r="FI7716" s="5"/>
      <c r="FJ7716" s="164"/>
      <c r="FL7716" s="2"/>
      <c r="FN7716" s="2"/>
    </row>
    <row r="7717" spans="153:170" x14ac:dyDescent="0.35">
      <c r="EW7717" s="48"/>
      <c r="FB7717" s="5"/>
      <c r="FI7717" s="5"/>
      <c r="FJ7717" s="164"/>
      <c r="FL7717" s="2"/>
      <c r="FN7717" s="2"/>
    </row>
    <row r="7718" spans="153:170" x14ac:dyDescent="0.35">
      <c r="EW7718" s="48"/>
      <c r="FB7718" s="5"/>
      <c r="FI7718" s="5"/>
      <c r="FJ7718" s="164"/>
      <c r="FL7718" s="2"/>
      <c r="FN7718" s="2"/>
    </row>
    <row r="7719" spans="153:170" x14ac:dyDescent="0.35">
      <c r="EW7719" s="48"/>
      <c r="FB7719" s="5"/>
      <c r="FI7719" s="5"/>
      <c r="FJ7719" s="164"/>
      <c r="FL7719" s="2"/>
      <c r="FN7719" s="2"/>
    </row>
    <row r="7720" spans="153:170" x14ac:dyDescent="0.35">
      <c r="EW7720" s="48"/>
      <c r="FB7720" s="5"/>
      <c r="FI7720" s="5"/>
      <c r="FJ7720" s="164"/>
      <c r="FL7720" s="2"/>
      <c r="FN7720" s="2"/>
    </row>
    <row r="7721" spans="153:170" x14ac:dyDescent="0.35">
      <c r="EW7721" s="48"/>
      <c r="FB7721" s="5"/>
      <c r="FI7721" s="5"/>
      <c r="FJ7721" s="164"/>
      <c r="FL7721" s="2"/>
      <c r="FN7721" s="2"/>
    </row>
    <row r="7722" spans="153:170" x14ac:dyDescent="0.35">
      <c r="EW7722" s="48"/>
      <c r="FB7722" s="5"/>
      <c r="FI7722" s="5"/>
      <c r="FJ7722" s="164"/>
      <c r="FL7722" s="2"/>
      <c r="FN7722" s="2"/>
    </row>
    <row r="7723" spans="153:170" x14ac:dyDescent="0.35">
      <c r="EW7723" s="48"/>
      <c r="FB7723" s="5"/>
      <c r="FI7723" s="5"/>
      <c r="FJ7723" s="164"/>
      <c r="FL7723" s="2"/>
      <c r="FN7723" s="2"/>
    </row>
    <row r="7724" spans="153:170" x14ac:dyDescent="0.35">
      <c r="EW7724" s="48"/>
      <c r="FB7724" s="5"/>
      <c r="FI7724" s="5"/>
      <c r="FJ7724" s="164"/>
      <c r="FL7724" s="2"/>
      <c r="FN7724" s="2"/>
    </row>
    <row r="7725" spans="153:170" x14ac:dyDescent="0.35">
      <c r="EW7725" s="48"/>
      <c r="FB7725" s="5"/>
      <c r="FI7725" s="5"/>
      <c r="FJ7725" s="164"/>
      <c r="FL7725" s="2"/>
      <c r="FN7725" s="2"/>
    </row>
    <row r="7726" spans="153:170" x14ac:dyDescent="0.35">
      <c r="EW7726" s="48"/>
      <c r="FB7726" s="5"/>
      <c r="FI7726" s="5"/>
      <c r="FJ7726" s="164"/>
      <c r="FL7726" s="2"/>
      <c r="FN7726" s="2"/>
    </row>
    <row r="7727" spans="153:170" x14ac:dyDescent="0.35">
      <c r="EW7727" s="48"/>
      <c r="FB7727" s="5"/>
      <c r="FI7727" s="5"/>
      <c r="FJ7727" s="164"/>
      <c r="FL7727" s="2"/>
      <c r="FN7727" s="2"/>
    </row>
    <row r="7728" spans="153:170" x14ac:dyDescent="0.35">
      <c r="EW7728" s="48"/>
      <c r="FB7728" s="5"/>
      <c r="FI7728" s="5"/>
      <c r="FJ7728" s="164"/>
      <c r="FL7728" s="2"/>
      <c r="FN7728" s="2"/>
    </row>
    <row r="7729" spans="153:170" x14ac:dyDescent="0.35">
      <c r="EW7729" s="48"/>
      <c r="FB7729" s="5"/>
      <c r="FI7729" s="5"/>
      <c r="FJ7729" s="164"/>
      <c r="FL7729" s="2"/>
      <c r="FN7729" s="2"/>
    </row>
    <row r="7730" spans="153:170" x14ac:dyDescent="0.35">
      <c r="EW7730" s="48"/>
      <c r="FB7730" s="5"/>
      <c r="FI7730" s="5"/>
      <c r="FJ7730" s="164"/>
      <c r="FL7730" s="2"/>
      <c r="FN7730" s="2"/>
    </row>
    <row r="7731" spans="153:170" x14ac:dyDescent="0.35">
      <c r="EW7731" s="48"/>
      <c r="FB7731" s="5"/>
      <c r="FI7731" s="5"/>
      <c r="FJ7731" s="164"/>
      <c r="FL7731" s="2"/>
      <c r="FN7731" s="2"/>
    </row>
    <row r="7732" spans="153:170" x14ac:dyDescent="0.35">
      <c r="EW7732" s="48"/>
      <c r="FB7732" s="5"/>
      <c r="FI7732" s="5"/>
      <c r="FJ7732" s="164"/>
      <c r="FL7732" s="2"/>
      <c r="FN7732" s="2"/>
    </row>
    <row r="7733" spans="153:170" x14ac:dyDescent="0.35">
      <c r="EW7733" s="48"/>
      <c r="FB7733" s="5"/>
      <c r="FI7733" s="5"/>
      <c r="FJ7733" s="164"/>
      <c r="FL7733" s="2"/>
      <c r="FN7733" s="2"/>
    </row>
    <row r="7734" spans="153:170" x14ac:dyDescent="0.35">
      <c r="EW7734" s="48"/>
      <c r="FB7734" s="5"/>
      <c r="FI7734" s="5"/>
      <c r="FJ7734" s="164"/>
      <c r="FL7734" s="2"/>
      <c r="FN7734" s="2"/>
    </row>
    <row r="7735" spans="153:170" x14ac:dyDescent="0.35">
      <c r="EW7735" s="48"/>
      <c r="FB7735" s="5"/>
      <c r="FI7735" s="5"/>
      <c r="FJ7735" s="164"/>
      <c r="FL7735" s="2"/>
      <c r="FN7735" s="2"/>
    </row>
    <row r="7736" spans="153:170" x14ac:dyDescent="0.35">
      <c r="EW7736" s="48"/>
      <c r="FB7736" s="5"/>
      <c r="FI7736" s="5"/>
      <c r="FJ7736" s="164"/>
      <c r="FL7736" s="2"/>
      <c r="FN7736" s="2"/>
    </row>
    <row r="7737" spans="153:170" x14ac:dyDescent="0.35">
      <c r="EW7737" s="48"/>
      <c r="FB7737" s="5"/>
      <c r="FI7737" s="5"/>
      <c r="FJ7737" s="164"/>
      <c r="FL7737" s="2"/>
      <c r="FN7737" s="2"/>
    </row>
    <row r="7738" spans="153:170" x14ac:dyDescent="0.35">
      <c r="EW7738" s="48"/>
      <c r="FB7738" s="5"/>
      <c r="FI7738" s="5"/>
      <c r="FJ7738" s="164"/>
      <c r="FL7738" s="2"/>
      <c r="FN7738" s="2"/>
    </row>
    <row r="7739" spans="153:170" x14ac:dyDescent="0.35">
      <c r="EW7739" s="48"/>
      <c r="FB7739" s="5"/>
      <c r="FI7739" s="5"/>
      <c r="FJ7739" s="164"/>
      <c r="FL7739" s="2"/>
      <c r="FN7739" s="2"/>
    </row>
    <row r="7740" spans="153:170" x14ac:dyDescent="0.35">
      <c r="EW7740" s="48"/>
      <c r="FB7740" s="5"/>
      <c r="FI7740" s="5"/>
      <c r="FJ7740" s="164"/>
      <c r="FL7740" s="2"/>
      <c r="FN7740" s="2"/>
    </row>
    <row r="7741" spans="153:170" x14ac:dyDescent="0.35">
      <c r="EW7741" s="48"/>
      <c r="FB7741" s="5"/>
      <c r="FI7741" s="5"/>
      <c r="FJ7741" s="164"/>
      <c r="FL7741" s="2"/>
      <c r="FN7741" s="2"/>
    </row>
    <row r="7742" spans="153:170" x14ac:dyDescent="0.35">
      <c r="EW7742" s="48"/>
      <c r="FB7742" s="5"/>
      <c r="FI7742" s="5"/>
      <c r="FJ7742" s="164"/>
      <c r="FL7742" s="2"/>
      <c r="FN7742" s="2"/>
    </row>
    <row r="7743" spans="153:170" x14ac:dyDescent="0.35">
      <c r="EW7743" s="48"/>
      <c r="FB7743" s="5"/>
      <c r="FI7743" s="5"/>
      <c r="FJ7743" s="164"/>
      <c r="FL7743" s="2"/>
      <c r="FN7743" s="2"/>
    </row>
    <row r="7744" spans="153:170" x14ac:dyDescent="0.35">
      <c r="EW7744" s="48"/>
      <c r="FB7744" s="5"/>
      <c r="FI7744" s="5"/>
      <c r="FJ7744" s="164"/>
      <c r="FL7744" s="2"/>
      <c r="FN7744" s="2"/>
    </row>
    <row r="7745" spans="153:170" x14ac:dyDescent="0.35">
      <c r="EW7745" s="48"/>
      <c r="FB7745" s="5"/>
      <c r="FI7745" s="5"/>
      <c r="FJ7745" s="164"/>
      <c r="FL7745" s="2"/>
      <c r="FN7745" s="2"/>
    </row>
    <row r="7746" spans="153:170" x14ac:dyDescent="0.35">
      <c r="EW7746" s="48"/>
      <c r="FB7746" s="5"/>
      <c r="FI7746" s="5"/>
      <c r="FJ7746" s="164"/>
      <c r="FL7746" s="2"/>
      <c r="FN7746" s="2"/>
    </row>
    <row r="7747" spans="153:170" x14ac:dyDescent="0.35">
      <c r="EW7747" s="48"/>
      <c r="FB7747" s="5"/>
      <c r="FI7747" s="5"/>
      <c r="FJ7747" s="164"/>
      <c r="FL7747" s="2"/>
      <c r="FN7747" s="2"/>
    </row>
    <row r="7748" spans="153:170" x14ac:dyDescent="0.35">
      <c r="EW7748" s="48"/>
      <c r="FB7748" s="5"/>
      <c r="FI7748" s="5"/>
      <c r="FJ7748" s="164"/>
      <c r="FL7748" s="2"/>
      <c r="FN7748" s="2"/>
    </row>
    <row r="7749" spans="153:170" x14ac:dyDescent="0.35">
      <c r="EW7749" s="48"/>
      <c r="FB7749" s="5"/>
      <c r="FI7749" s="5"/>
      <c r="FJ7749" s="164"/>
      <c r="FL7749" s="2"/>
      <c r="FN7749" s="2"/>
    </row>
    <row r="7750" spans="153:170" x14ac:dyDescent="0.35">
      <c r="EW7750" s="48"/>
      <c r="FB7750" s="5"/>
      <c r="FI7750" s="5"/>
      <c r="FJ7750" s="164"/>
      <c r="FL7750" s="2"/>
      <c r="FN7750" s="2"/>
    </row>
    <row r="7751" spans="153:170" x14ac:dyDescent="0.35">
      <c r="EW7751" s="48"/>
      <c r="FB7751" s="5"/>
      <c r="FI7751" s="5"/>
      <c r="FJ7751" s="164"/>
      <c r="FL7751" s="2"/>
      <c r="FN7751" s="2"/>
    </row>
    <row r="7752" spans="153:170" x14ac:dyDescent="0.35">
      <c r="EW7752" s="48"/>
      <c r="FB7752" s="5"/>
      <c r="FI7752" s="5"/>
      <c r="FJ7752" s="164"/>
      <c r="FL7752" s="2"/>
      <c r="FN7752" s="2"/>
    </row>
    <row r="7753" spans="153:170" x14ac:dyDescent="0.35">
      <c r="EW7753" s="48"/>
      <c r="FB7753" s="5"/>
      <c r="FI7753" s="5"/>
      <c r="FJ7753" s="164"/>
      <c r="FL7753" s="2"/>
      <c r="FN7753" s="2"/>
    </row>
    <row r="7754" spans="153:170" x14ac:dyDescent="0.35">
      <c r="EW7754" s="48"/>
      <c r="FB7754" s="5"/>
      <c r="FI7754" s="5"/>
      <c r="FJ7754" s="164"/>
      <c r="FL7754" s="2"/>
      <c r="FN7754" s="2"/>
    </row>
    <row r="7755" spans="153:170" x14ac:dyDescent="0.35">
      <c r="EW7755" s="48"/>
      <c r="FB7755" s="5"/>
      <c r="FI7755" s="5"/>
      <c r="FJ7755" s="164"/>
      <c r="FL7755" s="2"/>
      <c r="FN7755" s="2"/>
    </row>
    <row r="7756" spans="153:170" x14ac:dyDescent="0.35">
      <c r="EW7756" s="48"/>
      <c r="FB7756" s="5"/>
      <c r="FI7756" s="5"/>
      <c r="FJ7756" s="164"/>
      <c r="FL7756" s="2"/>
      <c r="FN7756" s="2"/>
    </row>
    <row r="7757" spans="153:170" x14ac:dyDescent="0.35">
      <c r="EW7757" s="48"/>
      <c r="FB7757" s="5"/>
      <c r="FI7757" s="5"/>
      <c r="FJ7757" s="164"/>
      <c r="FL7757" s="2"/>
      <c r="FN7757" s="2"/>
    </row>
    <row r="7758" spans="153:170" x14ac:dyDescent="0.35">
      <c r="EW7758" s="48"/>
      <c r="FB7758" s="5"/>
      <c r="FI7758" s="5"/>
      <c r="FJ7758" s="164"/>
      <c r="FL7758" s="2"/>
      <c r="FN7758" s="2"/>
    </row>
    <row r="7759" spans="153:170" x14ac:dyDescent="0.35">
      <c r="EW7759" s="48"/>
      <c r="FB7759" s="5"/>
      <c r="FI7759" s="5"/>
      <c r="FJ7759" s="164"/>
      <c r="FL7759" s="2"/>
      <c r="FN7759" s="2"/>
    </row>
    <row r="7760" spans="153:170" x14ac:dyDescent="0.35">
      <c r="EW7760" s="48"/>
      <c r="FB7760" s="5"/>
      <c r="FI7760" s="5"/>
      <c r="FJ7760" s="164"/>
      <c r="FL7760" s="2"/>
      <c r="FN7760" s="2"/>
    </row>
    <row r="7761" spans="153:170" x14ac:dyDescent="0.35">
      <c r="EW7761" s="48"/>
      <c r="FB7761" s="5"/>
      <c r="FI7761" s="5"/>
      <c r="FJ7761" s="164"/>
      <c r="FL7761" s="2"/>
      <c r="FN7761" s="2"/>
    </row>
    <row r="7762" spans="153:170" x14ac:dyDescent="0.35">
      <c r="EW7762" s="48"/>
      <c r="FB7762" s="5"/>
      <c r="FI7762" s="5"/>
      <c r="FJ7762" s="164"/>
      <c r="FL7762" s="2"/>
      <c r="FN7762" s="2"/>
    </row>
    <row r="7763" spans="153:170" x14ac:dyDescent="0.35">
      <c r="EW7763" s="48"/>
      <c r="FB7763" s="5"/>
      <c r="FI7763" s="5"/>
      <c r="FJ7763" s="164"/>
      <c r="FL7763" s="2"/>
      <c r="FN7763" s="2"/>
    </row>
    <row r="7764" spans="153:170" x14ac:dyDescent="0.35">
      <c r="EW7764" s="48"/>
      <c r="FB7764" s="5"/>
      <c r="FI7764" s="5"/>
      <c r="FJ7764" s="164"/>
      <c r="FL7764" s="2"/>
      <c r="FN7764" s="2"/>
    </row>
    <row r="7765" spans="153:170" x14ac:dyDescent="0.35">
      <c r="EW7765" s="48"/>
      <c r="FB7765" s="5"/>
      <c r="FI7765" s="5"/>
      <c r="FJ7765" s="164"/>
      <c r="FL7765" s="2"/>
      <c r="FN7765" s="2"/>
    </row>
    <row r="7766" spans="153:170" x14ac:dyDescent="0.35">
      <c r="EW7766" s="48"/>
      <c r="FB7766" s="5"/>
      <c r="FI7766" s="5"/>
      <c r="FJ7766" s="164"/>
      <c r="FL7766" s="2"/>
      <c r="FN7766" s="2"/>
    </row>
    <row r="7767" spans="153:170" x14ac:dyDescent="0.35">
      <c r="EW7767" s="48"/>
      <c r="FB7767" s="5"/>
      <c r="FI7767" s="5"/>
      <c r="FJ7767" s="164"/>
      <c r="FL7767" s="2"/>
      <c r="FN7767" s="2"/>
    </row>
    <row r="7768" spans="153:170" x14ac:dyDescent="0.35">
      <c r="EW7768" s="48"/>
      <c r="FB7768" s="5"/>
      <c r="FI7768" s="5"/>
      <c r="FJ7768" s="164"/>
      <c r="FL7768" s="2"/>
      <c r="FN7768" s="2"/>
    </row>
    <row r="7769" spans="153:170" x14ac:dyDescent="0.35">
      <c r="EW7769" s="48"/>
      <c r="FB7769" s="5"/>
      <c r="FI7769" s="5"/>
      <c r="FJ7769" s="164"/>
      <c r="FL7769" s="2"/>
      <c r="FN7769" s="2"/>
    </row>
    <row r="7770" spans="153:170" x14ac:dyDescent="0.35">
      <c r="EW7770" s="48"/>
      <c r="FB7770" s="5"/>
      <c r="FI7770" s="5"/>
      <c r="FJ7770" s="164"/>
      <c r="FL7770" s="2"/>
      <c r="FN7770" s="2"/>
    </row>
    <row r="7771" spans="153:170" x14ac:dyDescent="0.35">
      <c r="EW7771" s="48"/>
      <c r="FB7771" s="5"/>
      <c r="FI7771" s="5"/>
      <c r="FJ7771" s="164"/>
      <c r="FL7771" s="2"/>
      <c r="FN7771" s="2"/>
    </row>
    <row r="7772" spans="153:170" x14ac:dyDescent="0.35">
      <c r="EW7772" s="48"/>
      <c r="FB7772" s="5"/>
      <c r="FI7772" s="5"/>
      <c r="FJ7772" s="164"/>
      <c r="FL7772" s="2"/>
      <c r="FN7772" s="2"/>
    </row>
    <row r="7773" spans="153:170" x14ac:dyDescent="0.35">
      <c r="EW7773" s="48"/>
      <c r="FB7773" s="5"/>
      <c r="FI7773" s="5"/>
      <c r="FJ7773" s="164"/>
      <c r="FL7773" s="2"/>
      <c r="FN7773" s="2"/>
    </row>
    <row r="7774" spans="153:170" x14ac:dyDescent="0.35">
      <c r="EW7774" s="48"/>
      <c r="FB7774" s="5"/>
      <c r="FI7774" s="5"/>
      <c r="FJ7774" s="164"/>
      <c r="FL7774" s="2"/>
      <c r="FN7774" s="2"/>
    </row>
    <row r="7775" spans="153:170" x14ac:dyDescent="0.35">
      <c r="EW7775" s="48"/>
      <c r="FB7775" s="5"/>
      <c r="FI7775" s="5"/>
      <c r="FJ7775" s="164"/>
      <c r="FL7775" s="2"/>
      <c r="FN7775" s="2"/>
    </row>
    <row r="7776" spans="153:170" x14ac:dyDescent="0.35">
      <c r="EW7776" s="48"/>
      <c r="FB7776" s="5"/>
      <c r="FI7776" s="5"/>
      <c r="FJ7776" s="164"/>
      <c r="FL7776" s="2"/>
      <c r="FN7776" s="2"/>
    </row>
    <row r="7777" spans="153:170" x14ac:dyDescent="0.35">
      <c r="EW7777" s="48"/>
      <c r="FB7777" s="5"/>
      <c r="FI7777" s="5"/>
      <c r="FJ7777" s="164"/>
      <c r="FL7777" s="2"/>
      <c r="FN7777" s="2"/>
    </row>
    <row r="7778" spans="153:170" x14ac:dyDescent="0.35">
      <c r="EW7778" s="48"/>
      <c r="FB7778" s="5"/>
      <c r="FI7778" s="5"/>
      <c r="FJ7778" s="164"/>
      <c r="FL7778" s="2"/>
      <c r="FN7778" s="2"/>
    </row>
    <row r="7779" spans="153:170" x14ac:dyDescent="0.35">
      <c r="EW7779" s="48"/>
      <c r="FB7779" s="5"/>
      <c r="FI7779" s="5"/>
      <c r="FJ7779" s="164"/>
      <c r="FL7779" s="2"/>
      <c r="FN7779" s="2"/>
    </row>
    <row r="7780" spans="153:170" x14ac:dyDescent="0.35">
      <c r="EW7780" s="48"/>
      <c r="FB7780" s="5"/>
      <c r="FI7780" s="5"/>
      <c r="FJ7780" s="164"/>
      <c r="FL7780" s="2"/>
      <c r="FN7780" s="2"/>
    </row>
    <row r="7781" spans="153:170" x14ac:dyDescent="0.35">
      <c r="EW7781" s="48"/>
      <c r="FB7781" s="5"/>
      <c r="FI7781" s="5"/>
      <c r="FJ7781" s="164"/>
      <c r="FL7781" s="2"/>
      <c r="FN7781" s="2"/>
    </row>
    <row r="7782" spans="153:170" x14ac:dyDescent="0.35">
      <c r="EW7782" s="48"/>
      <c r="FB7782" s="5"/>
      <c r="FI7782" s="5"/>
      <c r="FJ7782" s="164"/>
      <c r="FL7782" s="2"/>
      <c r="FN7782" s="2"/>
    </row>
    <row r="7783" spans="153:170" x14ac:dyDescent="0.35">
      <c r="EW7783" s="48"/>
      <c r="FB7783" s="5"/>
      <c r="FI7783" s="5"/>
      <c r="FJ7783" s="164"/>
      <c r="FL7783" s="2"/>
      <c r="FN7783" s="2"/>
    </row>
    <row r="7784" spans="153:170" x14ac:dyDescent="0.35">
      <c r="EW7784" s="48"/>
      <c r="FB7784" s="5"/>
      <c r="FI7784" s="5"/>
      <c r="FJ7784" s="164"/>
      <c r="FL7784" s="2"/>
      <c r="FN7784" s="2"/>
    </row>
    <row r="7785" spans="153:170" x14ac:dyDescent="0.35">
      <c r="EW7785" s="48"/>
      <c r="FB7785" s="5"/>
      <c r="FI7785" s="5"/>
      <c r="FJ7785" s="164"/>
      <c r="FL7785" s="2"/>
      <c r="FN7785" s="2"/>
    </row>
    <row r="7786" spans="153:170" x14ac:dyDescent="0.35">
      <c r="EW7786" s="48"/>
      <c r="FB7786" s="5"/>
      <c r="FI7786" s="5"/>
      <c r="FJ7786" s="164"/>
      <c r="FL7786" s="2"/>
      <c r="FN7786" s="2"/>
    </row>
    <row r="7787" spans="153:170" x14ac:dyDescent="0.35">
      <c r="EW7787" s="48"/>
      <c r="FB7787" s="5"/>
      <c r="FI7787" s="5"/>
      <c r="FJ7787" s="164"/>
      <c r="FL7787" s="2"/>
      <c r="FN7787" s="2"/>
    </row>
    <row r="7788" spans="153:170" x14ac:dyDescent="0.35">
      <c r="EW7788" s="48"/>
      <c r="FB7788" s="5"/>
      <c r="FI7788" s="5"/>
      <c r="FJ7788" s="164"/>
      <c r="FL7788" s="2"/>
      <c r="FN7788" s="2"/>
    </row>
    <row r="7789" spans="153:170" x14ac:dyDescent="0.35">
      <c r="EW7789" s="48"/>
      <c r="FB7789" s="5"/>
      <c r="FI7789" s="5"/>
      <c r="FJ7789" s="164"/>
      <c r="FL7789" s="2"/>
      <c r="FN7789" s="2"/>
    </row>
    <row r="7790" spans="153:170" x14ac:dyDescent="0.35">
      <c r="EW7790" s="48"/>
      <c r="FB7790" s="5"/>
      <c r="FI7790" s="5"/>
      <c r="FJ7790" s="164"/>
      <c r="FL7790" s="2"/>
      <c r="FN7790" s="2"/>
    </row>
    <row r="7791" spans="153:170" x14ac:dyDescent="0.35">
      <c r="EW7791" s="48"/>
      <c r="FB7791" s="5"/>
      <c r="FI7791" s="5"/>
      <c r="FJ7791" s="164"/>
      <c r="FL7791" s="2"/>
      <c r="FN7791" s="2"/>
    </row>
    <row r="7792" spans="153:170" x14ac:dyDescent="0.35">
      <c r="EW7792" s="48"/>
      <c r="FB7792" s="5"/>
      <c r="FI7792" s="5"/>
      <c r="FJ7792" s="164"/>
      <c r="FL7792" s="2"/>
      <c r="FN7792" s="2"/>
    </row>
    <row r="7793" spans="153:170" x14ac:dyDescent="0.35">
      <c r="EW7793" s="48"/>
      <c r="FB7793" s="5"/>
      <c r="FI7793" s="5"/>
      <c r="FJ7793" s="164"/>
      <c r="FL7793" s="2"/>
      <c r="FN7793" s="2"/>
    </row>
    <row r="7794" spans="153:170" x14ac:dyDescent="0.35">
      <c r="EW7794" s="48"/>
      <c r="FB7794" s="5"/>
      <c r="FI7794" s="5"/>
      <c r="FJ7794" s="164"/>
      <c r="FL7794" s="2"/>
      <c r="FN7794" s="2"/>
    </row>
    <row r="7795" spans="153:170" x14ac:dyDescent="0.35">
      <c r="EW7795" s="48"/>
      <c r="FB7795" s="5"/>
      <c r="FI7795" s="5"/>
      <c r="FJ7795" s="164"/>
      <c r="FL7795" s="2"/>
      <c r="FN7795" s="2"/>
    </row>
    <row r="7796" spans="153:170" x14ac:dyDescent="0.35">
      <c r="EW7796" s="48"/>
      <c r="FB7796" s="5"/>
      <c r="FI7796" s="5"/>
      <c r="FJ7796" s="164"/>
      <c r="FL7796" s="2"/>
      <c r="FN7796" s="2"/>
    </row>
    <row r="7797" spans="153:170" x14ac:dyDescent="0.35">
      <c r="EW7797" s="48"/>
      <c r="FB7797" s="5"/>
      <c r="FI7797" s="5"/>
      <c r="FJ7797" s="164"/>
      <c r="FL7797" s="2"/>
      <c r="FN7797" s="2"/>
    </row>
    <row r="7798" spans="153:170" x14ac:dyDescent="0.35">
      <c r="EW7798" s="48"/>
      <c r="FB7798" s="5"/>
      <c r="FI7798" s="5"/>
      <c r="FJ7798" s="164"/>
      <c r="FL7798" s="2"/>
      <c r="FN7798" s="2"/>
    </row>
    <row r="7799" spans="153:170" x14ac:dyDescent="0.35">
      <c r="EW7799" s="48"/>
      <c r="FB7799" s="5"/>
      <c r="FI7799" s="5"/>
      <c r="FJ7799" s="164"/>
      <c r="FL7799" s="2"/>
      <c r="FN7799" s="2"/>
    </row>
    <row r="7800" spans="153:170" x14ac:dyDescent="0.35">
      <c r="EW7800" s="48"/>
      <c r="FB7800" s="5"/>
      <c r="FI7800" s="5"/>
      <c r="FJ7800" s="164"/>
      <c r="FL7800" s="2"/>
      <c r="FN7800" s="2"/>
    </row>
    <row r="7801" spans="153:170" x14ac:dyDescent="0.35">
      <c r="EW7801" s="48"/>
      <c r="FB7801" s="5"/>
      <c r="FI7801" s="5"/>
      <c r="FJ7801" s="164"/>
      <c r="FL7801" s="2"/>
      <c r="FN7801" s="2"/>
    </row>
    <row r="7802" spans="153:170" x14ac:dyDescent="0.35">
      <c r="EW7802" s="48"/>
      <c r="FB7802" s="5"/>
      <c r="FI7802" s="5"/>
      <c r="FJ7802" s="164"/>
      <c r="FL7802" s="2"/>
      <c r="FN7802" s="2"/>
    </row>
    <row r="7803" spans="153:170" x14ac:dyDescent="0.35">
      <c r="EW7803" s="48"/>
      <c r="FB7803" s="5"/>
      <c r="FI7803" s="5"/>
      <c r="FJ7803" s="164"/>
      <c r="FL7803" s="2"/>
      <c r="FN7803" s="2"/>
    </row>
    <row r="7804" spans="153:170" x14ac:dyDescent="0.35">
      <c r="EW7804" s="48"/>
      <c r="FB7804" s="5"/>
      <c r="FI7804" s="5"/>
      <c r="FJ7804" s="164"/>
      <c r="FL7804" s="2"/>
      <c r="FN7804" s="2"/>
    </row>
    <row r="7805" spans="153:170" x14ac:dyDescent="0.35">
      <c r="EW7805" s="48"/>
      <c r="FB7805" s="5"/>
      <c r="FI7805" s="5"/>
      <c r="FJ7805" s="164"/>
      <c r="FL7805" s="2"/>
      <c r="FN7805" s="2"/>
    </row>
    <row r="7806" spans="153:170" x14ac:dyDescent="0.35">
      <c r="EW7806" s="48"/>
      <c r="FB7806" s="5"/>
      <c r="FI7806" s="5"/>
      <c r="FJ7806" s="164"/>
      <c r="FL7806" s="2"/>
      <c r="FN7806" s="2"/>
    </row>
    <row r="7807" spans="153:170" x14ac:dyDescent="0.35">
      <c r="EW7807" s="48"/>
      <c r="FB7807" s="5"/>
      <c r="FI7807" s="5"/>
      <c r="FJ7807" s="164"/>
      <c r="FL7807" s="2"/>
      <c r="FN7807" s="2"/>
    </row>
    <row r="7808" spans="153:170" x14ac:dyDescent="0.35">
      <c r="EW7808" s="48"/>
      <c r="FB7808" s="5"/>
      <c r="FI7808" s="5"/>
      <c r="FJ7808" s="164"/>
      <c r="FL7808" s="2"/>
      <c r="FN7808" s="2"/>
    </row>
    <row r="7809" spans="153:170" x14ac:dyDescent="0.35">
      <c r="EW7809" s="48"/>
      <c r="FB7809" s="5"/>
      <c r="FI7809" s="5"/>
      <c r="FJ7809" s="164"/>
      <c r="FL7809" s="2"/>
      <c r="FN7809" s="2"/>
    </row>
    <row r="7810" spans="153:170" x14ac:dyDescent="0.35">
      <c r="EW7810" s="48"/>
      <c r="FB7810" s="5"/>
      <c r="FI7810" s="5"/>
      <c r="FJ7810" s="164"/>
      <c r="FL7810" s="2"/>
      <c r="FN7810" s="2"/>
    </row>
    <row r="7811" spans="153:170" x14ac:dyDescent="0.35">
      <c r="EW7811" s="48"/>
      <c r="FB7811" s="5"/>
      <c r="FI7811" s="5"/>
      <c r="FJ7811" s="164"/>
      <c r="FL7811" s="2"/>
      <c r="FN7811" s="2"/>
    </row>
    <row r="7812" spans="153:170" x14ac:dyDescent="0.35">
      <c r="EW7812" s="48"/>
      <c r="FB7812" s="5"/>
      <c r="FI7812" s="5"/>
      <c r="FJ7812" s="164"/>
      <c r="FL7812" s="2"/>
      <c r="FN7812" s="2"/>
    </row>
    <row r="7813" spans="153:170" x14ac:dyDescent="0.35">
      <c r="EW7813" s="48"/>
      <c r="FB7813" s="5"/>
      <c r="FI7813" s="5"/>
      <c r="FJ7813" s="164"/>
      <c r="FL7813" s="2"/>
      <c r="FN7813" s="2"/>
    </row>
    <row r="7814" spans="153:170" x14ac:dyDescent="0.35">
      <c r="EW7814" s="48"/>
      <c r="FB7814" s="5"/>
      <c r="FI7814" s="5"/>
      <c r="FJ7814" s="164"/>
      <c r="FL7814" s="2"/>
      <c r="FN7814" s="2"/>
    </row>
    <row r="7815" spans="153:170" x14ac:dyDescent="0.35">
      <c r="EW7815" s="48"/>
      <c r="FB7815" s="5"/>
      <c r="FI7815" s="5"/>
      <c r="FJ7815" s="164"/>
      <c r="FL7815" s="2"/>
      <c r="FN7815" s="2"/>
    </row>
    <row r="7816" spans="153:170" x14ac:dyDescent="0.35">
      <c r="EW7816" s="48"/>
      <c r="FB7816" s="5"/>
      <c r="FI7816" s="5"/>
      <c r="FJ7816" s="164"/>
      <c r="FL7816" s="2"/>
      <c r="FN7816" s="2"/>
    </row>
    <row r="7817" spans="153:170" x14ac:dyDescent="0.35">
      <c r="EW7817" s="48"/>
      <c r="FB7817" s="5"/>
      <c r="FI7817" s="5"/>
      <c r="FJ7817" s="164"/>
      <c r="FL7817" s="2"/>
      <c r="FN7817" s="2"/>
    </row>
    <row r="7818" spans="153:170" x14ac:dyDescent="0.35">
      <c r="EW7818" s="48"/>
      <c r="FB7818" s="5"/>
      <c r="FI7818" s="5"/>
      <c r="FJ7818" s="164"/>
      <c r="FL7818" s="2"/>
      <c r="FN7818" s="2"/>
    </row>
    <row r="7819" spans="153:170" x14ac:dyDescent="0.35">
      <c r="EW7819" s="48"/>
      <c r="FB7819" s="5"/>
      <c r="FI7819" s="5"/>
      <c r="FJ7819" s="164"/>
      <c r="FL7819" s="2"/>
      <c r="FN7819" s="2"/>
    </row>
    <row r="7820" spans="153:170" x14ac:dyDescent="0.35">
      <c r="EW7820" s="48"/>
      <c r="FB7820" s="5"/>
      <c r="FI7820" s="5"/>
      <c r="FJ7820" s="164"/>
      <c r="FL7820" s="2"/>
      <c r="FN7820" s="2"/>
    </row>
    <row r="7821" spans="153:170" x14ac:dyDescent="0.35">
      <c r="EW7821" s="48"/>
      <c r="FB7821" s="5"/>
      <c r="FI7821" s="5"/>
      <c r="FJ7821" s="164"/>
      <c r="FL7821" s="2"/>
      <c r="FN7821" s="2"/>
    </row>
    <row r="7822" spans="153:170" x14ac:dyDescent="0.35">
      <c r="EW7822" s="48"/>
      <c r="FB7822" s="5"/>
      <c r="FI7822" s="5"/>
      <c r="FJ7822" s="164"/>
      <c r="FL7822" s="2"/>
      <c r="FN7822" s="2"/>
    </row>
    <row r="7823" spans="153:170" x14ac:dyDescent="0.35">
      <c r="EW7823" s="48"/>
      <c r="FB7823" s="5"/>
      <c r="FI7823" s="5"/>
      <c r="FJ7823" s="164"/>
      <c r="FL7823" s="2"/>
      <c r="FN7823" s="2"/>
    </row>
    <row r="7824" spans="153:170" x14ac:dyDescent="0.35">
      <c r="EW7824" s="48"/>
      <c r="FB7824" s="5"/>
      <c r="FI7824" s="5"/>
      <c r="FJ7824" s="164"/>
      <c r="FL7824" s="2"/>
      <c r="FN7824" s="2"/>
    </row>
    <row r="7825" spans="153:170" x14ac:dyDescent="0.35">
      <c r="EW7825" s="48"/>
      <c r="FB7825" s="5"/>
      <c r="FI7825" s="5"/>
      <c r="FJ7825" s="164"/>
      <c r="FL7825" s="2"/>
      <c r="FN7825" s="2"/>
    </row>
    <row r="7826" spans="153:170" x14ac:dyDescent="0.35">
      <c r="EW7826" s="48"/>
      <c r="FB7826" s="5"/>
      <c r="FI7826" s="5"/>
      <c r="FJ7826" s="164"/>
      <c r="FL7826" s="2"/>
      <c r="FN7826" s="2"/>
    </row>
    <row r="7827" spans="153:170" x14ac:dyDescent="0.35">
      <c r="EW7827" s="48"/>
      <c r="FB7827" s="5"/>
      <c r="FI7827" s="5"/>
      <c r="FJ7827" s="164"/>
      <c r="FL7827" s="2"/>
      <c r="FN7827" s="2"/>
    </row>
    <row r="7828" spans="153:170" x14ac:dyDescent="0.35">
      <c r="EW7828" s="48"/>
      <c r="FB7828" s="5"/>
      <c r="FI7828" s="5"/>
      <c r="FJ7828" s="164"/>
      <c r="FL7828" s="2"/>
      <c r="FN7828" s="2"/>
    </row>
    <row r="7829" spans="153:170" x14ac:dyDescent="0.35">
      <c r="EW7829" s="48"/>
      <c r="FB7829" s="5"/>
      <c r="FI7829" s="5"/>
      <c r="FJ7829" s="164"/>
      <c r="FL7829" s="2"/>
      <c r="FN7829" s="2"/>
    </row>
    <row r="7830" spans="153:170" x14ac:dyDescent="0.35">
      <c r="EW7830" s="48"/>
      <c r="FB7830" s="5"/>
      <c r="FI7830" s="5"/>
      <c r="FJ7830" s="164"/>
      <c r="FL7830" s="2"/>
      <c r="FN7830" s="2"/>
    </row>
    <row r="7831" spans="153:170" x14ac:dyDescent="0.35">
      <c r="EW7831" s="48"/>
      <c r="FB7831" s="5"/>
      <c r="FI7831" s="5"/>
      <c r="FJ7831" s="164"/>
      <c r="FL7831" s="2"/>
      <c r="FN7831" s="2"/>
    </row>
    <row r="7832" spans="153:170" x14ac:dyDescent="0.35">
      <c r="EW7832" s="48"/>
      <c r="FB7832" s="5"/>
      <c r="FI7832" s="5"/>
      <c r="FJ7832" s="164"/>
      <c r="FL7832" s="2"/>
      <c r="FN7832" s="2"/>
    </row>
    <row r="7833" spans="153:170" x14ac:dyDescent="0.35">
      <c r="EW7833" s="48"/>
      <c r="FB7833" s="5"/>
      <c r="FI7833" s="5"/>
      <c r="FJ7833" s="164"/>
      <c r="FL7833" s="2"/>
      <c r="FN7833" s="2"/>
    </row>
    <row r="7834" spans="153:170" x14ac:dyDescent="0.35">
      <c r="EW7834" s="48"/>
      <c r="FB7834" s="5"/>
      <c r="FI7834" s="5"/>
      <c r="FJ7834" s="164"/>
      <c r="FL7834" s="2"/>
      <c r="FN7834" s="2"/>
    </row>
    <row r="7835" spans="153:170" x14ac:dyDescent="0.35">
      <c r="EW7835" s="48"/>
      <c r="FB7835" s="5"/>
      <c r="FI7835" s="5"/>
      <c r="FJ7835" s="164"/>
      <c r="FL7835" s="2"/>
      <c r="FN7835" s="2"/>
    </row>
    <row r="7836" spans="153:170" x14ac:dyDescent="0.35">
      <c r="EW7836" s="48"/>
      <c r="FB7836" s="5"/>
      <c r="FI7836" s="5"/>
      <c r="FJ7836" s="164"/>
      <c r="FL7836" s="2"/>
      <c r="FN7836" s="2"/>
    </row>
    <row r="7837" spans="153:170" x14ac:dyDescent="0.35">
      <c r="EW7837" s="48"/>
      <c r="FB7837" s="5"/>
      <c r="FI7837" s="5"/>
      <c r="FJ7837" s="164"/>
      <c r="FL7837" s="2"/>
      <c r="FN7837" s="2"/>
    </row>
    <row r="7838" spans="153:170" x14ac:dyDescent="0.35">
      <c r="EW7838" s="48"/>
      <c r="FB7838" s="5"/>
      <c r="FI7838" s="5"/>
      <c r="FJ7838" s="164"/>
      <c r="FL7838" s="2"/>
      <c r="FN7838" s="2"/>
    </row>
    <row r="7839" spans="153:170" x14ac:dyDescent="0.35">
      <c r="EW7839" s="48"/>
      <c r="FB7839" s="5"/>
      <c r="FI7839" s="5"/>
      <c r="FJ7839" s="164"/>
      <c r="FL7839" s="2"/>
      <c r="FN7839" s="2"/>
    </row>
    <row r="7840" spans="153:170" x14ac:dyDescent="0.35">
      <c r="EW7840" s="48"/>
      <c r="FB7840" s="5"/>
      <c r="FI7840" s="5"/>
      <c r="FJ7840" s="164"/>
      <c r="FL7840" s="2"/>
      <c r="FN7840" s="2"/>
    </row>
    <row r="7841" spans="153:170" x14ac:dyDescent="0.35">
      <c r="EW7841" s="48"/>
      <c r="FB7841" s="5"/>
      <c r="FI7841" s="5"/>
      <c r="FJ7841" s="164"/>
      <c r="FL7841" s="2"/>
      <c r="FN7841" s="2"/>
    </row>
    <row r="7842" spans="153:170" x14ac:dyDescent="0.35">
      <c r="EW7842" s="48"/>
      <c r="FB7842" s="5"/>
      <c r="FI7842" s="5"/>
      <c r="FJ7842" s="164"/>
      <c r="FL7842" s="2"/>
      <c r="FN7842" s="2"/>
    </row>
    <row r="7843" spans="153:170" x14ac:dyDescent="0.35">
      <c r="EW7843" s="48"/>
      <c r="FB7843" s="5"/>
      <c r="FI7843" s="5"/>
      <c r="FJ7843" s="164"/>
      <c r="FL7843" s="2"/>
      <c r="FN7843" s="2"/>
    </row>
    <row r="7844" spans="153:170" x14ac:dyDescent="0.35">
      <c r="EW7844" s="48"/>
      <c r="FB7844" s="5"/>
      <c r="FI7844" s="5"/>
      <c r="FJ7844" s="164"/>
      <c r="FL7844" s="2"/>
      <c r="FN7844" s="2"/>
    </row>
    <row r="7845" spans="153:170" x14ac:dyDescent="0.35">
      <c r="EW7845" s="48"/>
      <c r="FB7845" s="5"/>
      <c r="FI7845" s="5"/>
      <c r="FJ7845" s="164"/>
      <c r="FL7845" s="2"/>
      <c r="FN7845" s="2"/>
    </row>
    <row r="7846" spans="153:170" x14ac:dyDescent="0.35">
      <c r="EW7846" s="48"/>
      <c r="FB7846" s="5"/>
      <c r="FI7846" s="5"/>
      <c r="FJ7846" s="164"/>
      <c r="FL7846" s="2"/>
      <c r="FN7846" s="2"/>
    </row>
    <row r="7847" spans="153:170" x14ac:dyDescent="0.35">
      <c r="EW7847" s="48"/>
      <c r="FB7847" s="5"/>
      <c r="FI7847" s="5"/>
      <c r="FJ7847" s="164"/>
      <c r="FL7847" s="2"/>
      <c r="FN7847" s="2"/>
    </row>
    <row r="7848" spans="153:170" x14ac:dyDescent="0.35">
      <c r="EW7848" s="48"/>
      <c r="FB7848" s="5"/>
      <c r="FI7848" s="5"/>
      <c r="FJ7848" s="164"/>
      <c r="FL7848" s="2"/>
      <c r="FN7848" s="2"/>
    </row>
    <row r="7849" spans="153:170" x14ac:dyDescent="0.35">
      <c r="EW7849" s="48"/>
      <c r="FB7849" s="5"/>
      <c r="FI7849" s="5"/>
      <c r="FJ7849" s="164"/>
      <c r="FL7849" s="2"/>
      <c r="FN7849" s="2"/>
    </row>
    <row r="7850" spans="153:170" x14ac:dyDescent="0.35">
      <c r="EW7850" s="48"/>
      <c r="FB7850" s="5"/>
      <c r="FI7850" s="5"/>
      <c r="FJ7850" s="164"/>
      <c r="FL7850" s="2"/>
      <c r="FN7850" s="2"/>
    </row>
    <row r="7851" spans="153:170" x14ac:dyDescent="0.35">
      <c r="EW7851" s="48"/>
      <c r="FB7851" s="5"/>
      <c r="FI7851" s="5"/>
      <c r="FJ7851" s="164"/>
      <c r="FL7851" s="2"/>
      <c r="FN7851" s="2"/>
    </row>
    <row r="7852" spans="153:170" x14ac:dyDescent="0.35">
      <c r="EW7852" s="48"/>
      <c r="FB7852" s="5"/>
      <c r="FI7852" s="5"/>
      <c r="FJ7852" s="164"/>
      <c r="FL7852" s="2"/>
      <c r="FN7852" s="2"/>
    </row>
    <row r="7853" spans="153:170" x14ac:dyDescent="0.35">
      <c r="EW7853" s="48"/>
      <c r="FB7853" s="5"/>
      <c r="FI7853" s="5"/>
      <c r="FJ7853" s="164"/>
      <c r="FL7853" s="2"/>
      <c r="FN7853" s="2"/>
    </row>
    <row r="7854" spans="153:170" x14ac:dyDescent="0.35">
      <c r="EW7854" s="48"/>
      <c r="FB7854" s="5"/>
      <c r="FI7854" s="5"/>
      <c r="FJ7854" s="164"/>
      <c r="FL7854" s="2"/>
      <c r="FN7854" s="2"/>
    </row>
    <row r="7855" spans="153:170" x14ac:dyDescent="0.35">
      <c r="EW7855" s="48"/>
      <c r="FB7855" s="5"/>
      <c r="FI7855" s="5"/>
      <c r="FJ7855" s="164"/>
      <c r="FL7855" s="2"/>
      <c r="FN7855" s="2"/>
    </row>
    <row r="7856" spans="153:170" x14ac:dyDescent="0.35">
      <c r="EW7856" s="48"/>
      <c r="FB7856" s="5"/>
      <c r="FI7856" s="5"/>
      <c r="FJ7856" s="164"/>
      <c r="FL7856" s="2"/>
      <c r="FN7856" s="2"/>
    </row>
    <row r="7857" spans="153:170" x14ac:dyDescent="0.35">
      <c r="EW7857" s="48"/>
      <c r="FB7857" s="5"/>
      <c r="FI7857" s="5"/>
      <c r="FJ7857" s="164"/>
      <c r="FL7857" s="2"/>
      <c r="FN7857" s="2"/>
    </row>
    <row r="7858" spans="153:170" x14ac:dyDescent="0.35">
      <c r="EW7858" s="48"/>
      <c r="FB7858" s="5"/>
      <c r="FI7858" s="5"/>
      <c r="FJ7858" s="164"/>
      <c r="FL7858" s="2"/>
      <c r="FN7858" s="2"/>
    </row>
    <row r="7859" spans="153:170" x14ac:dyDescent="0.35">
      <c r="EW7859" s="48"/>
      <c r="FB7859" s="5"/>
      <c r="FI7859" s="5"/>
      <c r="FJ7859" s="164"/>
      <c r="FL7859" s="2"/>
      <c r="FN7859" s="2"/>
    </row>
    <row r="7860" spans="153:170" x14ac:dyDescent="0.35">
      <c r="EW7860" s="48"/>
      <c r="FB7860" s="5"/>
      <c r="FI7860" s="5"/>
      <c r="FJ7860" s="164"/>
      <c r="FL7860" s="2"/>
      <c r="FN7860" s="2"/>
    </row>
    <row r="7861" spans="153:170" x14ac:dyDescent="0.35">
      <c r="EW7861" s="48"/>
      <c r="FB7861" s="5"/>
      <c r="FI7861" s="5"/>
      <c r="FJ7861" s="164"/>
      <c r="FL7861" s="2"/>
      <c r="FN7861" s="2"/>
    </row>
    <row r="7862" spans="153:170" x14ac:dyDescent="0.35">
      <c r="EW7862" s="48"/>
      <c r="FB7862" s="5"/>
      <c r="FI7862" s="5"/>
      <c r="FJ7862" s="164"/>
      <c r="FL7862" s="2"/>
      <c r="FN7862" s="2"/>
    </row>
    <row r="7863" spans="153:170" x14ac:dyDescent="0.35">
      <c r="EW7863" s="48"/>
      <c r="FB7863" s="5"/>
      <c r="FI7863" s="5"/>
      <c r="FJ7863" s="164"/>
      <c r="FL7863" s="2"/>
      <c r="FN7863" s="2"/>
    </row>
    <row r="7864" spans="153:170" x14ac:dyDescent="0.35">
      <c r="EW7864" s="48"/>
      <c r="FB7864" s="5"/>
      <c r="FI7864" s="5"/>
      <c r="FJ7864" s="164"/>
      <c r="FL7864" s="2"/>
      <c r="FN7864" s="2"/>
    </row>
    <row r="7865" spans="153:170" x14ac:dyDescent="0.35">
      <c r="EW7865" s="48"/>
      <c r="FB7865" s="5"/>
      <c r="FI7865" s="5"/>
      <c r="FJ7865" s="164"/>
      <c r="FL7865" s="2"/>
      <c r="FN7865" s="2"/>
    </row>
    <row r="7866" spans="153:170" x14ac:dyDescent="0.35">
      <c r="EW7866" s="48"/>
      <c r="FB7866" s="5"/>
      <c r="FI7866" s="5"/>
      <c r="FJ7866" s="164"/>
      <c r="FL7866" s="2"/>
      <c r="FN7866" s="2"/>
    </row>
    <row r="7867" spans="153:170" x14ac:dyDescent="0.35">
      <c r="EW7867" s="48"/>
      <c r="FB7867" s="5"/>
      <c r="FI7867" s="5"/>
      <c r="FJ7867" s="164"/>
      <c r="FL7867" s="2"/>
      <c r="FN7867" s="2"/>
    </row>
    <row r="7868" spans="153:170" x14ac:dyDescent="0.35">
      <c r="EW7868" s="48"/>
      <c r="FB7868" s="5"/>
      <c r="FI7868" s="5"/>
      <c r="FJ7868" s="164"/>
      <c r="FL7868" s="2"/>
      <c r="FN7868" s="2"/>
    </row>
    <row r="7869" spans="153:170" x14ac:dyDescent="0.35">
      <c r="EW7869" s="48"/>
      <c r="FB7869" s="5"/>
      <c r="FI7869" s="5"/>
      <c r="FJ7869" s="164"/>
      <c r="FL7869" s="2"/>
      <c r="FN7869" s="2"/>
    </row>
    <row r="7870" spans="153:170" x14ac:dyDescent="0.35">
      <c r="EW7870" s="48"/>
      <c r="FB7870" s="5"/>
      <c r="FI7870" s="5"/>
      <c r="FJ7870" s="164"/>
      <c r="FL7870" s="2"/>
      <c r="FN7870" s="2"/>
    </row>
    <row r="7871" spans="153:170" x14ac:dyDescent="0.35">
      <c r="EW7871" s="48"/>
      <c r="FB7871" s="5"/>
      <c r="FI7871" s="5"/>
      <c r="FJ7871" s="164"/>
      <c r="FL7871" s="2"/>
      <c r="FN7871" s="2"/>
    </row>
    <row r="7872" spans="153:170" x14ac:dyDescent="0.35">
      <c r="EW7872" s="48"/>
      <c r="FB7872" s="5"/>
      <c r="FI7872" s="5"/>
      <c r="FJ7872" s="164"/>
      <c r="FL7872" s="2"/>
      <c r="FN7872" s="2"/>
    </row>
    <row r="7873" spans="153:170" x14ac:dyDescent="0.35">
      <c r="EW7873" s="48"/>
      <c r="FB7873" s="5"/>
      <c r="FI7873" s="5"/>
      <c r="FJ7873" s="164"/>
      <c r="FL7873" s="2"/>
      <c r="FN7873" s="2"/>
    </row>
    <row r="7874" spans="153:170" x14ac:dyDescent="0.35">
      <c r="EW7874" s="48"/>
      <c r="FB7874" s="5"/>
      <c r="FI7874" s="5"/>
      <c r="FJ7874" s="164"/>
      <c r="FL7874" s="2"/>
      <c r="FN7874" s="2"/>
    </row>
    <row r="7875" spans="153:170" x14ac:dyDescent="0.35">
      <c r="EW7875" s="48"/>
      <c r="FB7875" s="5"/>
      <c r="FI7875" s="5"/>
      <c r="FJ7875" s="164"/>
      <c r="FL7875" s="2"/>
      <c r="FN7875" s="2"/>
    </row>
    <row r="7876" spans="153:170" x14ac:dyDescent="0.35">
      <c r="EW7876" s="48"/>
      <c r="FB7876" s="5"/>
      <c r="FI7876" s="5"/>
      <c r="FJ7876" s="164"/>
      <c r="FL7876" s="2"/>
      <c r="FN7876" s="2"/>
    </row>
    <row r="7877" spans="153:170" x14ac:dyDescent="0.35">
      <c r="EW7877" s="48"/>
      <c r="FB7877" s="5"/>
      <c r="FI7877" s="5"/>
      <c r="FJ7877" s="164"/>
      <c r="FL7877" s="2"/>
      <c r="FN7877" s="2"/>
    </row>
    <row r="7878" spans="153:170" x14ac:dyDescent="0.35">
      <c r="EW7878" s="48"/>
      <c r="FB7878" s="5"/>
      <c r="FI7878" s="5"/>
      <c r="FJ7878" s="164"/>
      <c r="FL7878" s="2"/>
      <c r="FN7878" s="2"/>
    </row>
    <row r="7879" spans="153:170" x14ac:dyDescent="0.35">
      <c r="EW7879" s="48"/>
      <c r="FB7879" s="5"/>
      <c r="FI7879" s="5"/>
      <c r="FJ7879" s="164"/>
      <c r="FL7879" s="2"/>
      <c r="FN7879" s="2"/>
    </row>
    <row r="7880" spans="153:170" x14ac:dyDescent="0.35">
      <c r="EW7880" s="48"/>
      <c r="FB7880" s="5"/>
      <c r="FI7880" s="5"/>
      <c r="FJ7880" s="164"/>
      <c r="FL7880" s="2"/>
      <c r="FN7880" s="2"/>
    </row>
    <row r="7881" spans="153:170" x14ac:dyDescent="0.35">
      <c r="EW7881" s="48"/>
      <c r="FB7881" s="5"/>
      <c r="FI7881" s="5"/>
      <c r="FJ7881" s="164"/>
      <c r="FL7881" s="2"/>
      <c r="FN7881" s="2"/>
    </row>
    <row r="7882" spans="153:170" x14ac:dyDescent="0.35">
      <c r="EW7882" s="48"/>
      <c r="FB7882" s="5"/>
      <c r="FI7882" s="5"/>
      <c r="FJ7882" s="164"/>
      <c r="FL7882" s="2"/>
      <c r="FN7882" s="2"/>
    </row>
    <row r="7883" spans="153:170" x14ac:dyDescent="0.35">
      <c r="EW7883" s="48"/>
      <c r="FB7883" s="5"/>
      <c r="FI7883" s="5"/>
      <c r="FJ7883" s="164"/>
      <c r="FL7883" s="2"/>
      <c r="FN7883" s="2"/>
    </row>
    <row r="7884" spans="153:170" x14ac:dyDescent="0.35">
      <c r="EW7884" s="48"/>
      <c r="FB7884" s="5"/>
      <c r="FI7884" s="5"/>
      <c r="FJ7884" s="164"/>
      <c r="FL7884" s="2"/>
      <c r="FN7884" s="2"/>
    </row>
    <row r="7885" spans="153:170" x14ac:dyDescent="0.35">
      <c r="EW7885" s="48"/>
      <c r="FB7885" s="5"/>
      <c r="FI7885" s="5"/>
      <c r="FJ7885" s="164"/>
      <c r="FL7885" s="2"/>
      <c r="FN7885" s="2"/>
    </row>
    <row r="7886" spans="153:170" x14ac:dyDescent="0.35">
      <c r="EW7886" s="48"/>
      <c r="FB7886" s="5"/>
      <c r="FI7886" s="5"/>
      <c r="FJ7886" s="164"/>
      <c r="FL7886" s="2"/>
      <c r="FN7886" s="2"/>
    </row>
    <row r="7887" spans="153:170" x14ac:dyDescent="0.35">
      <c r="EW7887" s="48"/>
      <c r="FB7887" s="5"/>
      <c r="FI7887" s="5"/>
      <c r="FJ7887" s="164"/>
      <c r="FL7887" s="2"/>
      <c r="FN7887" s="2"/>
    </row>
    <row r="7888" spans="153:170" x14ac:dyDescent="0.35">
      <c r="EW7888" s="48"/>
      <c r="FB7888" s="5"/>
      <c r="FI7888" s="5"/>
      <c r="FJ7888" s="164"/>
      <c r="FL7888" s="2"/>
      <c r="FN7888" s="2"/>
    </row>
    <row r="7889" spans="153:170" x14ac:dyDescent="0.35">
      <c r="EW7889" s="48"/>
      <c r="FB7889" s="5"/>
      <c r="FI7889" s="5"/>
      <c r="FJ7889" s="164"/>
      <c r="FL7889" s="2"/>
      <c r="FN7889" s="2"/>
    </row>
    <row r="7890" spans="153:170" x14ac:dyDescent="0.35">
      <c r="EW7890" s="48"/>
      <c r="FB7890" s="5"/>
      <c r="FI7890" s="5"/>
      <c r="FJ7890" s="164"/>
      <c r="FL7890" s="2"/>
      <c r="FN7890" s="2"/>
    </row>
    <row r="7891" spans="153:170" x14ac:dyDescent="0.35">
      <c r="EW7891" s="48"/>
      <c r="FB7891" s="5"/>
      <c r="FI7891" s="5"/>
      <c r="FJ7891" s="164"/>
      <c r="FL7891" s="2"/>
      <c r="FN7891" s="2"/>
    </row>
    <row r="7892" spans="153:170" x14ac:dyDescent="0.35">
      <c r="EW7892" s="48"/>
      <c r="FB7892" s="5"/>
      <c r="FI7892" s="5"/>
      <c r="FJ7892" s="164"/>
      <c r="FL7892" s="2"/>
      <c r="FN7892" s="2"/>
    </row>
    <row r="7893" spans="153:170" x14ac:dyDescent="0.35">
      <c r="EW7893" s="48"/>
      <c r="FB7893" s="5"/>
      <c r="FI7893" s="5"/>
      <c r="FJ7893" s="164"/>
      <c r="FL7893" s="2"/>
      <c r="FN7893" s="2"/>
    </row>
    <row r="7894" spans="153:170" x14ac:dyDescent="0.35">
      <c r="EW7894" s="48"/>
      <c r="FB7894" s="5"/>
      <c r="FI7894" s="5"/>
      <c r="FJ7894" s="164"/>
      <c r="FL7894" s="2"/>
      <c r="FN7894" s="2"/>
    </row>
    <row r="7895" spans="153:170" x14ac:dyDescent="0.35">
      <c r="EW7895" s="48"/>
      <c r="FB7895" s="5"/>
      <c r="FI7895" s="5"/>
      <c r="FJ7895" s="164"/>
      <c r="FL7895" s="2"/>
      <c r="FN7895" s="2"/>
    </row>
    <row r="7896" spans="153:170" x14ac:dyDescent="0.35">
      <c r="EW7896" s="48"/>
      <c r="FB7896" s="5"/>
      <c r="FI7896" s="5"/>
      <c r="FJ7896" s="164"/>
      <c r="FL7896" s="2"/>
      <c r="FN7896" s="2"/>
    </row>
    <row r="7897" spans="153:170" x14ac:dyDescent="0.35">
      <c r="EW7897" s="48"/>
      <c r="FB7897" s="5"/>
      <c r="FI7897" s="5"/>
      <c r="FJ7897" s="164"/>
      <c r="FL7897" s="2"/>
      <c r="FN7897" s="2"/>
    </row>
    <row r="7898" spans="153:170" x14ac:dyDescent="0.35">
      <c r="EW7898" s="48"/>
      <c r="FB7898" s="5"/>
      <c r="FI7898" s="5"/>
      <c r="FJ7898" s="164"/>
      <c r="FL7898" s="2"/>
      <c r="FN7898" s="2"/>
    </row>
    <row r="7899" spans="153:170" x14ac:dyDescent="0.35">
      <c r="EW7899" s="48"/>
      <c r="FB7899" s="5"/>
      <c r="FI7899" s="5"/>
      <c r="FJ7899" s="164"/>
      <c r="FL7899" s="2"/>
      <c r="FN7899" s="2"/>
    </row>
    <row r="7900" spans="153:170" x14ac:dyDescent="0.35">
      <c r="EW7900" s="48"/>
      <c r="FB7900" s="5"/>
      <c r="FI7900" s="5"/>
      <c r="FJ7900" s="164"/>
      <c r="FL7900" s="2"/>
      <c r="FN7900" s="2"/>
    </row>
    <row r="7901" spans="153:170" x14ac:dyDescent="0.35">
      <c r="EW7901" s="48"/>
      <c r="FB7901" s="5"/>
      <c r="FI7901" s="5"/>
      <c r="FJ7901" s="164"/>
      <c r="FL7901" s="2"/>
      <c r="FN7901" s="2"/>
    </row>
    <row r="7902" spans="153:170" x14ac:dyDescent="0.35">
      <c r="EW7902" s="48"/>
      <c r="FB7902" s="5"/>
      <c r="FI7902" s="5"/>
      <c r="FJ7902" s="164"/>
      <c r="FL7902" s="2"/>
      <c r="FN7902" s="2"/>
    </row>
    <row r="7903" spans="153:170" x14ac:dyDescent="0.35">
      <c r="EW7903" s="48"/>
      <c r="FB7903" s="5"/>
      <c r="FI7903" s="5"/>
      <c r="FJ7903" s="164"/>
      <c r="FL7903" s="2"/>
      <c r="FN7903" s="2"/>
    </row>
    <row r="7904" spans="153:170" x14ac:dyDescent="0.35">
      <c r="EW7904" s="48"/>
      <c r="FB7904" s="5"/>
      <c r="FI7904" s="5"/>
      <c r="FJ7904" s="164"/>
      <c r="FL7904" s="2"/>
      <c r="FN7904" s="2"/>
    </row>
    <row r="7905" spans="153:170" x14ac:dyDescent="0.35">
      <c r="EW7905" s="48"/>
      <c r="FB7905" s="5"/>
      <c r="FI7905" s="5"/>
      <c r="FJ7905" s="164"/>
      <c r="FL7905" s="2"/>
      <c r="FN7905" s="2"/>
    </row>
    <row r="7906" spans="153:170" x14ac:dyDescent="0.35">
      <c r="EW7906" s="48"/>
      <c r="FB7906" s="5"/>
      <c r="FI7906" s="5"/>
      <c r="FJ7906" s="164"/>
      <c r="FL7906" s="2"/>
      <c r="FN7906" s="2"/>
    </row>
    <row r="7907" spans="153:170" x14ac:dyDescent="0.35">
      <c r="EW7907" s="48"/>
      <c r="FB7907" s="5"/>
      <c r="FI7907" s="5"/>
      <c r="FJ7907" s="164"/>
      <c r="FL7907" s="2"/>
      <c r="FN7907" s="2"/>
    </row>
    <row r="7908" spans="153:170" x14ac:dyDescent="0.35">
      <c r="EW7908" s="48"/>
      <c r="FB7908" s="5"/>
      <c r="FI7908" s="5"/>
      <c r="FJ7908" s="164"/>
      <c r="FL7908" s="2"/>
      <c r="FN7908" s="2"/>
    </row>
    <row r="7909" spans="153:170" x14ac:dyDescent="0.35">
      <c r="EW7909" s="48"/>
      <c r="FB7909" s="5"/>
      <c r="FI7909" s="5"/>
      <c r="FJ7909" s="164"/>
      <c r="FL7909" s="2"/>
      <c r="FN7909" s="2"/>
    </row>
    <row r="7910" spans="153:170" x14ac:dyDescent="0.35">
      <c r="EW7910" s="48"/>
      <c r="FB7910" s="5"/>
      <c r="FI7910" s="5"/>
      <c r="FJ7910" s="164"/>
      <c r="FL7910" s="2"/>
      <c r="FN7910" s="2"/>
    </row>
    <row r="7911" spans="153:170" x14ac:dyDescent="0.35">
      <c r="EW7911" s="48"/>
      <c r="FB7911" s="5"/>
      <c r="FI7911" s="5"/>
      <c r="FJ7911" s="164"/>
      <c r="FL7911" s="2"/>
      <c r="FN7911" s="2"/>
    </row>
    <row r="7912" spans="153:170" x14ac:dyDescent="0.35">
      <c r="EW7912" s="48"/>
      <c r="FB7912" s="5"/>
      <c r="FI7912" s="5"/>
      <c r="FJ7912" s="164"/>
      <c r="FL7912" s="2"/>
      <c r="FN7912" s="2"/>
    </row>
    <row r="7913" spans="153:170" x14ac:dyDescent="0.35">
      <c r="EW7913" s="48"/>
      <c r="FB7913" s="5"/>
      <c r="FI7913" s="5"/>
      <c r="FJ7913" s="164"/>
      <c r="FL7913" s="2"/>
      <c r="FN7913" s="2"/>
    </row>
    <row r="7914" spans="153:170" x14ac:dyDescent="0.35">
      <c r="EW7914" s="48"/>
      <c r="FB7914" s="5"/>
      <c r="FI7914" s="5"/>
      <c r="FJ7914" s="164"/>
      <c r="FL7914" s="2"/>
      <c r="FN7914" s="2"/>
    </row>
    <row r="7915" spans="153:170" x14ac:dyDescent="0.35">
      <c r="EW7915" s="48"/>
      <c r="FB7915" s="5"/>
      <c r="FI7915" s="5"/>
      <c r="FJ7915" s="164"/>
      <c r="FL7915" s="2"/>
      <c r="FN7915" s="2"/>
    </row>
    <row r="7916" spans="153:170" x14ac:dyDescent="0.35">
      <c r="EW7916" s="48"/>
      <c r="FB7916" s="5"/>
      <c r="FI7916" s="5"/>
      <c r="FJ7916" s="164"/>
      <c r="FL7916" s="2"/>
      <c r="FN7916" s="2"/>
    </row>
    <row r="7917" spans="153:170" x14ac:dyDescent="0.35">
      <c r="EW7917" s="48"/>
      <c r="FB7917" s="5"/>
      <c r="FI7917" s="5"/>
      <c r="FJ7917" s="164"/>
      <c r="FL7917" s="2"/>
      <c r="FN7917" s="2"/>
    </row>
    <row r="7918" spans="153:170" x14ac:dyDescent="0.35">
      <c r="EW7918" s="48"/>
      <c r="FB7918" s="5"/>
      <c r="FI7918" s="5"/>
      <c r="FJ7918" s="164"/>
      <c r="FL7918" s="2"/>
      <c r="FN7918" s="2"/>
    </row>
    <row r="7919" spans="153:170" x14ac:dyDescent="0.35">
      <c r="EW7919" s="48"/>
      <c r="FB7919" s="5"/>
      <c r="FI7919" s="5"/>
      <c r="FJ7919" s="164"/>
      <c r="FL7919" s="2"/>
      <c r="FN7919" s="2"/>
    </row>
    <row r="7920" spans="153:170" x14ac:dyDescent="0.35">
      <c r="EW7920" s="48"/>
      <c r="FB7920" s="5"/>
      <c r="FI7920" s="5"/>
      <c r="FJ7920" s="164"/>
      <c r="FL7920" s="2"/>
      <c r="FN7920" s="2"/>
    </row>
    <row r="7921" spans="153:170" x14ac:dyDescent="0.35">
      <c r="EW7921" s="48"/>
      <c r="FB7921" s="5"/>
      <c r="FI7921" s="5"/>
      <c r="FJ7921" s="164"/>
      <c r="FL7921" s="2"/>
      <c r="FN7921" s="2"/>
    </row>
    <row r="7922" spans="153:170" x14ac:dyDescent="0.35">
      <c r="EW7922" s="48"/>
      <c r="FB7922" s="5"/>
      <c r="FI7922" s="5"/>
      <c r="FJ7922" s="164"/>
      <c r="FL7922" s="2"/>
      <c r="FN7922" s="2"/>
    </row>
    <row r="7923" spans="153:170" x14ac:dyDescent="0.35">
      <c r="EW7923" s="48"/>
      <c r="FB7923" s="5"/>
      <c r="FI7923" s="5"/>
      <c r="FJ7923" s="164"/>
      <c r="FL7923" s="2"/>
      <c r="FN7923" s="2"/>
    </row>
    <row r="7924" spans="153:170" x14ac:dyDescent="0.35">
      <c r="EW7924" s="48"/>
      <c r="FB7924" s="5"/>
      <c r="FI7924" s="5"/>
      <c r="FJ7924" s="164"/>
      <c r="FL7924" s="2"/>
      <c r="FN7924" s="2"/>
    </row>
    <row r="7925" spans="153:170" x14ac:dyDescent="0.35">
      <c r="EW7925" s="48"/>
      <c r="FB7925" s="5"/>
      <c r="FI7925" s="5"/>
      <c r="FJ7925" s="164"/>
      <c r="FL7925" s="2"/>
      <c r="FN7925" s="2"/>
    </row>
    <row r="7926" spans="153:170" x14ac:dyDescent="0.35">
      <c r="EW7926" s="48"/>
      <c r="FB7926" s="5"/>
      <c r="FI7926" s="5"/>
      <c r="FJ7926" s="164"/>
      <c r="FL7926" s="2"/>
      <c r="FN7926" s="2"/>
    </row>
    <row r="7927" spans="153:170" x14ac:dyDescent="0.35">
      <c r="EW7927" s="48"/>
      <c r="FB7927" s="5"/>
      <c r="FI7927" s="5"/>
      <c r="FJ7927" s="164"/>
      <c r="FL7927" s="2"/>
      <c r="FN7927" s="2"/>
    </row>
    <row r="7928" spans="153:170" x14ac:dyDescent="0.35">
      <c r="EW7928" s="48"/>
      <c r="FB7928" s="5"/>
      <c r="FI7928" s="5"/>
      <c r="FJ7928" s="164"/>
      <c r="FL7928" s="2"/>
      <c r="FN7928" s="2"/>
    </row>
    <row r="7929" spans="153:170" x14ac:dyDescent="0.35">
      <c r="EW7929" s="48"/>
      <c r="FB7929" s="5"/>
      <c r="FI7929" s="5"/>
      <c r="FJ7929" s="164"/>
      <c r="FL7929" s="2"/>
      <c r="FN7929" s="2"/>
    </row>
    <row r="7930" spans="153:170" x14ac:dyDescent="0.35">
      <c r="EW7930" s="48"/>
      <c r="FB7930" s="5"/>
      <c r="FI7930" s="5"/>
      <c r="FJ7930" s="164"/>
      <c r="FL7930" s="2"/>
      <c r="FN7930" s="2"/>
    </row>
    <row r="7931" spans="153:170" x14ac:dyDescent="0.35">
      <c r="EW7931" s="48"/>
      <c r="FB7931" s="5"/>
      <c r="FI7931" s="5"/>
      <c r="FJ7931" s="164"/>
      <c r="FL7931" s="2"/>
      <c r="FN7931" s="2"/>
    </row>
    <row r="7932" spans="153:170" x14ac:dyDescent="0.35">
      <c r="EW7932" s="48"/>
      <c r="FB7932" s="5"/>
      <c r="FI7932" s="5"/>
      <c r="FJ7932" s="164"/>
      <c r="FL7932" s="2"/>
      <c r="FN7932" s="2"/>
    </row>
    <row r="7933" spans="153:170" x14ac:dyDescent="0.35">
      <c r="EW7933" s="48"/>
      <c r="FB7933" s="5"/>
      <c r="FI7933" s="5"/>
      <c r="FJ7933" s="164"/>
      <c r="FL7933" s="2"/>
      <c r="FN7933" s="2"/>
    </row>
    <row r="7934" spans="153:170" x14ac:dyDescent="0.35">
      <c r="EW7934" s="48"/>
      <c r="FB7934" s="5"/>
      <c r="FI7934" s="5"/>
      <c r="FJ7934" s="164"/>
      <c r="FL7934" s="2"/>
      <c r="FN7934" s="2"/>
    </row>
    <row r="7935" spans="153:170" x14ac:dyDescent="0.35">
      <c r="EW7935" s="48"/>
      <c r="FB7935" s="5"/>
      <c r="FI7935" s="5"/>
      <c r="FJ7935" s="164"/>
      <c r="FL7935" s="2"/>
      <c r="FN7935" s="2"/>
    </row>
    <row r="7936" spans="153:170" x14ac:dyDescent="0.35">
      <c r="EW7936" s="48"/>
      <c r="FB7936" s="5"/>
      <c r="FI7936" s="5"/>
      <c r="FJ7936" s="164"/>
      <c r="FL7936" s="2"/>
      <c r="FN7936" s="2"/>
    </row>
    <row r="7937" spans="153:170" x14ac:dyDescent="0.35">
      <c r="EW7937" s="48"/>
      <c r="FB7937" s="5"/>
      <c r="FI7937" s="5"/>
      <c r="FJ7937" s="164"/>
      <c r="FL7937" s="2"/>
      <c r="FN7937" s="2"/>
    </row>
    <row r="7938" spans="153:170" x14ac:dyDescent="0.35">
      <c r="EW7938" s="48"/>
      <c r="FB7938" s="5"/>
      <c r="FI7938" s="5"/>
      <c r="FJ7938" s="164"/>
      <c r="FL7938" s="2"/>
      <c r="FN7938" s="2"/>
    </row>
    <row r="7939" spans="153:170" x14ac:dyDescent="0.35">
      <c r="EW7939" s="48"/>
      <c r="FB7939" s="5"/>
      <c r="FI7939" s="5"/>
      <c r="FJ7939" s="164"/>
      <c r="FL7939" s="2"/>
      <c r="FN7939" s="2"/>
    </row>
    <row r="7940" spans="153:170" x14ac:dyDescent="0.35">
      <c r="EW7940" s="48"/>
      <c r="FB7940" s="5"/>
      <c r="FI7940" s="5"/>
      <c r="FJ7940" s="164"/>
      <c r="FL7940" s="2"/>
      <c r="FN7940" s="2"/>
    </row>
    <row r="7941" spans="153:170" x14ac:dyDescent="0.35">
      <c r="EW7941" s="48"/>
      <c r="FB7941" s="5"/>
      <c r="FI7941" s="5"/>
      <c r="FJ7941" s="164"/>
      <c r="FL7941" s="2"/>
      <c r="FN7941" s="2"/>
    </row>
    <row r="7942" spans="153:170" x14ac:dyDescent="0.35">
      <c r="EW7942" s="48"/>
      <c r="FB7942" s="5"/>
      <c r="FI7942" s="5"/>
      <c r="FJ7942" s="164"/>
      <c r="FL7942" s="2"/>
      <c r="FN7942" s="2"/>
    </row>
    <row r="7943" spans="153:170" x14ac:dyDescent="0.35">
      <c r="EW7943" s="48"/>
      <c r="FB7943" s="5"/>
      <c r="FI7943" s="5"/>
      <c r="FJ7943" s="164"/>
      <c r="FL7943" s="2"/>
      <c r="FN7943" s="2"/>
    </row>
    <row r="7944" spans="153:170" x14ac:dyDescent="0.35">
      <c r="EW7944" s="48"/>
      <c r="FB7944" s="5"/>
      <c r="FI7944" s="5"/>
      <c r="FJ7944" s="164"/>
      <c r="FL7944" s="2"/>
      <c r="FN7944" s="2"/>
    </row>
    <row r="7945" spans="153:170" x14ac:dyDescent="0.35">
      <c r="EW7945" s="48"/>
      <c r="FB7945" s="5"/>
      <c r="FI7945" s="5"/>
      <c r="FJ7945" s="164"/>
      <c r="FL7945" s="2"/>
      <c r="FN7945" s="2"/>
    </row>
    <row r="7946" spans="153:170" x14ac:dyDescent="0.35">
      <c r="EW7946" s="48"/>
      <c r="FB7946" s="5"/>
      <c r="FI7946" s="5"/>
      <c r="FJ7946" s="164"/>
      <c r="FL7946" s="2"/>
      <c r="FN7946" s="2"/>
    </row>
    <row r="7947" spans="153:170" x14ac:dyDescent="0.35">
      <c r="EW7947" s="48"/>
      <c r="FB7947" s="5"/>
      <c r="FI7947" s="5"/>
      <c r="FJ7947" s="164"/>
      <c r="FL7947" s="2"/>
      <c r="FN7947" s="2"/>
    </row>
    <row r="7948" spans="153:170" x14ac:dyDescent="0.35">
      <c r="EW7948" s="48"/>
      <c r="FB7948" s="5"/>
      <c r="FI7948" s="5"/>
      <c r="FJ7948" s="164"/>
      <c r="FL7948" s="2"/>
      <c r="FN7948" s="2"/>
    </row>
    <row r="7949" spans="153:170" x14ac:dyDescent="0.35">
      <c r="EW7949" s="48"/>
      <c r="FB7949" s="5"/>
      <c r="FI7949" s="5"/>
      <c r="FJ7949" s="164"/>
      <c r="FL7949" s="2"/>
      <c r="FN7949" s="2"/>
    </row>
    <row r="7950" spans="153:170" x14ac:dyDescent="0.35">
      <c r="EW7950" s="48"/>
      <c r="FB7950" s="5"/>
      <c r="FI7950" s="5"/>
      <c r="FJ7950" s="164"/>
      <c r="FL7950" s="2"/>
      <c r="FN7950" s="2"/>
    </row>
    <row r="7951" spans="153:170" x14ac:dyDescent="0.35">
      <c r="EW7951" s="48"/>
      <c r="FB7951" s="5"/>
      <c r="FI7951" s="5"/>
      <c r="FJ7951" s="164"/>
      <c r="FL7951" s="2"/>
      <c r="FN7951" s="2"/>
    </row>
    <row r="7952" spans="153:170" x14ac:dyDescent="0.35">
      <c r="EW7952" s="48"/>
      <c r="FB7952" s="5"/>
      <c r="FI7952" s="5"/>
      <c r="FJ7952" s="164"/>
      <c r="FL7952" s="2"/>
      <c r="FN7952" s="2"/>
    </row>
    <row r="7953" spans="153:170" x14ac:dyDescent="0.35">
      <c r="EW7953" s="48"/>
      <c r="FB7953" s="5"/>
      <c r="FI7953" s="5"/>
      <c r="FJ7953" s="164"/>
      <c r="FL7953" s="2"/>
      <c r="FN7953" s="2"/>
    </row>
    <row r="7954" spans="153:170" x14ac:dyDescent="0.35">
      <c r="EW7954" s="48"/>
      <c r="FB7954" s="5"/>
      <c r="FI7954" s="5"/>
      <c r="FJ7954" s="164"/>
      <c r="FL7954" s="2"/>
      <c r="FN7954" s="2"/>
    </row>
    <row r="7955" spans="153:170" x14ac:dyDescent="0.35">
      <c r="EW7955" s="48"/>
      <c r="FB7955" s="5"/>
      <c r="FI7955" s="5"/>
      <c r="FJ7955" s="164"/>
      <c r="FL7955" s="2"/>
      <c r="FN7955" s="2"/>
    </row>
    <row r="7956" spans="153:170" x14ac:dyDescent="0.35">
      <c r="EW7956" s="48"/>
      <c r="FB7956" s="5"/>
      <c r="FI7956" s="5"/>
      <c r="FJ7956" s="164"/>
      <c r="FL7956" s="2"/>
      <c r="FN7956" s="2"/>
    </row>
    <row r="7957" spans="153:170" x14ac:dyDescent="0.35">
      <c r="EW7957" s="48"/>
      <c r="FB7957" s="5"/>
      <c r="FI7957" s="5"/>
      <c r="FJ7957" s="164"/>
      <c r="FL7957" s="2"/>
      <c r="FN7957" s="2"/>
    </row>
    <row r="7958" spans="153:170" x14ac:dyDescent="0.35">
      <c r="EW7958" s="48"/>
      <c r="FB7958" s="5"/>
      <c r="FI7958" s="5"/>
      <c r="FJ7958" s="164"/>
      <c r="FL7958" s="2"/>
      <c r="FN7958" s="2"/>
    </row>
    <row r="7959" spans="153:170" x14ac:dyDescent="0.35">
      <c r="EW7959" s="48"/>
      <c r="FB7959" s="5"/>
      <c r="FI7959" s="5"/>
      <c r="FJ7959" s="164"/>
      <c r="FL7959" s="2"/>
      <c r="FN7959" s="2"/>
    </row>
    <row r="7960" spans="153:170" x14ac:dyDescent="0.35">
      <c r="EW7960" s="48"/>
      <c r="FB7960" s="5"/>
      <c r="FI7960" s="5"/>
      <c r="FJ7960" s="164"/>
      <c r="FL7960" s="2"/>
      <c r="FN7960" s="2"/>
    </row>
    <row r="7961" spans="153:170" x14ac:dyDescent="0.35">
      <c r="EW7961" s="48"/>
      <c r="FB7961" s="5"/>
      <c r="FI7961" s="5"/>
      <c r="FJ7961" s="164"/>
      <c r="FL7961" s="2"/>
      <c r="FN7961" s="2"/>
    </row>
    <row r="7962" spans="153:170" x14ac:dyDescent="0.35">
      <c r="EW7962" s="48"/>
      <c r="FB7962" s="5"/>
      <c r="FI7962" s="5"/>
      <c r="FJ7962" s="164"/>
      <c r="FL7962" s="2"/>
      <c r="FN7962" s="2"/>
    </row>
    <row r="7963" spans="153:170" x14ac:dyDescent="0.35">
      <c r="EW7963" s="48"/>
      <c r="FB7963" s="5"/>
      <c r="FI7963" s="5"/>
      <c r="FJ7963" s="164"/>
      <c r="FL7963" s="2"/>
      <c r="FN7963" s="2"/>
    </row>
    <row r="7964" spans="153:170" x14ac:dyDescent="0.35">
      <c r="EW7964" s="48"/>
      <c r="FB7964" s="5"/>
      <c r="FI7964" s="5"/>
      <c r="FJ7964" s="164"/>
      <c r="FL7964" s="2"/>
      <c r="FN7964" s="2"/>
    </row>
    <row r="7965" spans="153:170" x14ac:dyDescent="0.35">
      <c r="EW7965" s="48"/>
      <c r="FB7965" s="5"/>
      <c r="FI7965" s="5"/>
      <c r="FJ7965" s="164"/>
      <c r="FL7965" s="2"/>
      <c r="FN7965" s="2"/>
    </row>
    <row r="7966" spans="153:170" x14ac:dyDescent="0.35">
      <c r="EW7966" s="48"/>
      <c r="FB7966" s="5"/>
      <c r="FI7966" s="5"/>
      <c r="FJ7966" s="164"/>
      <c r="FL7966" s="2"/>
      <c r="FN7966" s="2"/>
    </row>
    <row r="7967" spans="153:170" x14ac:dyDescent="0.35">
      <c r="EW7967" s="48"/>
      <c r="FB7967" s="5"/>
      <c r="FI7967" s="5"/>
      <c r="FJ7967" s="164"/>
      <c r="FL7967" s="2"/>
      <c r="FN7967" s="2"/>
    </row>
    <row r="7968" spans="153:170" x14ac:dyDescent="0.35">
      <c r="EW7968" s="48"/>
      <c r="FB7968" s="5"/>
      <c r="FI7968" s="5"/>
      <c r="FJ7968" s="164"/>
      <c r="FL7968" s="2"/>
      <c r="FN7968" s="2"/>
    </row>
    <row r="7969" spans="153:170" x14ac:dyDescent="0.35">
      <c r="EW7969" s="48"/>
      <c r="FB7969" s="5"/>
      <c r="FI7969" s="5"/>
      <c r="FJ7969" s="164"/>
      <c r="FL7969" s="2"/>
      <c r="FN7969" s="2"/>
    </row>
    <row r="7970" spans="153:170" x14ac:dyDescent="0.35">
      <c r="EW7970" s="48"/>
      <c r="FB7970" s="5"/>
      <c r="FI7970" s="5"/>
      <c r="FJ7970" s="164"/>
      <c r="FL7970" s="2"/>
      <c r="FN7970" s="2"/>
    </row>
    <row r="7971" spans="153:170" x14ac:dyDescent="0.35">
      <c r="EW7971" s="48"/>
      <c r="FB7971" s="5"/>
      <c r="FI7971" s="5"/>
      <c r="FJ7971" s="164"/>
      <c r="FL7971" s="2"/>
      <c r="FN7971" s="2"/>
    </row>
    <row r="7972" spans="153:170" x14ac:dyDescent="0.35">
      <c r="EW7972" s="48"/>
      <c r="FB7972" s="5"/>
      <c r="FI7972" s="5"/>
      <c r="FJ7972" s="164"/>
      <c r="FL7972" s="2"/>
      <c r="FN7972" s="2"/>
    </row>
    <row r="7973" spans="153:170" x14ac:dyDescent="0.35">
      <c r="EW7973" s="48"/>
      <c r="FB7973" s="5"/>
      <c r="FI7973" s="5"/>
      <c r="FJ7973" s="164"/>
      <c r="FL7973" s="2"/>
      <c r="FN7973" s="2"/>
    </row>
    <row r="7974" spans="153:170" x14ac:dyDescent="0.35">
      <c r="EW7974" s="48"/>
      <c r="FB7974" s="5"/>
      <c r="FI7974" s="5"/>
      <c r="FJ7974" s="164"/>
      <c r="FL7974" s="2"/>
      <c r="FN7974" s="2"/>
    </row>
    <row r="7975" spans="153:170" x14ac:dyDescent="0.35">
      <c r="EW7975" s="48"/>
      <c r="FB7975" s="5"/>
      <c r="FI7975" s="5"/>
      <c r="FJ7975" s="164"/>
      <c r="FL7975" s="2"/>
      <c r="FN7975" s="2"/>
    </row>
    <row r="7976" spans="153:170" x14ac:dyDescent="0.35">
      <c r="EW7976" s="48"/>
      <c r="FB7976" s="5"/>
      <c r="FI7976" s="5"/>
      <c r="FJ7976" s="164"/>
      <c r="FL7976" s="2"/>
      <c r="FN7976" s="2"/>
    </row>
    <row r="7977" spans="153:170" x14ac:dyDescent="0.35">
      <c r="EW7977" s="48"/>
      <c r="FB7977" s="5"/>
      <c r="FI7977" s="5"/>
      <c r="FJ7977" s="164"/>
      <c r="FL7977" s="2"/>
      <c r="FN7977" s="2"/>
    </row>
    <row r="7978" spans="153:170" x14ac:dyDescent="0.35">
      <c r="EW7978" s="48"/>
      <c r="FB7978" s="5"/>
      <c r="FI7978" s="5"/>
      <c r="FJ7978" s="164"/>
      <c r="FL7978" s="2"/>
      <c r="FN7978" s="2"/>
    </row>
    <row r="7979" spans="153:170" x14ac:dyDescent="0.35">
      <c r="EW7979" s="48"/>
      <c r="FB7979" s="5"/>
      <c r="FI7979" s="5"/>
      <c r="FJ7979" s="164"/>
      <c r="FL7979" s="2"/>
      <c r="FN7979" s="2"/>
    </row>
    <row r="7980" spans="153:170" x14ac:dyDescent="0.35">
      <c r="EW7980" s="48"/>
      <c r="FB7980" s="5"/>
      <c r="FI7980" s="5"/>
      <c r="FJ7980" s="164"/>
      <c r="FL7980" s="2"/>
      <c r="FN7980" s="2"/>
    </row>
    <row r="7981" spans="153:170" x14ac:dyDescent="0.35">
      <c r="EW7981" s="48"/>
      <c r="FB7981" s="5"/>
      <c r="FI7981" s="5"/>
      <c r="FJ7981" s="164"/>
      <c r="FL7981" s="2"/>
      <c r="FN7981" s="2"/>
    </row>
    <row r="7982" spans="153:170" x14ac:dyDescent="0.35">
      <c r="EW7982" s="48"/>
      <c r="FB7982" s="5"/>
      <c r="FI7982" s="5"/>
      <c r="FJ7982" s="164"/>
      <c r="FL7982" s="2"/>
      <c r="FN7982" s="2"/>
    </row>
    <row r="7983" spans="153:170" x14ac:dyDescent="0.35">
      <c r="EW7983" s="48"/>
      <c r="FB7983" s="5"/>
      <c r="FI7983" s="5"/>
      <c r="FJ7983" s="164"/>
      <c r="FL7983" s="2"/>
      <c r="FN7983" s="2"/>
    </row>
    <row r="7984" spans="153:170" x14ac:dyDescent="0.35">
      <c r="EW7984" s="48"/>
      <c r="FB7984" s="5"/>
      <c r="FI7984" s="5"/>
      <c r="FJ7984" s="164"/>
      <c r="FL7984" s="2"/>
      <c r="FN7984" s="2"/>
    </row>
    <row r="7985" spans="153:170" x14ac:dyDescent="0.35">
      <c r="EW7985" s="48"/>
      <c r="FB7985" s="5"/>
      <c r="FI7985" s="5"/>
      <c r="FJ7985" s="164"/>
      <c r="FL7985" s="2"/>
      <c r="FN7985" s="2"/>
    </row>
    <row r="7986" spans="153:170" x14ac:dyDescent="0.35">
      <c r="EW7986" s="48"/>
      <c r="FB7986" s="5"/>
      <c r="FI7986" s="5"/>
      <c r="FJ7986" s="164"/>
      <c r="FL7986" s="2"/>
      <c r="FN7986" s="2"/>
    </row>
    <row r="7987" spans="153:170" x14ac:dyDescent="0.35">
      <c r="EW7987" s="48"/>
      <c r="FB7987" s="5"/>
      <c r="FI7987" s="5"/>
      <c r="FJ7987" s="164"/>
      <c r="FL7987" s="2"/>
      <c r="FN7987" s="2"/>
    </row>
    <row r="7988" spans="153:170" x14ac:dyDescent="0.35">
      <c r="EW7988" s="48"/>
      <c r="FB7988" s="5"/>
      <c r="FI7988" s="5"/>
      <c r="FJ7988" s="164"/>
      <c r="FL7988" s="2"/>
      <c r="FN7988" s="2"/>
    </row>
    <row r="7989" spans="153:170" x14ac:dyDescent="0.35">
      <c r="EW7989" s="48"/>
      <c r="FB7989" s="5"/>
      <c r="FI7989" s="5"/>
      <c r="FJ7989" s="164"/>
      <c r="FL7989" s="2"/>
      <c r="FN7989" s="2"/>
    </row>
    <row r="7990" spans="153:170" x14ac:dyDescent="0.35">
      <c r="EW7990" s="48"/>
      <c r="FB7990" s="5"/>
      <c r="FI7990" s="5"/>
      <c r="FJ7990" s="164"/>
      <c r="FL7990" s="2"/>
      <c r="FN7990" s="2"/>
    </row>
    <row r="7991" spans="153:170" x14ac:dyDescent="0.35">
      <c r="EW7991" s="48"/>
      <c r="FB7991" s="5"/>
      <c r="FI7991" s="5"/>
      <c r="FJ7991" s="164"/>
      <c r="FL7991" s="2"/>
      <c r="FN7991" s="2"/>
    </row>
    <row r="7992" spans="153:170" x14ac:dyDescent="0.35">
      <c r="EW7992" s="48"/>
      <c r="FB7992" s="5"/>
      <c r="FI7992" s="5"/>
      <c r="FJ7992" s="164"/>
      <c r="FL7992" s="2"/>
      <c r="FN7992" s="2"/>
    </row>
    <row r="7993" spans="153:170" x14ac:dyDescent="0.35">
      <c r="EW7993" s="48"/>
      <c r="FB7993" s="5"/>
      <c r="FI7993" s="5"/>
      <c r="FJ7993" s="164"/>
      <c r="FL7993" s="2"/>
      <c r="FN7993" s="2"/>
    </row>
    <row r="7994" spans="153:170" x14ac:dyDescent="0.35">
      <c r="EW7994" s="48"/>
      <c r="FB7994" s="5"/>
      <c r="FI7994" s="5"/>
      <c r="FJ7994" s="164"/>
      <c r="FL7994" s="2"/>
      <c r="FN7994" s="2"/>
    </row>
    <row r="7995" spans="153:170" x14ac:dyDescent="0.35">
      <c r="EW7995" s="48"/>
      <c r="FB7995" s="5"/>
      <c r="FI7995" s="5"/>
      <c r="FJ7995" s="164"/>
      <c r="FL7995" s="2"/>
      <c r="FN7995" s="2"/>
    </row>
    <row r="7996" spans="153:170" x14ac:dyDescent="0.35">
      <c r="EW7996" s="48"/>
      <c r="FB7996" s="5"/>
      <c r="FI7996" s="5"/>
      <c r="FJ7996" s="164"/>
      <c r="FL7996" s="2"/>
      <c r="FN7996" s="2"/>
    </row>
    <row r="7997" spans="153:170" x14ac:dyDescent="0.35">
      <c r="EW7997" s="48"/>
      <c r="FB7997" s="5"/>
      <c r="FI7997" s="5"/>
      <c r="FJ7997" s="164"/>
      <c r="FL7997" s="2"/>
      <c r="FN7997" s="2"/>
    </row>
    <row r="7998" spans="153:170" x14ac:dyDescent="0.35">
      <c r="EW7998" s="48"/>
      <c r="FB7998" s="5"/>
      <c r="FI7998" s="5"/>
      <c r="FJ7998" s="164"/>
      <c r="FL7998" s="2"/>
      <c r="FN7998" s="2"/>
    </row>
    <row r="7999" spans="153:170" x14ac:dyDescent="0.35">
      <c r="EW7999" s="48"/>
      <c r="FB7999" s="5"/>
      <c r="FI7999" s="5"/>
      <c r="FJ7999" s="164"/>
      <c r="FL7999" s="2"/>
      <c r="FN7999" s="2"/>
    </row>
    <row r="8000" spans="153:170" x14ac:dyDescent="0.35">
      <c r="EW8000" s="48"/>
      <c r="FB8000" s="5"/>
      <c r="FI8000" s="5"/>
      <c r="FJ8000" s="164"/>
      <c r="FL8000" s="2"/>
      <c r="FN8000" s="2"/>
    </row>
    <row r="8001" spans="153:170" x14ac:dyDescent="0.35">
      <c r="EW8001" s="48"/>
      <c r="FB8001" s="5"/>
      <c r="FI8001" s="5"/>
      <c r="FJ8001" s="164"/>
      <c r="FL8001" s="2"/>
      <c r="FN8001" s="2"/>
    </row>
    <row r="8002" spans="153:170" x14ac:dyDescent="0.35">
      <c r="EW8002" s="48"/>
      <c r="FB8002" s="5"/>
      <c r="FI8002" s="5"/>
      <c r="FJ8002" s="164"/>
      <c r="FL8002" s="2"/>
      <c r="FN8002" s="2"/>
    </row>
    <row r="8003" spans="153:170" x14ac:dyDescent="0.35">
      <c r="EW8003" s="48"/>
      <c r="FB8003" s="5"/>
      <c r="FI8003" s="5"/>
      <c r="FJ8003" s="164"/>
      <c r="FL8003" s="2"/>
      <c r="FN8003" s="2"/>
    </row>
    <row r="8004" spans="153:170" x14ac:dyDescent="0.35">
      <c r="EW8004" s="48"/>
      <c r="FB8004" s="5"/>
      <c r="FI8004" s="5"/>
      <c r="FJ8004" s="164"/>
      <c r="FL8004" s="2"/>
      <c r="FN8004" s="2"/>
    </row>
    <row r="8005" spans="153:170" x14ac:dyDescent="0.35">
      <c r="EW8005" s="48"/>
      <c r="FB8005" s="5"/>
      <c r="FI8005" s="5"/>
      <c r="FJ8005" s="164"/>
      <c r="FL8005" s="2"/>
      <c r="FN8005" s="2"/>
    </row>
    <row r="8006" spans="153:170" x14ac:dyDescent="0.35">
      <c r="EW8006" s="48"/>
      <c r="FB8006" s="5"/>
      <c r="FI8006" s="5"/>
      <c r="FJ8006" s="164"/>
      <c r="FL8006" s="2"/>
      <c r="FN8006" s="2"/>
    </row>
    <row r="8007" spans="153:170" x14ac:dyDescent="0.35">
      <c r="EW8007" s="48"/>
      <c r="FB8007" s="5"/>
      <c r="FI8007" s="5"/>
      <c r="FJ8007" s="164"/>
      <c r="FL8007" s="2"/>
      <c r="FN8007" s="2"/>
    </row>
    <row r="8008" spans="153:170" x14ac:dyDescent="0.35">
      <c r="EW8008" s="48"/>
      <c r="FB8008" s="5"/>
      <c r="FI8008" s="5"/>
      <c r="FJ8008" s="164"/>
      <c r="FL8008" s="2"/>
      <c r="FN8008" s="2"/>
    </row>
    <row r="8009" spans="153:170" x14ac:dyDescent="0.35">
      <c r="EW8009" s="48"/>
      <c r="FB8009" s="5"/>
      <c r="FI8009" s="5"/>
      <c r="FJ8009" s="164"/>
      <c r="FL8009" s="2"/>
      <c r="FN8009" s="2"/>
    </row>
    <row r="8010" spans="153:170" x14ac:dyDescent="0.35">
      <c r="EW8010" s="48"/>
      <c r="FB8010" s="5"/>
      <c r="FI8010" s="5"/>
      <c r="FJ8010" s="164"/>
      <c r="FL8010" s="2"/>
      <c r="FN8010" s="2"/>
    </row>
    <row r="8011" spans="153:170" x14ac:dyDescent="0.35">
      <c r="EW8011" s="48"/>
      <c r="FB8011" s="5"/>
      <c r="FI8011" s="5"/>
      <c r="FJ8011" s="164"/>
      <c r="FL8011" s="2"/>
      <c r="FN8011" s="2"/>
    </row>
    <row r="8012" spans="153:170" x14ac:dyDescent="0.35">
      <c r="EW8012" s="48"/>
      <c r="FB8012" s="5"/>
      <c r="FI8012" s="5"/>
      <c r="FJ8012" s="164"/>
      <c r="FL8012" s="2"/>
      <c r="FN8012" s="2"/>
    </row>
    <row r="8013" spans="153:170" x14ac:dyDescent="0.35">
      <c r="EW8013" s="48"/>
      <c r="FB8013" s="5"/>
      <c r="FI8013" s="5"/>
      <c r="FJ8013" s="164"/>
      <c r="FL8013" s="2"/>
      <c r="FN8013" s="2"/>
    </row>
    <row r="8014" spans="153:170" x14ac:dyDescent="0.35">
      <c r="EW8014" s="48"/>
      <c r="FB8014" s="5"/>
      <c r="FI8014" s="5"/>
      <c r="FJ8014" s="164"/>
      <c r="FL8014" s="2"/>
      <c r="FN8014" s="2"/>
    </row>
    <row r="8015" spans="153:170" x14ac:dyDescent="0.35">
      <c r="EW8015" s="48"/>
      <c r="FB8015" s="5"/>
      <c r="FI8015" s="5"/>
      <c r="FJ8015" s="164"/>
      <c r="FL8015" s="2"/>
      <c r="FN8015" s="2"/>
    </row>
    <row r="8016" spans="153:170" x14ac:dyDescent="0.35">
      <c r="EW8016" s="48"/>
      <c r="FB8016" s="5"/>
      <c r="FI8016" s="5"/>
      <c r="FJ8016" s="164"/>
      <c r="FL8016" s="2"/>
      <c r="FN8016" s="2"/>
    </row>
    <row r="8017" spans="153:170" x14ac:dyDescent="0.35">
      <c r="EW8017" s="48"/>
      <c r="FB8017" s="5"/>
      <c r="FI8017" s="5"/>
      <c r="FJ8017" s="164"/>
      <c r="FL8017" s="2"/>
      <c r="FN8017" s="2"/>
    </row>
    <row r="8018" spans="153:170" x14ac:dyDescent="0.35">
      <c r="EW8018" s="48"/>
      <c r="FB8018" s="5"/>
      <c r="FI8018" s="5"/>
      <c r="FJ8018" s="164"/>
      <c r="FL8018" s="2"/>
      <c r="FN8018" s="2"/>
    </row>
    <row r="8019" spans="153:170" x14ac:dyDescent="0.35">
      <c r="EW8019" s="48"/>
      <c r="FB8019" s="5"/>
      <c r="FI8019" s="5"/>
      <c r="FJ8019" s="164"/>
      <c r="FL8019" s="2"/>
      <c r="FN8019" s="2"/>
    </row>
    <row r="8020" spans="153:170" x14ac:dyDescent="0.35">
      <c r="EW8020" s="48"/>
      <c r="FB8020" s="5"/>
      <c r="FI8020" s="5"/>
      <c r="FJ8020" s="164"/>
      <c r="FL8020" s="2"/>
      <c r="FN8020" s="2"/>
    </row>
    <row r="8021" spans="153:170" x14ac:dyDescent="0.35">
      <c r="EW8021" s="48"/>
      <c r="FB8021" s="5"/>
      <c r="FI8021" s="5"/>
      <c r="FJ8021" s="164"/>
      <c r="FL8021" s="2"/>
      <c r="FN8021" s="2"/>
    </row>
    <row r="8022" spans="153:170" x14ac:dyDescent="0.35">
      <c r="EW8022" s="48"/>
      <c r="FB8022" s="5"/>
      <c r="FI8022" s="5"/>
      <c r="FJ8022" s="164"/>
      <c r="FL8022" s="2"/>
      <c r="FN8022" s="2"/>
    </row>
    <row r="8023" spans="153:170" x14ac:dyDescent="0.35">
      <c r="EW8023" s="48"/>
      <c r="FB8023" s="5"/>
      <c r="FI8023" s="5"/>
      <c r="FJ8023" s="164"/>
      <c r="FL8023" s="2"/>
      <c r="FN8023" s="2"/>
    </row>
    <row r="8024" spans="153:170" x14ac:dyDescent="0.35">
      <c r="EW8024" s="48"/>
      <c r="FB8024" s="5"/>
      <c r="FI8024" s="5"/>
      <c r="FJ8024" s="164"/>
      <c r="FL8024" s="2"/>
      <c r="FN8024" s="2"/>
    </row>
    <row r="8025" spans="153:170" x14ac:dyDescent="0.35">
      <c r="EW8025" s="48"/>
      <c r="FB8025" s="5"/>
      <c r="FI8025" s="5"/>
      <c r="FJ8025" s="164"/>
      <c r="FL8025" s="2"/>
      <c r="FN8025" s="2"/>
    </row>
    <row r="8026" spans="153:170" x14ac:dyDescent="0.35">
      <c r="EW8026" s="48"/>
      <c r="FB8026" s="5"/>
      <c r="FI8026" s="5"/>
      <c r="FJ8026" s="164"/>
      <c r="FL8026" s="2"/>
      <c r="FN8026" s="2"/>
    </row>
    <row r="8027" spans="153:170" x14ac:dyDescent="0.35">
      <c r="EW8027" s="48"/>
      <c r="FB8027" s="5"/>
      <c r="FI8027" s="5"/>
      <c r="FJ8027" s="164"/>
      <c r="FL8027" s="2"/>
      <c r="FN8027" s="2"/>
    </row>
    <row r="8028" spans="153:170" x14ac:dyDescent="0.35">
      <c r="EW8028" s="48"/>
      <c r="FB8028" s="5"/>
      <c r="FI8028" s="5"/>
      <c r="FJ8028" s="164"/>
      <c r="FL8028" s="2"/>
      <c r="FN8028" s="2"/>
    </row>
    <row r="8029" spans="153:170" x14ac:dyDescent="0.35">
      <c r="EW8029" s="48"/>
      <c r="FB8029" s="5"/>
      <c r="FI8029" s="5"/>
      <c r="FJ8029" s="164"/>
      <c r="FL8029" s="2"/>
      <c r="FN8029" s="2"/>
    </row>
    <row r="8030" spans="153:170" x14ac:dyDescent="0.35">
      <c r="EW8030" s="48"/>
      <c r="FB8030" s="5"/>
      <c r="FI8030" s="5"/>
      <c r="FJ8030" s="164"/>
      <c r="FL8030" s="2"/>
      <c r="FN8030" s="2"/>
    </row>
    <row r="8031" spans="153:170" x14ac:dyDescent="0.35">
      <c r="EW8031" s="48"/>
      <c r="FB8031" s="5"/>
      <c r="FI8031" s="5"/>
      <c r="FJ8031" s="164"/>
      <c r="FL8031" s="2"/>
      <c r="FN8031" s="2"/>
    </row>
    <row r="8032" spans="153:170" x14ac:dyDescent="0.35">
      <c r="EW8032" s="48"/>
      <c r="FB8032" s="5"/>
      <c r="FI8032" s="5"/>
      <c r="FJ8032" s="164"/>
      <c r="FL8032" s="2"/>
      <c r="FN8032" s="2"/>
    </row>
    <row r="8033" spans="153:170" x14ac:dyDescent="0.35">
      <c r="EW8033" s="48"/>
      <c r="FB8033" s="5"/>
      <c r="FI8033" s="5"/>
      <c r="FJ8033" s="164"/>
      <c r="FL8033" s="2"/>
      <c r="FN8033" s="2"/>
    </row>
    <row r="8034" spans="153:170" x14ac:dyDescent="0.35">
      <c r="EW8034" s="48"/>
      <c r="FB8034" s="5"/>
      <c r="FI8034" s="5"/>
      <c r="FJ8034" s="164"/>
      <c r="FL8034" s="2"/>
      <c r="FN8034" s="2"/>
    </row>
    <row r="8035" spans="153:170" x14ac:dyDescent="0.35">
      <c r="EW8035" s="48"/>
      <c r="FB8035" s="5"/>
      <c r="FI8035" s="5"/>
      <c r="FJ8035" s="164"/>
      <c r="FL8035" s="2"/>
      <c r="FN8035" s="2"/>
    </row>
    <row r="8036" spans="153:170" x14ac:dyDescent="0.35">
      <c r="EW8036" s="48"/>
      <c r="FB8036" s="5"/>
      <c r="FI8036" s="5"/>
      <c r="FJ8036" s="164"/>
      <c r="FL8036" s="2"/>
      <c r="FN8036" s="2"/>
    </row>
    <row r="8037" spans="153:170" x14ac:dyDescent="0.35">
      <c r="EW8037" s="48"/>
      <c r="FB8037" s="5"/>
      <c r="FI8037" s="5"/>
      <c r="FJ8037" s="164"/>
      <c r="FL8037" s="2"/>
      <c r="FN8037" s="2"/>
    </row>
    <row r="8038" spans="153:170" x14ac:dyDescent="0.35">
      <c r="EW8038" s="48"/>
      <c r="FB8038" s="5"/>
      <c r="FI8038" s="5"/>
      <c r="FJ8038" s="164"/>
      <c r="FL8038" s="2"/>
      <c r="FN8038" s="2"/>
    </row>
    <row r="8039" spans="153:170" x14ac:dyDescent="0.35">
      <c r="EW8039" s="48"/>
      <c r="FB8039" s="5"/>
      <c r="FI8039" s="5"/>
      <c r="FJ8039" s="164"/>
      <c r="FL8039" s="2"/>
      <c r="FN8039" s="2"/>
    </row>
    <row r="8040" spans="153:170" x14ac:dyDescent="0.35">
      <c r="EW8040" s="48"/>
      <c r="FB8040" s="5"/>
      <c r="FI8040" s="5"/>
      <c r="FJ8040" s="164"/>
      <c r="FL8040" s="2"/>
      <c r="FN8040" s="2"/>
    </row>
    <row r="8041" spans="153:170" x14ac:dyDescent="0.35">
      <c r="EW8041" s="48"/>
      <c r="FB8041" s="5"/>
      <c r="FI8041" s="5"/>
      <c r="FJ8041" s="164"/>
      <c r="FL8041" s="2"/>
      <c r="FN8041" s="2"/>
    </row>
    <row r="8042" spans="153:170" x14ac:dyDescent="0.35">
      <c r="EW8042" s="48"/>
      <c r="FB8042" s="5"/>
      <c r="FI8042" s="5"/>
      <c r="FJ8042" s="164"/>
      <c r="FL8042" s="2"/>
      <c r="FN8042" s="2"/>
    </row>
    <row r="8043" spans="153:170" x14ac:dyDescent="0.35">
      <c r="EW8043" s="48"/>
      <c r="FB8043" s="5"/>
      <c r="FI8043" s="5"/>
      <c r="FJ8043" s="164"/>
      <c r="FL8043" s="2"/>
      <c r="FN8043" s="2"/>
    </row>
    <row r="8044" spans="153:170" x14ac:dyDescent="0.35">
      <c r="EW8044" s="48"/>
      <c r="FB8044" s="5"/>
      <c r="FI8044" s="5"/>
      <c r="FJ8044" s="164"/>
      <c r="FL8044" s="2"/>
      <c r="FN8044" s="2"/>
    </row>
    <row r="8045" spans="153:170" x14ac:dyDescent="0.35">
      <c r="EW8045" s="48"/>
      <c r="FB8045" s="5"/>
      <c r="FI8045" s="5"/>
      <c r="FJ8045" s="164"/>
      <c r="FL8045" s="2"/>
      <c r="FN8045" s="2"/>
    </row>
    <row r="8046" spans="153:170" x14ac:dyDescent="0.35">
      <c r="EW8046" s="48"/>
      <c r="FB8046" s="5"/>
      <c r="FI8046" s="5"/>
      <c r="FJ8046" s="164"/>
      <c r="FL8046" s="2"/>
      <c r="FN8046" s="2"/>
    </row>
    <row r="8047" spans="153:170" x14ac:dyDescent="0.35">
      <c r="EW8047" s="48"/>
      <c r="FB8047" s="5"/>
      <c r="FI8047" s="5"/>
      <c r="FJ8047" s="164"/>
      <c r="FL8047" s="2"/>
      <c r="FN8047" s="2"/>
    </row>
    <row r="8048" spans="153:170" x14ac:dyDescent="0.35">
      <c r="EW8048" s="48"/>
      <c r="FB8048" s="5"/>
      <c r="FI8048" s="5"/>
      <c r="FJ8048" s="164"/>
      <c r="FL8048" s="2"/>
      <c r="FN8048" s="2"/>
    </row>
    <row r="8049" spans="153:170" x14ac:dyDescent="0.35">
      <c r="EW8049" s="48"/>
      <c r="FB8049" s="5"/>
      <c r="FI8049" s="5"/>
      <c r="FJ8049" s="164"/>
      <c r="FL8049" s="2"/>
      <c r="FN8049" s="2"/>
    </row>
    <row r="8050" spans="153:170" x14ac:dyDescent="0.35">
      <c r="EW8050" s="48"/>
      <c r="FB8050" s="5"/>
      <c r="FI8050" s="5"/>
      <c r="FJ8050" s="164"/>
      <c r="FL8050" s="2"/>
      <c r="FN8050" s="2"/>
    </row>
    <row r="8051" spans="153:170" x14ac:dyDescent="0.35">
      <c r="EW8051" s="48"/>
      <c r="FB8051" s="5"/>
      <c r="FI8051" s="5"/>
      <c r="FJ8051" s="164"/>
      <c r="FL8051" s="2"/>
      <c r="FN8051" s="2"/>
    </row>
    <row r="8052" spans="153:170" x14ac:dyDescent="0.35">
      <c r="EW8052" s="48"/>
      <c r="FB8052" s="5"/>
      <c r="FI8052" s="5"/>
      <c r="FJ8052" s="164"/>
      <c r="FL8052" s="2"/>
      <c r="FN8052" s="2"/>
    </row>
    <row r="8053" spans="153:170" x14ac:dyDescent="0.35">
      <c r="EW8053" s="48"/>
      <c r="FB8053" s="5"/>
      <c r="FI8053" s="5"/>
      <c r="FJ8053" s="164"/>
      <c r="FL8053" s="2"/>
      <c r="FN8053" s="2"/>
    </row>
    <row r="8054" spans="153:170" x14ac:dyDescent="0.35">
      <c r="EW8054" s="48"/>
      <c r="FB8054" s="5"/>
      <c r="FI8054" s="5"/>
      <c r="FJ8054" s="164"/>
      <c r="FL8054" s="2"/>
      <c r="FN8054" s="2"/>
    </row>
    <row r="8055" spans="153:170" x14ac:dyDescent="0.35">
      <c r="EW8055" s="48"/>
      <c r="FB8055" s="5"/>
      <c r="FI8055" s="5"/>
      <c r="FJ8055" s="164"/>
      <c r="FL8055" s="2"/>
      <c r="FN8055" s="2"/>
    </row>
    <row r="8056" spans="153:170" x14ac:dyDescent="0.35">
      <c r="EW8056" s="48"/>
      <c r="FB8056" s="5"/>
      <c r="FI8056" s="5"/>
      <c r="FJ8056" s="164"/>
      <c r="FL8056" s="2"/>
      <c r="FN8056" s="2"/>
    </row>
    <row r="8057" spans="153:170" x14ac:dyDescent="0.35">
      <c r="EW8057" s="48"/>
      <c r="FB8057" s="5"/>
      <c r="FI8057" s="5"/>
      <c r="FJ8057" s="164"/>
      <c r="FL8057" s="2"/>
      <c r="FN8057" s="2"/>
    </row>
    <row r="8058" spans="153:170" x14ac:dyDescent="0.35">
      <c r="EW8058" s="48"/>
      <c r="FB8058" s="5"/>
      <c r="FI8058" s="5"/>
      <c r="FJ8058" s="164"/>
      <c r="FL8058" s="2"/>
      <c r="FN8058" s="2"/>
    </row>
    <row r="8059" spans="153:170" x14ac:dyDescent="0.35">
      <c r="EW8059" s="48"/>
      <c r="FB8059" s="5"/>
      <c r="FI8059" s="5"/>
      <c r="FJ8059" s="164"/>
      <c r="FL8059" s="2"/>
      <c r="FN8059" s="2"/>
    </row>
    <row r="8060" spans="153:170" x14ac:dyDescent="0.35">
      <c r="EW8060" s="48"/>
      <c r="FB8060" s="5"/>
      <c r="FI8060" s="5"/>
      <c r="FJ8060" s="164"/>
      <c r="FL8060" s="2"/>
      <c r="FN8060" s="2"/>
    </row>
    <row r="8061" spans="153:170" x14ac:dyDescent="0.35">
      <c r="EW8061" s="48"/>
      <c r="FB8061" s="5"/>
      <c r="FI8061" s="5"/>
      <c r="FJ8061" s="164"/>
      <c r="FL8061" s="2"/>
      <c r="FN8061" s="2"/>
    </row>
    <row r="8062" spans="153:170" x14ac:dyDescent="0.35">
      <c r="EW8062" s="48"/>
      <c r="FB8062" s="5"/>
      <c r="FI8062" s="5"/>
      <c r="FJ8062" s="164"/>
      <c r="FL8062" s="2"/>
      <c r="FN8062" s="2"/>
    </row>
    <row r="8063" spans="153:170" x14ac:dyDescent="0.35">
      <c r="EW8063" s="48"/>
      <c r="FB8063" s="5"/>
      <c r="FI8063" s="5"/>
      <c r="FJ8063" s="164"/>
      <c r="FL8063" s="2"/>
      <c r="FN8063" s="2"/>
    </row>
    <row r="8064" spans="153:170" x14ac:dyDescent="0.35">
      <c r="EW8064" s="48"/>
      <c r="FB8064" s="5"/>
      <c r="FI8064" s="5"/>
      <c r="FJ8064" s="164"/>
      <c r="FL8064" s="2"/>
      <c r="FN8064" s="2"/>
    </row>
    <row r="8065" spans="153:170" x14ac:dyDescent="0.35">
      <c r="EW8065" s="48"/>
      <c r="FB8065" s="5"/>
      <c r="FI8065" s="5"/>
      <c r="FJ8065" s="164"/>
      <c r="FL8065" s="2"/>
      <c r="FN8065" s="2"/>
    </row>
    <row r="8066" spans="153:170" x14ac:dyDescent="0.35">
      <c r="EW8066" s="48"/>
      <c r="FB8066" s="5"/>
      <c r="FI8066" s="5"/>
      <c r="FJ8066" s="164"/>
      <c r="FL8066" s="2"/>
      <c r="FN8066" s="2"/>
    </row>
    <row r="8067" spans="153:170" x14ac:dyDescent="0.35">
      <c r="EW8067" s="48"/>
      <c r="FB8067" s="5"/>
      <c r="FI8067" s="5"/>
      <c r="FJ8067" s="164"/>
      <c r="FL8067" s="2"/>
      <c r="FN8067" s="2"/>
    </row>
    <row r="8068" spans="153:170" x14ac:dyDescent="0.35">
      <c r="EW8068" s="48"/>
      <c r="FB8068" s="5"/>
      <c r="FI8068" s="5"/>
      <c r="FJ8068" s="164"/>
      <c r="FL8068" s="2"/>
      <c r="FN8068" s="2"/>
    </row>
    <row r="8069" spans="153:170" x14ac:dyDescent="0.35">
      <c r="EW8069" s="48"/>
      <c r="FB8069" s="5"/>
      <c r="FI8069" s="5"/>
      <c r="FJ8069" s="164"/>
      <c r="FL8069" s="2"/>
      <c r="FN8069" s="2"/>
    </row>
    <row r="8070" spans="153:170" x14ac:dyDescent="0.35">
      <c r="EW8070" s="48"/>
      <c r="FB8070" s="5"/>
      <c r="FI8070" s="5"/>
      <c r="FJ8070" s="164"/>
      <c r="FL8070" s="2"/>
      <c r="FN8070" s="2"/>
    </row>
    <row r="8071" spans="153:170" x14ac:dyDescent="0.35">
      <c r="EW8071" s="48"/>
      <c r="FB8071" s="5"/>
      <c r="FI8071" s="5"/>
      <c r="FJ8071" s="164"/>
      <c r="FL8071" s="2"/>
      <c r="FN8071" s="2"/>
    </row>
    <row r="8072" spans="153:170" x14ac:dyDescent="0.35">
      <c r="EW8072" s="48"/>
      <c r="FB8072" s="5"/>
      <c r="FI8072" s="5"/>
      <c r="FJ8072" s="164"/>
      <c r="FL8072" s="2"/>
      <c r="FN8072" s="2"/>
    </row>
    <row r="8073" spans="153:170" x14ac:dyDescent="0.35">
      <c r="EW8073" s="48"/>
      <c r="FB8073" s="5"/>
      <c r="FI8073" s="5"/>
      <c r="FJ8073" s="164"/>
      <c r="FL8073" s="2"/>
      <c r="FN8073" s="2"/>
    </row>
    <row r="8074" spans="153:170" x14ac:dyDescent="0.35">
      <c r="EW8074" s="48"/>
      <c r="FB8074" s="5"/>
      <c r="FI8074" s="5"/>
      <c r="FJ8074" s="164"/>
      <c r="FL8074" s="2"/>
      <c r="FN8074" s="2"/>
    </row>
    <row r="8075" spans="153:170" x14ac:dyDescent="0.35">
      <c r="EW8075" s="48"/>
      <c r="FB8075" s="5"/>
      <c r="FI8075" s="5"/>
      <c r="FJ8075" s="164"/>
      <c r="FL8075" s="2"/>
      <c r="FN8075" s="2"/>
    </row>
    <row r="8076" spans="153:170" x14ac:dyDescent="0.35">
      <c r="EW8076" s="48"/>
      <c r="FB8076" s="5"/>
      <c r="FI8076" s="5"/>
      <c r="FJ8076" s="164"/>
      <c r="FL8076" s="2"/>
      <c r="FN8076" s="2"/>
    </row>
    <row r="8077" spans="153:170" x14ac:dyDescent="0.35">
      <c r="EW8077" s="48"/>
      <c r="FB8077" s="5"/>
      <c r="FI8077" s="5"/>
      <c r="FJ8077" s="164"/>
      <c r="FL8077" s="2"/>
      <c r="FN8077" s="2"/>
    </row>
    <row r="8078" spans="153:170" x14ac:dyDescent="0.35">
      <c r="EW8078" s="48"/>
      <c r="FB8078" s="5"/>
      <c r="FI8078" s="5"/>
      <c r="FJ8078" s="164"/>
      <c r="FL8078" s="2"/>
      <c r="FN8078" s="2"/>
    </row>
    <row r="8079" spans="153:170" x14ac:dyDescent="0.35">
      <c r="EW8079" s="48"/>
      <c r="FB8079" s="5"/>
      <c r="FI8079" s="5"/>
      <c r="FJ8079" s="164"/>
      <c r="FL8079" s="2"/>
      <c r="FN8079" s="2"/>
    </row>
    <row r="8080" spans="153:170" x14ac:dyDescent="0.35">
      <c r="EW8080" s="48"/>
      <c r="FB8080" s="5"/>
      <c r="FI8080" s="5"/>
      <c r="FJ8080" s="164"/>
      <c r="FL8080" s="2"/>
      <c r="FN8080" s="2"/>
    </row>
    <row r="8081" spans="153:170" x14ac:dyDescent="0.35">
      <c r="EW8081" s="48"/>
      <c r="FB8081" s="5"/>
      <c r="FI8081" s="5"/>
      <c r="FJ8081" s="164"/>
      <c r="FL8081" s="2"/>
      <c r="FN8081" s="2"/>
    </row>
    <row r="8082" spans="153:170" x14ac:dyDescent="0.35">
      <c r="EW8082" s="48"/>
      <c r="FB8082" s="5"/>
      <c r="FI8082" s="5"/>
      <c r="FJ8082" s="164"/>
      <c r="FL8082" s="2"/>
      <c r="FN8082" s="2"/>
    </row>
    <row r="8083" spans="153:170" x14ac:dyDescent="0.35">
      <c r="EW8083" s="48"/>
      <c r="FB8083" s="5"/>
      <c r="FI8083" s="5"/>
      <c r="FJ8083" s="164"/>
      <c r="FL8083" s="2"/>
      <c r="FN8083" s="2"/>
    </row>
    <row r="8084" spans="153:170" x14ac:dyDescent="0.35">
      <c r="EW8084" s="48"/>
      <c r="FB8084" s="5"/>
      <c r="FI8084" s="5"/>
      <c r="FJ8084" s="164"/>
      <c r="FL8084" s="2"/>
      <c r="FN8084" s="2"/>
    </row>
    <row r="8085" spans="153:170" x14ac:dyDescent="0.35">
      <c r="EW8085" s="48"/>
      <c r="FB8085" s="5"/>
      <c r="FI8085" s="5"/>
      <c r="FJ8085" s="164"/>
      <c r="FL8085" s="2"/>
      <c r="FN8085" s="2"/>
    </row>
    <row r="8086" spans="153:170" x14ac:dyDescent="0.35">
      <c r="EW8086" s="48"/>
      <c r="FB8086" s="5"/>
      <c r="FI8086" s="5"/>
      <c r="FJ8086" s="164"/>
      <c r="FL8086" s="2"/>
      <c r="FN8086" s="2"/>
    </row>
    <row r="8087" spans="153:170" x14ac:dyDescent="0.35">
      <c r="EW8087" s="48"/>
      <c r="FB8087" s="5"/>
      <c r="FI8087" s="5"/>
      <c r="FJ8087" s="164"/>
      <c r="FL8087" s="2"/>
      <c r="FN8087" s="2"/>
    </row>
    <row r="8088" spans="153:170" x14ac:dyDescent="0.35">
      <c r="EW8088" s="48"/>
      <c r="FB8088" s="5"/>
      <c r="FI8088" s="5"/>
      <c r="FJ8088" s="164"/>
      <c r="FL8088" s="2"/>
      <c r="FN8088" s="2"/>
    </row>
    <row r="8089" spans="153:170" x14ac:dyDescent="0.35">
      <c r="EW8089" s="48"/>
      <c r="FB8089" s="5"/>
      <c r="FI8089" s="5"/>
      <c r="FJ8089" s="164"/>
      <c r="FL8089" s="2"/>
      <c r="FN8089" s="2"/>
    </row>
    <row r="8090" spans="153:170" x14ac:dyDescent="0.35">
      <c r="EW8090" s="48"/>
      <c r="FB8090" s="5"/>
      <c r="FI8090" s="5"/>
      <c r="FJ8090" s="164"/>
      <c r="FL8090" s="2"/>
      <c r="FN8090" s="2"/>
    </row>
    <row r="8091" spans="153:170" x14ac:dyDescent="0.35">
      <c r="EW8091" s="48"/>
      <c r="FB8091" s="5"/>
      <c r="FI8091" s="5"/>
      <c r="FJ8091" s="164"/>
      <c r="FL8091" s="2"/>
      <c r="FN8091" s="2"/>
    </row>
    <row r="8092" spans="153:170" x14ac:dyDescent="0.35">
      <c r="EW8092" s="48"/>
      <c r="FB8092" s="5"/>
      <c r="FI8092" s="5"/>
      <c r="FJ8092" s="164"/>
      <c r="FL8092" s="2"/>
      <c r="FN8092" s="2"/>
    </row>
    <row r="8093" spans="153:170" x14ac:dyDescent="0.35">
      <c r="EW8093" s="48"/>
      <c r="FB8093" s="5"/>
      <c r="FI8093" s="5"/>
      <c r="FJ8093" s="164"/>
      <c r="FL8093" s="2"/>
      <c r="FN8093" s="2"/>
    </row>
    <row r="8094" spans="153:170" x14ac:dyDescent="0.35">
      <c r="EW8094" s="48"/>
      <c r="FB8094" s="5"/>
      <c r="FI8094" s="5"/>
      <c r="FJ8094" s="164"/>
      <c r="FL8094" s="2"/>
      <c r="FN8094" s="2"/>
    </row>
    <row r="8095" spans="153:170" x14ac:dyDescent="0.35">
      <c r="EW8095" s="48"/>
      <c r="FB8095" s="5"/>
      <c r="FI8095" s="5"/>
      <c r="FJ8095" s="164"/>
      <c r="FL8095" s="2"/>
      <c r="FN8095" s="2"/>
    </row>
    <row r="8096" spans="153:170" x14ac:dyDescent="0.35">
      <c r="EW8096" s="48"/>
      <c r="FB8096" s="5"/>
      <c r="FI8096" s="5"/>
      <c r="FJ8096" s="164"/>
      <c r="FL8096" s="2"/>
      <c r="FN8096" s="2"/>
    </row>
    <row r="8097" spans="153:170" x14ac:dyDescent="0.35">
      <c r="EW8097" s="48"/>
      <c r="FB8097" s="5"/>
      <c r="FI8097" s="5"/>
      <c r="FJ8097" s="164"/>
      <c r="FL8097" s="2"/>
      <c r="FN8097" s="2"/>
    </row>
    <row r="8098" spans="153:170" x14ac:dyDescent="0.35">
      <c r="EW8098" s="48"/>
      <c r="FB8098" s="5"/>
      <c r="FI8098" s="5"/>
      <c r="FJ8098" s="164"/>
      <c r="FL8098" s="2"/>
      <c r="FN8098" s="2"/>
    </row>
    <row r="8099" spans="153:170" x14ac:dyDescent="0.35">
      <c r="EW8099" s="48"/>
      <c r="FB8099" s="5"/>
      <c r="FI8099" s="5"/>
      <c r="FJ8099" s="164"/>
      <c r="FL8099" s="2"/>
      <c r="FN8099" s="2"/>
    </row>
    <row r="8100" spans="153:170" x14ac:dyDescent="0.35">
      <c r="EW8100" s="48"/>
      <c r="FB8100" s="5"/>
      <c r="FI8100" s="5"/>
      <c r="FJ8100" s="164"/>
      <c r="FL8100" s="2"/>
      <c r="FN8100" s="2"/>
    </row>
    <row r="8101" spans="153:170" x14ac:dyDescent="0.35">
      <c r="EW8101" s="48"/>
      <c r="FB8101" s="5"/>
      <c r="FI8101" s="5"/>
      <c r="FJ8101" s="164"/>
      <c r="FL8101" s="2"/>
      <c r="FN8101" s="2"/>
    </row>
    <row r="8102" spans="153:170" x14ac:dyDescent="0.35">
      <c r="EW8102" s="48"/>
      <c r="FB8102" s="5"/>
      <c r="FI8102" s="5"/>
      <c r="FJ8102" s="164"/>
      <c r="FL8102" s="2"/>
      <c r="FN8102" s="2"/>
    </row>
    <row r="8103" spans="153:170" x14ac:dyDescent="0.35">
      <c r="EW8103" s="48"/>
      <c r="FB8103" s="5"/>
      <c r="FI8103" s="5"/>
      <c r="FJ8103" s="164"/>
      <c r="FL8103" s="2"/>
      <c r="FN8103" s="2"/>
    </row>
    <row r="8104" spans="153:170" x14ac:dyDescent="0.35">
      <c r="EW8104" s="48"/>
      <c r="FB8104" s="5"/>
      <c r="FI8104" s="5"/>
      <c r="FJ8104" s="164"/>
      <c r="FL8104" s="2"/>
      <c r="FN8104" s="2"/>
    </row>
    <row r="8105" spans="153:170" x14ac:dyDescent="0.35">
      <c r="EW8105" s="48"/>
      <c r="FB8105" s="5"/>
      <c r="FI8105" s="5"/>
      <c r="FJ8105" s="164"/>
      <c r="FL8105" s="2"/>
      <c r="FN8105" s="2"/>
    </row>
    <row r="8106" spans="153:170" x14ac:dyDescent="0.35">
      <c r="EW8106" s="48"/>
      <c r="FB8106" s="5"/>
      <c r="FI8106" s="5"/>
      <c r="FJ8106" s="164"/>
      <c r="FL8106" s="2"/>
      <c r="FN8106" s="2"/>
    </row>
    <row r="8107" spans="153:170" x14ac:dyDescent="0.35">
      <c r="EW8107" s="48"/>
      <c r="FB8107" s="5"/>
      <c r="FI8107" s="5"/>
      <c r="FJ8107" s="164"/>
      <c r="FL8107" s="2"/>
      <c r="FN8107" s="2"/>
    </row>
    <row r="8108" spans="153:170" x14ac:dyDescent="0.35">
      <c r="EW8108" s="48"/>
      <c r="FB8108" s="5"/>
      <c r="FI8108" s="5"/>
      <c r="FJ8108" s="164"/>
      <c r="FL8108" s="2"/>
      <c r="FN8108" s="2"/>
    </row>
    <row r="8109" spans="153:170" x14ac:dyDescent="0.35">
      <c r="EW8109" s="48"/>
      <c r="FB8109" s="5"/>
      <c r="FI8109" s="5"/>
      <c r="FJ8109" s="164"/>
      <c r="FL8109" s="2"/>
      <c r="FN8109" s="2"/>
    </row>
    <row r="8110" spans="153:170" x14ac:dyDescent="0.35">
      <c r="EW8110" s="48"/>
      <c r="FB8110" s="5"/>
      <c r="FI8110" s="5"/>
      <c r="FJ8110" s="164"/>
      <c r="FL8110" s="2"/>
      <c r="FN8110" s="2"/>
    </row>
    <row r="8111" spans="153:170" x14ac:dyDescent="0.35">
      <c r="EW8111" s="48"/>
      <c r="FB8111" s="5"/>
      <c r="FI8111" s="5"/>
      <c r="FJ8111" s="164"/>
      <c r="FL8111" s="2"/>
      <c r="FN8111" s="2"/>
    </row>
    <row r="8112" spans="153:170" x14ac:dyDescent="0.35">
      <c r="EW8112" s="48"/>
      <c r="FB8112" s="5"/>
      <c r="FI8112" s="5"/>
      <c r="FJ8112" s="164"/>
      <c r="FL8112" s="2"/>
      <c r="FN8112" s="2"/>
    </row>
    <row r="8113" spans="153:170" x14ac:dyDescent="0.35">
      <c r="EW8113" s="48"/>
      <c r="FB8113" s="5"/>
      <c r="FI8113" s="5"/>
      <c r="FJ8113" s="164"/>
      <c r="FL8113" s="2"/>
      <c r="FN8113" s="2"/>
    </row>
    <row r="8114" spans="153:170" x14ac:dyDescent="0.35">
      <c r="EW8114" s="48"/>
      <c r="FB8114" s="5"/>
      <c r="FI8114" s="5"/>
      <c r="FJ8114" s="164"/>
      <c r="FL8114" s="2"/>
      <c r="FN8114" s="2"/>
    </row>
    <row r="8115" spans="153:170" x14ac:dyDescent="0.35">
      <c r="EW8115" s="48"/>
      <c r="FB8115" s="5"/>
      <c r="FI8115" s="5"/>
      <c r="FJ8115" s="164"/>
      <c r="FL8115" s="2"/>
      <c r="FN8115" s="2"/>
    </row>
    <row r="8116" spans="153:170" x14ac:dyDescent="0.35">
      <c r="EW8116" s="48"/>
      <c r="FB8116" s="5"/>
      <c r="FI8116" s="5"/>
      <c r="FJ8116" s="164"/>
      <c r="FL8116" s="2"/>
      <c r="FN8116" s="2"/>
    </row>
    <row r="8117" spans="153:170" x14ac:dyDescent="0.35">
      <c r="EW8117" s="48"/>
      <c r="FB8117" s="5"/>
      <c r="FI8117" s="5"/>
      <c r="FJ8117" s="164"/>
      <c r="FL8117" s="2"/>
      <c r="FN8117" s="2"/>
    </row>
    <row r="8118" spans="153:170" x14ac:dyDescent="0.35">
      <c r="EW8118" s="48"/>
      <c r="FB8118" s="5"/>
      <c r="FI8118" s="5"/>
      <c r="FJ8118" s="164"/>
      <c r="FL8118" s="2"/>
      <c r="FN8118" s="2"/>
    </row>
    <row r="8119" spans="153:170" x14ac:dyDescent="0.35">
      <c r="EW8119" s="48"/>
      <c r="FB8119" s="5"/>
      <c r="FI8119" s="5"/>
      <c r="FJ8119" s="164"/>
      <c r="FL8119" s="2"/>
      <c r="FN8119" s="2"/>
    </row>
    <row r="8120" spans="153:170" x14ac:dyDescent="0.35">
      <c r="EW8120" s="48"/>
      <c r="FB8120" s="5"/>
      <c r="FI8120" s="5"/>
      <c r="FJ8120" s="164"/>
      <c r="FL8120" s="2"/>
      <c r="FN8120" s="2"/>
    </row>
    <row r="8121" spans="153:170" x14ac:dyDescent="0.35">
      <c r="EW8121" s="48"/>
      <c r="FB8121" s="5"/>
      <c r="FI8121" s="5"/>
      <c r="FJ8121" s="164"/>
      <c r="FL8121" s="2"/>
      <c r="FN8121" s="2"/>
    </row>
    <row r="8122" spans="153:170" x14ac:dyDescent="0.35">
      <c r="EW8122" s="48"/>
      <c r="FB8122" s="5"/>
      <c r="FI8122" s="5"/>
      <c r="FJ8122" s="164"/>
      <c r="FL8122" s="2"/>
      <c r="FN8122" s="2"/>
    </row>
    <row r="8123" spans="153:170" x14ac:dyDescent="0.35">
      <c r="EW8123" s="48"/>
      <c r="FB8123" s="5"/>
      <c r="FI8123" s="5"/>
      <c r="FJ8123" s="164"/>
      <c r="FL8123" s="2"/>
      <c r="FN8123" s="2"/>
    </row>
    <row r="8124" spans="153:170" x14ac:dyDescent="0.35">
      <c r="EW8124" s="48"/>
      <c r="FB8124" s="5"/>
      <c r="FI8124" s="5"/>
      <c r="FJ8124" s="164"/>
      <c r="FL8124" s="2"/>
      <c r="FN8124" s="2"/>
    </row>
    <row r="8125" spans="153:170" x14ac:dyDescent="0.35">
      <c r="EW8125" s="48"/>
      <c r="FB8125" s="5"/>
      <c r="FI8125" s="5"/>
      <c r="FJ8125" s="164"/>
      <c r="FL8125" s="2"/>
      <c r="FN8125" s="2"/>
    </row>
    <row r="8126" spans="153:170" x14ac:dyDescent="0.35">
      <c r="EW8126" s="48"/>
      <c r="FB8126" s="5"/>
      <c r="FI8126" s="5"/>
      <c r="FJ8126" s="164"/>
      <c r="FL8126" s="2"/>
      <c r="FN8126" s="2"/>
    </row>
    <row r="8127" spans="153:170" x14ac:dyDescent="0.35">
      <c r="EW8127" s="48"/>
      <c r="FB8127" s="5"/>
      <c r="FI8127" s="5"/>
      <c r="FJ8127" s="164"/>
      <c r="FL8127" s="2"/>
      <c r="FN8127" s="2"/>
    </row>
    <row r="8128" spans="153:170" x14ac:dyDescent="0.35">
      <c r="EW8128" s="48"/>
      <c r="FB8128" s="5"/>
      <c r="FI8128" s="5"/>
      <c r="FJ8128" s="164"/>
      <c r="FL8128" s="2"/>
      <c r="FN8128" s="2"/>
    </row>
    <row r="8129" spans="153:170" x14ac:dyDescent="0.35">
      <c r="EW8129" s="48"/>
      <c r="FB8129" s="5"/>
      <c r="FI8129" s="5"/>
      <c r="FJ8129" s="164"/>
      <c r="FL8129" s="2"/>
      <c r="FN8129" s="2"/>
    </row>
    <row r="8130" spans="153:170" x14ac:dyDescent="0.35">
      <c r="EW8130" s="48"/>
      <c r="FB8130" s="5"/>
      <c r="FI8130" s="5"/>
      <c r="FJ8130" s="164"/>
      <c r="FL8130" s="2"/>
      <c r="FN8130" s="2"/>
    </row>
    <row r="8131" spans="153:170" x14ac:dyDescent="0.35">
      <c r="EW8131" s="48"/>
      <c r="FB8131" s="5"/>
      <c r="FI8131" s="5"/>
      <c r="FJ8131" s="164"/>
      <c r="FL8131" s="2"/>
      <c r="FN8131" s="2"/>
    </row>
    <row r="8132" spans="153:170" x14ac:dyDescent="0.35">
      <c r="EW8132" s="48"/>
      <c r="FB8132" s="5"/>
      <c r="FI8132" s="5"/>
      <c r="FJ8132" s="164"/>
      <c r="FL8132" s="2"/>
      <c r="FN8132" s="2"/>
    </row>
    <row r="8133" spans="153:170" x14ac:dyDescent="0.35">
      <c r="EW8133" s="48"/>
      <c r="FB8133" s="5"/>
      <c r="FI8133" s="5"/>
      <c r="FJ8133" s="164"/>
      <c r="FL8133" s="2"/>
      <c r="FN8133" s="2"/>
    </row>
    <row r="8134" spans="153:170" x14ac:dyDescent="0.35">
      <c r="EW8134" s="48"/>
      <c r="FB8134" s="5"/>
      <c r="FI8134" s="5"/>
      <c r="FJ8134" s="164"/>
      <c r="FL8134" s="2"/>
      <c r="FN8134" s="2"/>
    </row>
    <row r="8135" spans="153:170" x14ac:dyDescent="0.35">
      <c r="EW8135" s="48"/>
      <c r="FB8135" s="5"/>
      <c r="FI8135" s="5"/>
      <c r="FJ8135" s="164"/>
      <c r="FL8135" s="2"/>
      <c r="FN8135" s="2"/>
    </row>
    <row r="8136" spans="153:170" x14ac:dyDescent="0.35">
      <c r="EW8136" s="48"/>
      <c r="FB8136" s="5"/>
      <c r="FI8136" s="5"/>
      <c r="FJ8136" s="164"/>
      <c r="FL8136" s="2"/>
      <c r="FN8136" s="2"/>
    </row>
    <row r="8137" spans="153:170" x14ac:dyDescent="0.35">
      <c r="EW8137" s="48"/>
      <c r="FB8137" s="5"/>
      <c r="FI8137" s="5"/>
      <c r="FJ8137" s="164"/>
      <c r="FL8137" s="2"/>
      <c r="FN8137" s="2"/>
    </row>
    <row r="8138" spans="153:170" x14ac:dyDescent="0.35">
      <c r="EW8138" s="48"/>
      <c r="FB8138" s="5"/>
      <c r="FI8138" s="5"/>
      <c r="FJ8138" s="164"/>
      <c r="FL8138" s="2"/>
      <c r="FN8138" s="2"/>
    </row>
    <row r="8139" spans="153:170" x14ac:dyDescent="0.35">
      <c r="EW8139" s="48"/>
      <c r="FB8139" s="5"/>
      <c r="FI8139" s="5"/>
      <c r="FJ8139" s="164"/>
      <c r="FL8139" s="2"/>
      <c r="FN8139" s="2"/>
    </row>
    <row r="8140" spans="153:170" x14ac:dyDescent="0.35">
      <c r="EW8140" s="48"/>
      <c r="FB8140" s="5"/>
      <c r="FI8140" s="5"/>
      <c r="FJ8140" s="164"/>
      <c r="FL8140" s="2"/>
      <c r="FN8140" s="2"/>
    </row>
    <row r="8141" spans="153:170" x14ac:dyDescent="0.35">
      <c r="EW8141" s="48"/>
      <c r="FB8141" s="5"/>
      <c r="FI8141" s="5"/>
      <c r="FJ8141" s="164"/>
      <c r="FL8141" s="2"/>
      <c r="FN8141" s="2"/>
    </row>
    <row r="8142" spans="153:170" x14ac:dyDescent="0.35">
      <c r="EW8142" s="48"/>
      <c r="FB8142" s="5"/>
      <c r="FI8142" s="5"/>
      <c r="FJ8142" s="164"/>
      <c r="FL8142" s="2"/>
      <c r="FN8142" s="2"/>
    </row>
    <row r="8143" spans="153:170" x14ac:dyDescent="0.35">
      <c r="EW8143" s="48"/>
      <c r="FB8143" s="5"/>
      <c r="FI8143" s="5"/>
      <c r="FJ8143" s="164"/>
      <c r="FL8143" s="2"/>
      <c r="FN8143" s="2"/>
    </row>
    <row r="8144" spans="153:170" x14ac:dyDescent="0.35">
      <c r="EW8144" s="48"/>
      <c r="FB8144" s="5"/>
      <c r="FI8144" s="5"/>
      <c r="FJ8144" s="164"/>
      <c r="FL8144" s="2"/>
      <c r="FN8144" s="2"/>
    </row>
    <row r="8145" spans="153:170" x14ac:dyDescent="0.35">
      <c r="EW8145" s="48"/>
      <c r="FB8145" s="5"/>
      <c r="FI8145" s="5"/>
      <c r="FJ8145" s="164"/>
      <c r="FL8145" s="2"/>
      <c r="FN8145" s="2"/>
    </row>
    <row r="8146" spans="153:170" x14ac:dyDescent="0.35">
      <c r="EW8146" s="48"/>
      <c r="FB8146" s="5"/>
      <c r="FI8146" s="5"/>
      <c r="FJ8146" s="164"/>
      <c r="FL8146" s="2"/>
      <c r="FN8146" s="2"/>
    </row>
    <row r="8147" spans="153:170" x14ac:dyDescent="0.35">
      <c r="EW8147" s="48"/>
      <c r="FB8147" s="5"/>
      <c r="FI8147" s="5"/>
      <c r="FJ8147" s="164"/>
      <c r="FL8147" s="2"/>
      <c r="FN8147" s="2"/>
    </row>
    <row r="8148" spans="153:170" x14ac:dyDescent="0.35">
      <c r="EW8148" s="48"/>
      <c r="FB8148" s="5"/>
      <c r="FI8148" s="5"/>
      <c r="FJ8148" s="164"/>
      <c r="FL8148" s="2"/>
      <c r="FN8148" s="2"/>
    </row>
    <row r="8149" spans="153:170" x14ac:dyDescent="0.35">
      <c r="EW8149" s="48"/>
      <c r="FB8149" s="5"/>
      <c r="FI8149" s="5"/>
      <c r="FJ8149" s="164"/>
      <c r="FL8149" s="2"/>
      <c r="FN8149" s="2"/>
    </row>
    <row r="8150" spans="153:170" x14ac:dyDescent="0.35">
      <c r="EW8150" s="48"/>
      <c r="FB8150" s="5"/>
      <c r="FI8150" s="5"/>
      <c r="FJ8150" s="164"/>
      <c r="FL8150" s="2"/>
      <c r="FN8150" s="2"/>
    </row>
    <row r="8151" spans="153:170" x14ac:dyDescent="0.35">
      <c r="EW8151" s="48"/>
      <c r="FB8151" s="5"/>
      <c r="FI8151" s="5"/>
      <c r="FJ8151" s="164"/>
      <c r="FL8151" s="2"/>
      <c r="FN8151" s="2"/>
    </row>
    <row r="8152" spans="153:170" x14ac:dyDescent="0.35">
      <c r="EW8152" s="48"/>
      <c r="FB8152" s="5"/>
      <c r="FI8152" s="5"/>
      <c r="FJ8152" s="164"/>
      <c r="FL8152" s="2"/>
      <c r="FN8152" s="2"/>
    </row>
    <row r="8153" spans="153:170" x14ac:dyDescent="0.35">
      <c r="EW8153" s="48"/>
      <c r="FB8153" s="5"/>
      <c r="FI8153" s="5"/>
      <c r="FJ8153" s="164"/>
      <c r="FL8153" s="2"/>
      <c r="FN8153" s="2"/>
    </row>
    <row r="8154" spans="153:170" x14ac:dyDescent="0.35">
      <c r="EW8154" s="48"/>
      <c r="FB8154" s="5"/>
      <c r="FI8154" s="5"/>
      <c r="FJ8154" s="164"/>
      <c r="FL8154" s="2"/>
      <c r="FN8154" s="2"/>
    </row>
    <row r="8155" spans="153:170" x14ac:dyDescent="0.35">
      <c r="EW8155" s="48"/>
      <c r="FB8155" s="5"/>
      <c r="FI8155" s="5"/>
      <c r="FJ8155" s="164"/>
      <c r="FL8155" s="2"/>
      <c r="FN8155" s="2"/>
    </row>
    <row r="8156" spans="153:170" x14ac:dyDescent="0.35">
      <c r="EW8156" s="48"/>
      <c r="FB8156" s="5"/>
      <c r="FI8156" s="5"/>
      <c r="FJ8156" s="164"/>
      <c r="FL8156" s="2"/>
      <c r="FN8156" s="2"/>
    </row>
    <row r="8157" spans="153:170" x14ac:dyDescent="0.35">
      <c r="EW8157" s="48"/>
      <c r="FB8157" s="5"/>
      <c r="FI8157" s="5"/>
      <c r="FJ8157" s="164"/>
      <c r="FL8157" s="2"/>
      <c r="FN8157" s="2"/>
    </row>
    <row r="8158" spans="153:170" x14ac:dyDescent="0.35">
      <c r="EW8158" s="48"/>
      <c r="FB8158" s="5"/>
      <c r="FI8158" s="5"/>
      <c r="FJ8158" s="164"/>
      <c r="FL8158" s="2"/>
      <c r="FN8158" s="2"/>
    </row>
    <row r="8159" spans="153:170" x14ac:dyDescent="0.35">
      <c r="EW8159" s="48"/>
      <c r="FB8159" s="5"/>
      <c r="FI8159" s="5"/>
      <c r="FJ8159" s="164"/>
      <c r="FL8159" s="2"/>
      <c r="FN8159" s="2"/>
    </row>
    <row r="8160" spans="153:170" x14ac:dyDescent="0.35">
      <c r="EW8160" s="48"/>
      <c r="FB8160" s="5"/>
      <c r="FI8160" s="5"/>
      <c r="FJ8160" s="164"/>
      <c r="FL8160" s="2"/>
      <c r="FN8160" s="2"/>
    </row>
    <row r="8161" spans="153:170" x14ac:dyDescent="0.35">
      <c r="EW8161" s="48"/>
      <c r="FB8161" s="5"/>
      <c r="FI8161" s="5"/>
      <c r="FJ8161" s="164"/>
      <c r="FL8161" s="2"/>
      <c r="FN8161" s="2"/>
    </row>
    <row r="8162" spans="153:170" x14ac:dyDescent="0.35">
      <c r="EW8162" s="48"/>
      <c r="FB8162" s="5"/>
      <c r="FI8162" s="5"/>
      <c r="FJ8162" s="164"/>
      <c r="FL8162" s="2"/>
      <c r="FN8162" s="2"/>
    </row>
    <row r="8163" spans="153:170" x14ac:dyDescent="0.35">
      <c r="EW8163" s="48"/>
      <c r="FB8163" s="5"/>
      <c r="FI8163" s="5"/>
      <c r="FJ8163" s="164"/>
      <c r="FL8163" s="2"/>
      <c r="FN8163" s="2"/>
    </row>
    <row r="8164" spans="153:170" x14ac:dyDescent="0.35">
      <c r="EW8164" s="48"/>
      <c r="FB8164" s="5"/>
      <c r="FI8164" s="5"/>
      <c r="FJ8164" s="164"/>
      <c r="FL8164" s="2"/>
      <c r="FN8164" s="2"/>
    </row>
    <row r="8165" spans="153:170" x14ac:dyDescent="0.35">
      <c r="EW8165" s="48"/>
      <c r="FB8165" s="5"/>
      <c r="FI8165" s="5"/>
      <c r="FJ8165" s="164"/>
      <c r="FL8165" s="2"/>
      <c r="FN8165" s="2"/>
    </row>
    <row r="8166" spans="153:170" x14ac:dyDescent="0.35">
      <c r="EW8166" s="48"/>
      <c r="FB8166" s="5"/>
      <c r="FI8166" s="5"/>
      <c r="FJ8166" s="164"/>
      <c r="FL8166" s="2"/>
      <c r="FN8166" s="2"/>
    </row>
    <row r="8167" spans="153:170" x14ac:dyDescent="0.35">
      <c r="EW8167" s="48"/>
      <c r="FB8167" s="5"/>
      <c r="FI8167" s="5"/>
      <c r="FJ8167" s="164"/>
      <c r="FL8167" s="2"/>
      <c r="FN8167" s="2"/>
    </row>
    <row r="8168" spans="153:170" x14ac:dyDescent="0.35">
      <c r="EW8168" s="48"/>
      <c r="FB8168" s="5"/>
      <c r="FI8168" s="5"/>
      <c r="FJ8168" s="164"/>
      <c r="FL8168" s="2"/>
      <c r="FN8168" s="2"/>
    </row>
    <row r="8169" spans="153:170" x14ac:dyDescent="0.35">
      <c r="EW8169" s="48"/>
      <c r="FB8169" s="5"/>
      <c r="FI8169" s="5"/>
      <c r="FJ8169" s="164"/>
      <c r="FL8169" s="2"/>
      <c r="FN8169" s="2"/>
    </row>
    <row r="8170" spans="153:170" x14ac:dyDescent="0.35">
      <c r="EW8170" s="48"/>
      <c r="FB8170" s="5"/>
      <c r="FI8170" s="5"/>
      <c r="FJ8170" s="164"/>
      <c r="FL8170" s="2"/>
      <c r="FN8170" s="2"/>
    </row>
    <row r="8171" spans="153:170" x14ac:dyDescent="0.35">
      <c r="EW8171" s="48"/>
      <c r="FB8171" s="5"/>
      <c r="FI8171" s="5"/>
      <c r="FJ8171" s="164"/>
      <c r="FL8171" s="2"/>
      <c r="FN8171" s="2"/>
    </row>
    <row r="8172" spans="153:170" x14ac:dyDescent="0.35">
      <c r="EW8172" s="48"/>
      <c r="FB8172" s="5"/>
      <c r="FI8172" s="5"/>
      <c r="FJ8172" s="164"/>
      <c r="FL8172" s="2"/>
      <c r="FN8172" s="2"/>
    </row>
    <row r="8173" spans="153:170" x14ac:dyDescent="0.35">
      <c r="EW8173" s="48"/>
      <c r="FB8173" s="5"/>
      <c r="FI8173" s="5"/>
      <c r="FJ8173" s="164"/>
      <c r="FL8173" s="2"/>
      <c r="FN8173" s="2"/>
    </row>
    <row r="8174" spans="153:170" x14ac:dyDescent="0.35">
      <c r="EW8174" s="48"/>
      <c r="FB8174" s="5"/>
      <c r="FI8174" s="5"/>
      <c r="FJ8174" s="164"/>
      <c r="FL8174" s="2"/>
      <c r="FN8174" s="2"/>
    </row>
    <row r="8175" spans="153:170" x14ac:dyDescent="0.35">
      <c r="EW8175" s="48"/>
      <c r="FB8175" s="5"/>
      <c r="FI8175" s="5"/>
      <c r="FJ8175" s="164"/>
      <c r="FL8175" s="2"/>
      <c r="FN8175" s="2"/>
    </row>
    <row r="8176" spans="153:170" x14ac:dyDescent="0.35">
      <c r="EW8176" s="48"/>
      <c r="FB8176" s="5"/>
      <c r="FI8176" s="5"/>
      <c r="FJ8176" s="164"/>
      <c r="FL8176" s="2"/>
      <c r="FN8176" s="2"/>
    </row>
    <row r="8177" spans="153:170" x14ac:dyDescent="0.35">
      <c r="EW8177" s="48"/>
      <c r="FB8177" s="5"/>
      <c r="FI8177" s="5"/>
      <c r="FJ8177" s="164"/>
      <c r="FL8177" s="2"/>
      <c r="FN8177" s="2"/>
    </row>
    <row r="8178" spans="153:170" x14ac:dyDescent="0.35">
      <c r="EW8178" s="48"/>
      <c r="FB8178" s="5"/>
      <c r="FI8178" s="5"/>
      <c r="FJ8178" s="164"/>
      <c r="FL8178" s="2"/>
      <c r="FN8178" s="2"/>
    </row>
    <row r="8179" spans="153:170" x14ac:dyDescent="0.35">
      <c r="EW8179" s="48"/>
      <c r="FB8179" s="5"/>
      <c r="FI8179" s="5"/>
      <c r="FJ8179" s="164"/>
      <c r="FL8179" s="2"/>
      <c r="FN8179" s="2"/>
    </row>
    <row r="8180" spans="153:170" x14ac:dyDescent="0.35">
      <c r="EW8180" s="48"/>
      <c r="FB8180" s="5"/>
      <c r="FI8180" s="5"/>
      <c r="FJ8180" s="164"/>
      <c r="FL8180" s="2"/>
      <c r="FN8180" s="2"/>
    </row>
    <row r="8181" spans="153:170" x14ac:dyDescent="0.35">
      <c r="EW8181" s="48"/>
      <c r="FB8181" s="5"/>
      <c r="FI8181" s="5"/>
      <c r="FJ8181" s="164"/>
      <c r="FL8181" s="2"/>
      <c r="FN8181" s="2"/>
    </row>
    <row r="8182" spans="153:170" x14ac:dyDescent="0.35">
      <c r="EW8182" s="48"/>
      <c r="FB8182" s="5"/>
      <c r="FI8182" s="5"/>
      <c r="FJ8182" s="164"/>
      <c r="FL8182" s="2"/>
      <c r="FN8182" s="2"/>
    </row>
    <row r="8183" spans="153:170" x14ac:dyDescent="0.35">
      <c r="EW8183" s="48"/>
      <c r="FB8183" s="5"/>
      <c r="FI8183" s="5"/>
      <c r="FJ8183" s="164"/>
      <c r="FL8183" s="2"/>
      <c r="FN8183" s="2"/>
    </row>
    <row r="8184" spans="153:170" x14ac:dyDescent="0.35">
      <c r="EW8184" s="48"/>
      <c r="FB8184" s="5"/>
      <c r="FI8184" s="5"/>
      <c r="FJ8184" s="164"/>
      <c r="FL8184" s="2"/>
      <c r="FN8184" s="2"/>
    </row>
    <row r="8185" spans="153:170" x14ac:dyDescent="0.35">
      <c r="EW8185" s="48"/>
      <c r="FB8185" s="5"/>
      <c r="FI8185" s="5"/>
      <c r="FJ8185" s="164"/>
      <c r="FL8185" s="2"/>
      <c r="FN8185" s="2"/>
    </row>
    <row r="8186" spans="153:170" x14ac:dyDescent="0.35">
      <c r="EW8186" s="48"/>
      <c r="FB8186" s="5"/>
      <c r="FI8186" s="5"/>
      <c r="FJ8186" s="164"/>
      <c r="FL8186" s="2"/>
      <c r="FN8186" s="2"/>
    </row>
    <row r="8187" spans="153:170" x14ac:dyDescent="0.35">
      <c r="EW8187" s="48"/>
      <c r="FB8187" s="5"/>
      <c r="FI8187" s="5"/>
      <c r="FJ8187" s="164"/>
      <c r="FL8187" s="2"/>
      <c r="FN8187" s="2"/>
    </row>
    <row r="8188" spans="153:170" x14ac:dyDescent="0.35">
      <c r="EW8188" s="48"/>
      <c r="FB8188" s="5"/>
      <c r="FI8188" s="5"/>
      <c r="FJ8188" s="164"/>
      <c r="FL8188" s="2"/>
      <c r="FN8188" s="2"/>
    </row>
    <row r="8189" spans="153:170" x14ac:dyDescent="0.35">
      <c r="EW8189" s="48"/>
      <c r="FB8189" s="5"/>
      <c r="FI8189" s="5"/>
      <c r="FJ8189" s="164"/>
      <c r="FL8189" s="2"/>
      <c r="FN8189" s="2"/>
    </row>
    <row r="8190" spans="153:170" x14ac:dyDescent="0.35">
      <c r="EW8190" s="48"/>
      <c r="FB8190" s="5"/>
      <c r="FI8190" s="5"/>
      <c r="FJ8190" s="164"/>
      <c r="FL8190" s="2"/>
      <c r="FN8190" s="2"/>
    </row>
    <row r="8191" spans="153:170" x14ac:dyDescent="0.35">
      <c r="EW8191" s="48"/>
      <c r="FB8191" s="5"/>
      <c r="FI8191" s="5"/>
      <c r="FJ8191" s="164"/>
      <c r="FL8191" s="2"/>
      <c r="FN8191" s="2"/>
    </row>
    <row r="8192" spans="153:170" x14ac:dyDescent="0.35">
      <c r="EW8192" s="48"/>
      <c r="FB8192" s="5"/>
      <c r="FI8192" s="5"/>
      <c r="FJ8192" s="164"/>
      <c r="FL8192" s="2"/>
      <c r="FN8192" s="2"/>
    </row>
    <row r="8193" spans="153:170" x14ac:dyDescent="0.35">
      <c r="EW8193" s="48"/>
      <c r="FB8193" s="5"/>
      <c r="FI8193" s="5"/>
      <c r="FJ8193" s="164"/>
      <c r="FL8193" s="2"/>
      <c r="FN8193" s="2"/>
    </row>
    <row r="8194" spans="153:170" x14ac:dyDescent="0.35">
      <c r="EW8194" s="48"/>
      <c r="FB8194" s="5"/>
      <c r="FI8194" s="5"/>
      <c r="FJ8194" s="164"/>
      <c r="FL8194" s="2"/>
      <c r="FN8194" s="2"/>
    </row>
    <row r="8195" spans="153:170" x14ac:dyDescent="0.35">
      <c r="EW8195" s="48"/>
      <c r="FB8195" s="5"/>
      <c r="FI8195" s="5"/>
      <c r="FJ8195" s="164"/>
      <c r="FL8195" s="2"/>
      <c r="FN8195" s="2"/>
    </row>
    <row r="8196" spans="153:170" x14ac:dyDescent="0.35">
      <c r="EW8196" s="48"/>
      <c r="FB8196" s="5"/>
      <c r="FI8196" s="5"/>
      <c r="FJ8196" s="164"/>
      <c r="FL8196" s="2"/>
      <c r="FN8196" s="2"/>
    </row>
    <row r="8197" spans="153:170" x14ac:dyDescent="0.35">
      <c r="EW8197" s="48"/>
      <c r="FB8197" s="5"/>
      <c r="FI8197" s="5"/>
      <c r="FJ8197" s="164"/>
      <c r="FL8197" s="2"/>
      <c r="FN8197" s="2"/>
    </row>
    <row r="8198" spans="153:170" x14ac:dyDescent="0.35">
      <c r="EW8198" s="48"/>
      <c r="FB8198" s="5"/>
      <c r="FI8198" s="5"/>
      <c r="FJ8198" s="164"/>
      <c r="FL8198" s="2"/>
      <c r="FN8198" s="2"/>
    </row>
    <row r="8199" spans="153:170" x14ac:dyDescent="0.35">
      <c r="EW8199" s="48"/>
      <c r="FB8199" s="5"/>
      <c r="FI8199" s="5"/>
      <c r="FJ8199" s="164"/>
      <c r="FL8199" s="2"/>
      <c r="FN8199" s="2"/>
    </row>
    <row r="8200" spans="153:170" x14ac:dyDescent="0.35">
      <c r="EW8200" s="48"/>
      <c r="FB8200" s="5"/>
      <c r="FI8200" s="5"/>
      <c r="FJ8200" s="164"/>
      <c r="FL8200" s="2"/>
      <c r="FN8200" s="2"/>
    </row>
    <row r="8201" spans="153:170" x14ac:dyDescent="0.35">
      <c r="EW8201" s="48"/>
      <c r="FB8201" s="5"/>
      <c r="FI8201" s="5"/>
      <c r="FJ8201" s="164"/>
      <c r="FL8201" s="2"/>
      <c r="FN8201" s="2"/>
    </row>
    <row r="8202" spans="153:170" x14ac:dyDescent="0.35">
      <c r="EW8202" s="48"/>
      <c r="FB8202" s="5"/>
      <c r="FI8202" s="5"/>
      <c r="FJ8202" s="164"/>
      <c r="FL8202" s="2"/>
      <c r="FN8202" s="2"/>
    </row>
    <row r="8203" spans="153:170" x14ac:dyDescent="0.35">
      <c r="EW8203" s="48"/>
      <c r="FB8203" s="5"/>
      <c r="FI8203" s="5"/>
      <c r="FJ8203" s="164"/>
      <c r="FL8203" s="2"/>
      <c r="FN8203" s="2"/>
    </row>
    <row r="8204" spans="153:170" x14ac:dyDescent="0.35">
      <c r="EW8204" s="48"/>
      <c r="FB8204" s="5"/>
      <c r="FI8204" s="5"/>
      <c r="FJ8204" s="164"/>
      <c r="FL8204" s="2"/>
      <c r="FN8204" s="2"/>
    </row>
    <row r="8205" spans="153:170" x14ac:dyDescent="0.35">
      <c r="EW8205" s="48"/>
      <c r="FB8205" s="5"/>
      <c r="FI8205" s="5"/>
      <c r="FJ8205" s="164"/>
      <c r="FL8205" s="2"/>
      <c r="FN8205" s="2"/>
    </row>
    <row r="8206" spans="153:170" x14ac:dyDescent="0.35">
      <c r="EW8206" s="48"/>
      <c r="FB8206" s="5"/>
      <c r="FI8206" s="5"/>
      <c r="FJ8206" s="164"/>
      <c r="FL8206" s="2"/>
      <c r="FN8206" s="2"/>
    </row>
    <row r="8207" spans="153:170" x14ac:dyDescent="0.35">
      <c r="EW8207" s="48"/>
      <c r="FB8207" s="5"/>
      <c r="FI8207" s="5"/>
      <c r="FJ8207" s="164"/>
      <c r="FL8207" s="2"/>
      <c r="FN8207" s="2"/>
    </row>
    <row r="8208" spans="153:170" x14ac:dyDescent="0.35">
      <c r="EW8208" s="48"/>
      <c r="FB8208" s="5"/>
      <c r="FI8208" s="5"/>
      <c r="FJ8208" s="164"/>
      <c r="FL8208" s="2"/>
      <c r="FN8208" s="2"/>
    </row>
    <row r="8209" spans="153:170" x14ac:dyDescent="0.35">
      <c r="EW8209" s="48"/>
      <c r="FB8209" s="5"/>
      <c r="FI8209" s="5"/>
      <c r="FJ8209" s="164"/>
      <c r="FL8209" s="2"/>
      <c r="FN8209" s="2"/>
    </row>
    <row r="8210" spans="153:170" x14ac:dyDescent="0.35">
      <c r="EW8210" s="48"/>
      <c r="FB8210" s="5"/>
      <c r="FI8210" s="5"/>
      <c r="FJ8210" s="164"/>
      <c r="FL8210" s="2"/>
      <c r="FN8210" s="2"/>
    </row>
    <row r="8211" spans="153:170" x14ac:dyDescent="0.35">
      <c r="EW8211" s="48"/>
      <c r="FB8211" s="5"/>
      <c r="FI8211" s="5"/>
      <c r="FJ8211" s="164"/>
      <c r="FL8211" s="2"/>
      <c r="FN8211" s="2"/>
    </row>
    <row r="8212" spans="153:170" x14ac:dyDescent="0.35">
      <c r="EW8212" s="48"/>
      <c r="FB8212" s="5"/>
      <c r="FI8212" s="5"/>
      <c r="FJ8212" s="164"/>
      <c r="FL8212" s="2"/>
      <c r="FN8212" s="2"/>
    </row>
    <row r="8213" spans="153:170" x14ac:dyDescent="0.35">
      <c r="EW8213" s="48"/>
      <c r="FB8213" s="5"/>
      <c r="FI8213" s="5"/>
      <c r="FJ8213" s="164"/>
      <c r="FL8213" s="2"/>
      <c r="FN8213" s="2"/>
    </row>
    <row r="8214" spans="153:170" x14ac:dyDescent="0.35">
      <c r="EW8214" s="48"/>
      <c r="FB8214" s="5"/>
      <c r="FI8214" s="5"/>
      <c r="FJ8214" s="164"/>
      <c r="FL8214" s="2"/>
      <c r="FN8214" s="2"/>
    </row>
    <row r="8215" spans="153:170" x14ac:dyDescent="0.35">
      <c r="EW8215" s="48"/>
      <c r="FB8215" s="5"/>
      <c r="FI8215" s="5"/>
      <c r="FJ8215" s="164"/>
      <c r="FL8215" s="2"/>
      <c r="FN8215" s="2"/>
    </row>
    <row r="8216" spans="153:170" x14ac:dyDescent="0.35">
      <c r="EW8216" s="48"/>
      <c r="FB8216" s="5"/>
      <c r="FI8216" s="5"/>
      <c r="FJ8216" s="164"/>
      <c r="FL8216" s="2"/>
      <c r="FN8216" s="2"/>
    </row>
    <row r="8217" spans="153:170" x14ac:dyDescent="0.35">
      <c r="EW8217" s="48"/>
      <c r="FB8217" s="5"/>
      <c r="FI8217" s="5"/>
      <c r="FJ8217" s="164"/>
      <c r="FL8217" s="2"/>
      <c r="FN8217" s="2"/>
    </row>
    <row r="8218" spans="153:170" x14ac:dyDescent="0.35">
      <c r="EW8218" s="48"/>
      <c r="FB8218" s="5"/>
      <c r="FI8218" s="5"/>
      <c r="FJ8218" s="164"/>
      <c r="FL8218" s="2"/>
      <c r="FN8218" s="2"/>
    </row>
    <row r="8219" spans="153:170" x14ac:dyDescent="0.35">
      <c r="EW8219" s="48"/>
      <c r="FB8219" s="5"/>
      <c r="FI8219" s="5"/>
      <c r="FJ8219" s="164"/>
      <c r="FL8219" s="2"/>
      <c r="FN8219" s="2"/>
    </row>
    <row r="8220" spans="153:170" x14ac:dyDescent="0.35">
      <c r="EW8220" s="48"/>
      <c r="FB8220" s="5"/>
      <c r="FI8220" s="5"/>
      <c r="FJ8220" s="164"/>
      <c r="FL8220" s="2"/>
      <c r="FN8220" s="2"/>
    </row>
    <row r="8221" spans="153:170" x14ac:dyDescent="0.35">
      <c r="EW8221" s="48"/>
      <c r="FB8221" s="5"/>
      <c r="FI8221" s="5"/>
      <c r="FJ8221" s="164"/>
      <c r="FL8221" s="2"/>
      <c r="FN8221" s="2"/>
    </row>
    <row r="8222" spans="153:170" x14ac:dyDescent="0.35">
      <c r="EW8222" s="48"/>
      <c r="FB8222" s="5"/>
      <c r="FI8222" s="5"/>
      <c r="FJ8222" s="164"/>
      <c r="FL8222" s="2"/>
      <c r="FN8222" s="2"/>
    </row>
    <row r="8223" spans="153:170" x14ac:dyDescent="0.35">
      <c r="EW8223" s="48"/>
      <c r="FB8223" s="5"/>
      <c r="FI8223" s="5"/>
      <c r="FJ8223" s="164"/>
      <c r="FL8223" s="2"/>
      <c r="FN8223" s="2"/>
    </row>
    <row r="8224" spans="153:170" x14ac:dyDescent="0.35">
      <c r="EW8224" s="48"/>
      <c r="FB8224" s="5"/>
      <c r="FI8224" s="5"/>
      <c r="FJ8224" s="164"/>
      <c r="FL8224" s="2"/>
      <c r="FN8224" s="2"/>
    </row>
    <row r="8225" spans="153:170" x14ac:dyDescent="0.35">
      <c r="EW8225" s="48"/>
      <c r="FB8225" s="5"/>
      <c r="FI8225" s="5"/>
      <c r="FJ8225" s="164"/>
      <c r="FL8225" s="2"/>
      <c r="FN8225" s="2"/>
    </row>
    <row r="8226" spans="153:170" x14ac:dyDescent="0.35">
      <c r="EW8226" s="48"/>
      <c r="FB8226" s="5"/>
      <c r="FI8226" s="5"/>
      <c r="FJ8226" s="164"/>
      <c r="FL8226" s="2"/>
      <c r="FN8226" s="2"/>
    </row>
    <row r="8227" spans="153:170" x14ac:dyDescent="0.35">
      <c r="EW8227" s="48"/>
      <c r="FB8227" s="5"/>
      <c r="FI8227" s="5"/>
      <c r="FJ8227" s="164"/>
      <c r="FL8227" s="2"/>
      <c r="FN8227" s="2"/>
    </row>
    <row r="8228" spans="153:170" x14ac:dyDescent="0.35">
      <c r="EW8228" s="48"/>
      <c r="FB8228" s="5"/>
      <c r="FI8228" s="5"/>
      <c r="FJ8228" s="164"/>
      <c r="FL8228" s="2"/>
      <c r="FN8228" s="2"/>
    </row>
    <row r="8229" spans="153:170" x14ac:dyDescent="0.35">
      <c r="EW8229" s="48"/>
      <c r="FB8229" s="5"/>
      <c r="FI8229" s="5"/>
      <c r="FJ8229" s="164"/>
      <c r="FL8229" s="2"/>
      <c r="FN8229" s="2"/>
    </row>
    <row r="8230" spans="153:170" x14ac:dyDescent="0.35">
      <c r="EW8230" s="48"/>
      <c r="FB8230" s="5"/>
      <c r="FI8230" s="5"/>
      <c r="FJ8230" s="164"/>
      <c r="FL8230" s="2"/>
      <c r="FN8230" s="2"/>
    </row>
    <row r="8231" spans="153:170" x14ac:dyDescent="0.35">
      <c r="EW8231" s="48"/>
      <c r="FB8231" s="5"/>
      <c r="FI8231" s="5"/>
      <c r="FJ8231" s="164"/>
      <c r="FL8231" s="2"/>
      <c r="FN8231" s="2"/>
    </row>
    <row r="8232" spans="153:170" x14ac:dyDescent="0.35">
      <c r="EW8232" s="48"/>
      <c r="FB8232" s="5"/>
      <c r="FI8232" s="5"/>
      <c r="FJ8232" s="164"/>
      <c r="FL8232" s="2"/>
      <c r="FN8232" s="2"/>
    </row>
    <row r="8233" spans="153:170" x14ac:dyDescent="0.35">
      <c r="EW8233" s="48"/>
      <c r="FB8233" s="5"/>
      <c r="FI8233" s="5"/>
      <c r="FJ8233" s="164"/>
      <c r="FL8233" s="2"/>
      <c r="FN8233" s="2"/>
    </row>
    <row r="8234" spans="153:170" x14ac:dyDescent="0.35">
      <c r="EW8234" s="48"/>
      <c r="FB8234" s="5"/>
      <c r="FI8234" s="5"/>
      <c r="FJ8234" s="164"/>
      <c r="FL8234" s="2"/>
      <c r="FN8234" s="2"/>
    </row>
    <row r="8235" spans="153:170" x14ac:dyDescent="0.35">
      <c r="EW8235" s="48"/>
      <c r="FB8235" s="5"/>
      <c r="FI8235" s="5"/>
      <c r="FJ8235" s="164"/>
      <c r="FL8235" s="2"/>
      <c r="FN8235" s="2"/>
    </row>
    <row r="8236" spans="153:170" x14ac:dyDescent="0.35">
      <c r="EW8236" s="48"/>
      <c r="FB8236" s="5"/>
      <c r="FI8236" s="5"/>
      <c r="FJ8236" s="164"/>
      <c r="FL8236" s="2"/>
      <c r="FN8236" s="2"/>
    </row>
    <row r="8237" spans="153:170" x14ac:dyDescent="0.35">
      <c r="EW8237" s="48"/>
      <c r="FB8237" s="5"/>
      <c r="FI8237" s="5"/>
      <c r="FJ8237" s="164"/>
      <c r="FL8237" s="2"/>
      <c r="FN8237" s="2"/>
    </row>
    <row r="8238" spans="153:170" x14ac:dyDescent="0.35">
      <c r="EW8238" s="48"/>
      <c r="FB8238" s="5"/>
      <c r="FI8238" s="5"/>
      <c r="FJ8238" s="164"/>
      <c r="FL8238" s="2"/>
      <c r="FN8238" s="2"/>
    </row>
    <row r="8239" spans="153:170" x14ac:dyDescent="0.35">
      <c r="EW8239" s="48"/>
      <c r="FB8239" s="5"/>
      <c r="FI8239" s="5"/>
      <c r="FJ8239" s="164"/>
      <c r="FL8239" s="2"/>
      <c r="FN8239" s="2"/>
    </row>
    <row r="8240" spans="153:170" x14ac:dyDescent="0.35">
      <c r="EW8240" s="48"/>
      <c r="FB8240" s="5"/>
      <c r="FI8240" s="5"/>
      <c r="FJ8240" s="164"/>
      <c r="FL8240" s="2"/>
      <c r="FN8240" s="2"/>
    </row>
    <row r="8241" spans="153:170" x14ac:dyDescent="0.35">
      <c r="EW8241" s="48"/>
      <c r="FB8241" s="5"/>
      <c r="FI8241" s="5"/>
      <c r="FJ8241" s="164"/>
      <c r="FL8241" s="2"/>
      <c r="FN8241" s="2"/>
    </row>
    <row r="8242" spans="153:170" x14ac:dyDescent="0.35">
      <c r="EW8242" s="48"/>
      <c r="FB8242" s="5"/>
      <c r="FI8242" s="5"/>
      <c r="FJ8242" s="164"/>
      <c r="FL8242" s="2"/>
      <c r="FN8242" s="2"/>
    </row>
    <row r="8243" spans="153:170" x14ac:dyDescent="0.35">
      <c r="EW8243" s="48"/>
      <c r="FB8243" s="5"/>
      <c r="FI8243" s="5"/>
      <c r="FJ8243" s="164"/>
      <c r="FL8243" s="2"/>
      <c r="FN8243" s="2"/>
    </row>
    <row r="8244" spans="153:170" x14ac:dyDescent="0.35">
      <c r="EW8244" s="48"/>
      <c r="FB8244" s="5"/>
      <c r="FI8244" s="5"/>
      <c r="FJ8244" s="164"/>
      <c r="FL8244" s="2"/>
      <c r="FN8244" s="2"/>
    </row>
    <row r="8245" spans="153:170" x14ac:dyDescent="0.35">
      <c r="EW8245" s="48"/>
      <c r="FB8245" s="5"/>
      <c r="FI8245" s="5"/>
      <c r="FJ8245" s="164"/>
      <c r="FL8245" s="2"/>
      <c r="FN8245" s="2"/>
    </row>
    <row r="8246" spans="153:170" x14ac:dyDescent="0.35">
      <c r="EW8246" s="48"/>
      <c r="FB8246" s="5"/>
      <c r="FI8246" s="5"/>
      <c r="FJ8246" s="164"/>
      <c r="FL8246" s="2"/>
      <c r="FN8246" s="2"/>
    </row>
    <row r="8247" spans="153:170" x14ac:dyDescent="0.35">
      <c r="EW8247" s="48"/>
      <c r="FB8247" s="5"/>
      <c r="FI8247" s="5"/>
      <c r="FJ8247" s="164"/>
      <c r="FL8247" s="2"/>
      <c r="FN8247" s="2"/>
    </row>
    <row r="8248" spans="153:170" x14ac:dyDescent="0.35">
      <c r="EW8248" s="48"/>
      <c r="FB8248" s="5"/>
      <c r="FI8248" s="5"/>
      <c r="FJ8248" s="164"/>
      <c r="FL8248" s="2"/>
      <c r="FN8248" s="2"/>
    </row>
    <row r="8249" spans="153:170" x14ac:dyDescent="0.35">
      <c r="EW8249" s="48"/>
      <c r="FB8249" s="5"/>
      <c r="FI8249" s="5"/>
      <c r="FJ8249" s="164"/>
      <c r="FL8249" s="2"/>
      <c r="FN8249" s="2"/>
    </row>
    <row r="8250" spans="153:170" x14ac:dyDescent="0.35">
      <c r="EW8250" s="48"/>
      <c r="FB8250" s="5"/>
      <c r="FI8250" s="5"/>
      <c r="FJ8250" s="164"/>
      <c r="FL8250" s="2"/>
      <c r="FN8250" s="2"/>
    </row>
    <row r="8251" spans="153:170" x14ac:dyDescent="0.35">
      <c r="EW8251" s="48"/>
      <c r="FB8251" s="5"/>
      <c r="FI8251" s="5"/>
      <c r="FJ8251" s="164"/>
      <c r="FL8251" s="2"/>
      <c r="FN8251" s="2"/>
    </row>
    <row r="8252" spans="153:170" x14ac:dyDescent="0.35">
      <c r="EW8252" s="48"/>
      <c r="FB8252" s="5"/>
      <c r="FI8252" s="5"/>
      <c r="FJ8252" s="164"/>
      <c r="FL8252" s="2"/>
      <c r="FN8252" s="2"/>
    </row>
    <row r="8253" spans="153:170" x14ac:dyDescent="0.35">
      <c r="EW8253" s="48"/>
      <c r="FB8253" s="5"/>
      <c r="FI8253" s="5"/>
      <c r="FJ8253" s="164"/>
      <c r="FL8253" s="2"/>
      <c r="FN8253" s="2"/>
    </row>
    <row r="8254" spans="153:170" x14ac:dyDescent="0.35">
      <c r="EW8254" s="48"/>
      <c r="FB8254" s="5"/>
      <c r="FI8254" s="5"/>
      <c r="FJ8254" s="164"/>
      <c r="FL8254" s="2"/>
      <c r="FN8254" s="2"/>
    </row>
    <row r="8255" spans="153:170" x14ac:dyDescent="0.35">
      <c r="EW8255" s="48"/>
      <c r="FB8255" s="5"/>
      <c r="FI8255" s="5"/>
      <c r="FJ8255" s="164"/>
      <c r="FL8255" s="2"/>
      <c r="FN8255" s="2"/>
    </row>
    <row r="8256" spans="153:170" x14ac:dyDescent="0.35">
      <c r="EW8256" s="48"/>
      <c r="FB8256" s="5"/>
      <c r="FI8256" s="5"/>
      <c r="FJ8256" s="164"/>
      <c r="FL8256" s="2"/>
      <c r="FN8256" s="2"/>
    </row>
    <row r="8257" spans="153:170" x14ac:dyDescent="0.35">
      <c r="EW8257" s="48"/>
      <c r="FB8257" s="5"/>
      <c r="FI8257" s="5"/>
      <c r="FJ8257" s="164"/>
      <c r="FL8257" s="2"/>
      <c r="FN8257" s="2"/>
    </row>
    <row r="8258" spans="153:170" x14ac:dyDescent="0.35">
      <c r="EW8258" s="48"/>
      <c r="FB8258" s="5"/>
      <c r="FI8258" s="5"/>
      <c r="FJ8258" s="164"/>
      <c r="FL8258" s="2"/>
      <c r="FN8258" s="2"/>
    </row>
    <row r="8259" spans="153:170" x14ac:dyDescent="0.35">
      <c r="EW8259" s="48"/>
      <c r="FB8259" s="5"/>
      <c r="FI8259" s="5"/>
      <c r="FJ8259" s="164"/>
      <c r="FL8259" s="2"/>
      <c r="FN8259" s="2"/>
    </row>
    <row r="8260" spans="153:170" x14ac:dyDescent="0.35">
      <c r="EW8260" s="48"/>
      <c r="FB8260" s="5"/>
      <c r="FI8260" s="5"/>
      <c r="FJ8260" s="164"/>
      <c r="FL8260" s="2"/>
      <c r="FN8260" s="2"/>
    </row>
    <row r="8261" spans="153:170" x14ac:dyDescent="0.35">
      <c r="EW8261" s="48"/>
      <c r="FB8261" s="5"/>
      <c r="FI8261" s="5"/>
      <c r="FJ8261" s="164"/>
      <c r="FL8261" s="2"/>
      <c r="FN8261" s="2"/>
    </row>
    <row r="8262" spans="153:170" x14ac:dyDescent="0.35">
      <c r="EW8262" s="48"/>
      <c r="FB8262" s="5"/>
      <c r="FI8262" s="5"/>
      <c r="FJ8262" s="164"/>
      <c r="FL8262" s="2"/>
      <c r="FN8262" s="2"/>
    </row>
    <row r="8263" spans="153:170" x14ac:dyDescent="0.35">
      <c r="EW8263" s="48"/>
      <c r="FB8263" s="5"/>
      <c r="FI8263" s="5"/>
      <c r="FJ8263" s="164"/>
      <c r="FL8263" s="2"/>
      <c r="FN8263" s="2"/>
    </row>
    <row r="8264" spans="153:170" x14ac:dyDescent="0.35">
      <c r="EW8264" s="48"/>
      <c r="FB8264" s="5"/>
      <c r="FI8264" s="5"/>
      <c r="FJ8264" s="164"/>
      <c r="FL8264" s="2"/>
      <c r="FN8264" s="2"/>
    </row>
    <row r="8265" spans="153:170" x14ac:dyDescent="0.35">
      <c r="EW8265" s="48"/>
      <c r="FB8265" s="5"/>
      <c r="FI8265" s="5"/>
      <c r="FJ8265" s="164"/>
      <c r="FL8265" s="2"/>
      <c r="FN8265" s="2"/>
    </row>
    <row r="8266" spans="153:170" x14ac:dyDescent="0.35">
      <c r="EW8266" s="48"/>
      <c r="FB8266" s="5"/>
      <c r="FI8266" s="5"/>
      <c r="FJ8266" s="164"/>
      <c r="FL8266" s="2"/>
      <c r="FN8266" s="2"/>
    </row>
    <row r="8267" spans="153:170" x14ac:dyDescent="0.35">
      <c r="EW8267" s="48"/>
      <c r="FB8267" s="5"/>
      <c r="FI8267" s="5"/>
      <c r="FJ8267" s="164"/>
      <c r="FL8267" s="2"/>
      <c r="FN8267" s="2"/>
    </row>
    <row r="8268" spans="153:170" x14ac:dyDescent="0.35">
      <c r="EW8268" s="48"/>
      <c r="FB8268" s="5"/>
      <c r="FI8268" s="5"/>
      <c r="FJ8268" s="164"/>
      <c r="FL8268" s="2"/>
      <c r="FN8268" s="2"/>
    </row>
    <row r="8269" spans="153:170" x14ac:dyDescent="0.35">
      <c r="EW8269" s="48"/>
      <c r="FB8269" s="5"/>
      <c r="FI8269" s="5"/>
      <c r="FJ8269" s="164"/>
      <c r="FL8269" s="2"/>
      <c r="FN8269" s="2"/>
    </row>
    <row r="8270" spans="153:170" x14ac:dyDescent="0.35">
      <c r="EW8270" s="48"/>
      <c r="FB8270" s="5"/>
      <c r="FI8270" s="5"/>
      <c r="FJ8270" s="164"/>
      <c r="FL8270" s="2"/>
      <c r="FN8270" s="2"/>
    </row>
    <row r="8271" spans="153:170" x14ac:dyDescent="0.35">
      <c r="EW8271" s="48"/>
      <c r="FB8271" s="5"/>
      <c r="FI8271" s="5"/>
      <c r="FJ8271" s="164"/>
      <c r="FL8271" s="2"/>
      <c r="FN8271" s="2"/>
    </row>
    <row r="8272" spans="153:170" x14ac:dyDescent="0.35">
      <c r="EW8272" s="48"/>
      <c r="FB8272" s="5"/>
      <c r="FI8272" s="5"/>
      <c r="FJ8272" s="164"/>
      <c r="FL8272" s="2"/>
      <c r="FN8272" s="2"/>
    </row>
    <row r="8273" spans="153:170" x14ac:dyDescent="0.35">
      <c r="EW8273" s="48"/>
      <c r="FB8273" s="5"/>
      <c r="FI8273" s="5"/>
      <c r="FJ8273" s="164"/>
      <c r="FL8273" s="2"/>
      <c r="FN8273" s="2"/>
    </row>
    <row r="8274" spans="153:170" x14ac:dyDescent="0.35">
      <c r="EW8274" s="48"/>
      <c r="FB8274" s="5"/>
      <c r="FI8274" s="5"/>
      <c r="FJ8274" s="164"/>
      <c r="FL8274" s="2"/>
      <c r="FN8274" s="2"/>
    </row>
    <row r="8275" spans="153:170" x14ac:dyDescent="0.35">
      <c r="EW8275" s="48"/>
      <c r="FB8275" s="5"/>
      <c r="FI8275" s="5"/>
      <c r="FJ8275" s="164"/>
      <c r="FL8275" s="2"/>
      <c r="FN8275" s="2"/>
    </row>
    <row r="8276" spans="153:170" x14ac:dyDescent="0.35">
      <c r="EW8276" s="48"/>
      <c r="FB8276" s="5"/>
      <c r="FI8276" s="5"/>
      <c r="FJ8276" s="164"/>
      <c r="FL8276" s="2"/>
      <c r="FN8276" s="2"/>
    </row>
    <row r="8277" spans="153:170" x14ac:dyDescent="0.35">
      <c r="EW8277" s="48"/>
      <c r="FB8277" s="5"/>
      <c r="FI8277" s="5"/>
      <c r="FJ8277" s="164"/>
      <c r="FL8277" s="2"/>
      <c r="FN8277" s="2"/>
    </row>
    <row r="8278" spans="153:170" x14ac:dyDescent="0.35">
      <c r="EW8278" s="48"/>
      <c r="FB8278" s="5"/>
      <c r="FI8278" s="5"/>
      <c r="FJ8278" s="164"/>
      <c r="FL8278" s="2"/>
      <c r="FN8278" s="2"/>
    </row>
    <row r="8279" spans="153:170" x14ac:dyDescent="0.35">
      <c r="EW8279" s="48"/>
      <c r="FB8279" s="5"/>
      <c r="FI8279" s="5"/>
      <c r="FJ8279" s="164"/>
      <c r="FL8279" s="2"/>
      <c r="FN8279" s="2"/>
    </row>
    <row r="8280" spans="153:170" x14ac:dyDescent="0.35">
      <c r="EW8280" s="48"/>
      <c r="FB8280" s="5"/>
      <c r="FI8280" s="5"/>
      <c r="FJ8280" s="164"/>
      <c r="FL8280" s="2"/>
      <c r="FN8280" s="2"/>
    </row>
    <row r="8281" spans="153:170" x14ac:dyDescent="0.35">
      <c r="EW8281" s="48"/>
      <c r="FB8281" s="5"/>
      <c r="FI8281" s="5"/>
      <c r="FJ8281" s="164"/>
      <c r="FL8281" s="2"/>
      <c r="FN8281" s="2"/>
    </row>
    <row r="8282" spans="153:170" x14ac:dyDescent="0.35">
      <c r="EW8282" s="48"/>
      <c r="FB8282" s="5"/>
      <c r="FI8282" s="5"/>
      <c r="FJ8282" s="164"/>
      <c r="FL8282" s="2"/>
      <c r="FN8282" s="2"/>
    </row>
    <row r="8283" spans="153:170" x14ac:dyDescent="0.35">
      <c r="EW8283" s="48"/>
      <c r="FB8283" s="5"/>
      <c r="FI8283" s="5"/>
      <c r="FJ8283" s="164"/>
      <c r="FL8283" s="2"/>
      <c r="FN8283" s="2"/>
    </row>
    <row r="8284" spans="153:170" x14ac:dyDescent="0.35">
      <c r="EW8284" s="48"/>
      <c r="FB8284" s="5"/>
      <c r="FI8284" s="5"/>
      <c r="FJ8284" s="164"/>
      <c r="FL8284" s="2"/>
      <c r="FN8284" s="2"/>
    </row>
    <row r="8285" spans="153:170" x14ac:dyDescent="0.35">
      <c r="EW8285" s="48"/>
      <c r="FB8285" s="5"/>
      <c r="FI8285" s="5"/>
      <c r="FJ8285" s="164"/>
      <c r="FL8285" s="2"/>
      <c r="FN8285" s="2"/>
    </row>
    <row r="8286" spans="153:170" x14ac:dyDescent="0.35">
      <c r="EW8286" s="48"/>
      <c r="FB8286" s="5"/>
      <c r="FI8286" s="5"/>
      <c r="FJ8286" s="164"/>
      <c r="FL8286" s="2"/>
      <c r="FN8286" s="2"/>
    </row>
    <row r="8287" spans="153:170" x14ac:dyDescent="0.35">
      <c r="EW8287" s="48"/>
      <c r="FB8287" s="5"/>
      <c r="FI8287" s="5"/>
      <c r="FJ8287" s="164"/>
      <c r="FL8287" s="2"/>
      <c r="FN8287" s="2"/>
    </row>
    <row r="8288" spans="153:170" x14ac:dyDescent="0.35">
      <c r="EW8288" s="48"/>
      <c r="FB8288" s="5"/>
      <c r="FI8288" s="5"/>
      <c r="FJ8288" s="164"/>
      <c r="FL8288" s="2"/>
      <c r="FN8288" s="2"/>
    </row>
    <row r="8289" spans="153:170" x14ac:dyDescent="0.35">
      <c r="EW8289" s="48"/>
      <c r="FB8289" s="5"/>
      <c r="FI8289" s="5"/>
      <c r="FJ8289" s="164"/>
      <c r="FL8289" s="2"/>
      <c r="FN8289" s="2"/>
    </row>
    <row r="8290" spans="153:170" x14ac:dyDescent="0.35">
      <c r="EW8290" s="48"/>
      <c r="FB8290" s="5"/>
      <c r="FI8290" s="5"/>
      <c r="FJ8290" s="164"/>
      <c r="FL8290" s="2"/>
      <c r="FN8290" s="2"/>
    </row>
    <row r="8291" spans="153:170" x14ac:dyDescent="0.35">
      <c r="EW8291" s="48"/>
      <c r="FB8291" s="5"/>
      <c r="FI8291" s="5"/>
      <c r="FJ8291" s="164"/>
      <c r="FL8291" s="2"/>
      <c r="FN8291" s="2"/>
    </row>
    <row r="8292" spans="153:170" x14ac:dyDescent="0.35">
      <c r="EW8292" s="48"/>
      <c r="FB8292" s="5"/>
      <c r="FI8292" s="5"/>
      <c r="FJ8292" s="164"/>
      <c r="FL8292" s="2"/>
      <c r="FN8292" s="2"/>
    </row>
    <row r="8293" spans="153:170" x14ac:dyDescent="0.35">
      <c r="EW8293" s="48"/>
      <c r="FB8293" s="5"/>
      <c r="FI8293" s="5"/>
      <c r="FJ8293" s="164"/>
      <c r="FL8293" s="2"/>
      <c r="FN8293" s="2"/>
    </row>
    <row r="8294" spans="153:170" x14ac:dyDescent="0.35">
      <c r="EW8294" s="48"/>
      <c r="FB8294" s="5"/>
      <c r="FI8294" s="5"/>
      <c r="FJ8294" s="164"/>
      <c r="FL8294" s="2"/>
      <c r="FN8294" s="2"/>
    </row>
    <row r="8295" spans="153:170" x14ac:dyDescent="0.35">
      <c r="EW8295" s="48"/>
      <c r="FB8295" s="5"/>
      <c r="FI8295" s="5"/>
      <c r="FJ8295" s="164"/>
      <c r="FL8295" s="2"/>
      <c r="FN8295" s="2"/>
    </row>
    <row r="8296" spans="153:170" x14ac:dyDescent="0.35">
      <c r="EW8296" s="48"/>
      <c r="FB8296" s="5"/>
      <c r="FI8296" s="5"/>
      <c r="FJ8296" s="164"/>
      <c r="FL8296" s="2"/>
      <c r="FN8296" s="2"/>
    </row>
    <row r="8297" spans="153:170" x14ac:dyDescent="0.35">
      <c r="EW8297" s="48"/>
      <c r="FB8297" s="5"/>
      <c r="FI8297" s="5"/>
      <c r="FJ8297" s="164"/>
      <c r="FL8297" s="2"/>
      <c r="FN8297" s="2"/>
    </row>
    <row r="8298" spans="153:170" x14ac:dyDescent="0.35">
      <c r="EW8298" s="48"/>
      <c r="FB8298" s="5"/>
      <c r="FI8298" s="5"/>
      <c r="FJ8298" s="164"/>
      <c r="FL8298" s="2"/>
      <c r="FN8298" s="2"/>
    </row>
    <row r="8299" spans="153:170" x14ac:dyDescent="0.35">
      <c r="EW8299" s="48"/>
      <c r="FB8299" s="5"/>
      <c r="FI8299" s="5"/>
      <c r="FJ8299" s="164"/>
      <c r="FL8299" s="2"/>
      <c r="FN8299" s="2"/>
    </row>
    <row r="8300" spans="153:170" x14ac:dyDescent="0.35">
      <c r="EW8300" s="48"/>
      <c r="FB8300" s="5"/>
      <c r="FI8300" s="5"/>
      <c r="FJ8300" s="164"/>
      <c r="FL8300" s="2"/>
      <c r="FN8300" s="2"/>
    </row>
    <row r="8301" spans="153:170" x14ac:dyDescent="0.35">
      <c r="EW8301" s="48"/>
      <c r="FB8301" s="5"/>
      <c r="FI8301" s="5"/>
      <c r="FJ8301" s="164"/>
      <c r="FL8301" s="2"/>
      <c r="FN8301" s="2"/>
    </row>
    <row r="8302" spans="153:170" x14ac:dyDescent="0.35">
      <c r="EW8302" s="48"/>
      <c r="FB8302" s="5"/>
      <c r="FI8302" s="5"/>
      <c r="FJ8302" s="164"/>
      <c r="FL8302" s="2"/>
      <c r="FN8302" s="2"/>
    </row>
    <row r="8303" spans="153:170" x14ac:dyDescent="0.35">
      <c r="EW8303" s="48"/>
      <c r="FB8303" s="5"/>
      <c r="FI8303" s="5"/>
      <c r="FJ8303" s="164"/>
      <c r="FL8303" s="2"/>
      <c r="FN8303" s="2"/>
    </row>
    <row r="8304" spans="153:170" x14ac:dyDescent="0.35">
      <c r="EW8304" s="48"/>
      <c r="FB8304" s="5"/>
      <c r="FI8304" s="5"/>
      <c r="FJ8304" s="164"/>
      <c r="FL8304" s="2"/>
      <c r="FN8304" s="2"/>
    </row>
    <row r="8305" spans="153:170" x14ac:dyDescent="0.35">
      <c r="EW8305" s="48"/>
      <c r="FB8305" s="5"/>
      <c r="FI8305" s="5"/>
      <c r="FJ8305" s="164"/>
      <c r="FL8305" s="2"/>
      <c r="FN8305" s="2"/>
    </row>
    <row r="8306" spans="153:170" x14ac:dyDescent="0.35">
      <c r="EW8306" s="48"/>
      <c r="FB8306" s="5"/>
      <c r="FI8306" s="5"/>
      <c r="FJ8306" s="164"/>
      <c r="FL8306" s="2"/>
      <c r="FN8306" s="2"/>
    </row>
    <row r="8307" spans="153:170" x14ac:dyDescent="0.35">
      <c r="EW8307" s="48"/>
      <c r="FB8307" s="5"/>
      <c r="FI8307" s="5"/>
      <c r="FJ8307" s="164"/>
      <c r="FL8307" s="2"/>
      <c r="FN8307" s="2"/>
    </row>
    <row r="8308" spans="153:170" x14ac:dyDescent="0.35">
      <c r="EW8308" s="48"/>
      <c r="FB8308" s="5"/>
      <c r="FI8308" s="5"/>
      <c r="FJ8308" s="164"/>
      <c r="FL8308" s="2"/>
      <c r="FN8308" s="2"/>
    </row>
    <row r="8309" spans="153:170" x14ac:dyDescent="0.35">
      <c r="EW8309" s="48"/>
      <c r="FB8309" s="5"/>
      <c r="FI8309" s="5"/>
      <c r="FJ8309" s="164"/>
      <c r="FL8309" s="2"/>
      <c r="FN8309" s="2"/>
    </row>
    <row r="8310" spans="153:170" x14ac:dyDescent="0.35">
      <c r="EW8310" s="48"/>
      <c r="FB8310" s="5"/>
      <c r="FI8310" s="5"/>
      <c r="FJ8310" s="164"/>
      <c r="FL8310" s="2"/>
      <c r="FN8310" s="2"/>
    </row>
    <row r="8311" spans="153:170" x14ac:dyDescent="0.35">
      <c r="EW8311" s="48"/>
      <c r="FB8311" s="5"/>
      <c r="FI8311" s="5"/>
      <c r="FJ8311" s="164"/>
      <c r="FL8311" s="2"/>
      <c r="FN8311" s="2"/>
    </row>
    <row r="8312" spans="153:170" x14ac:dyDescent="0.35">
      <c r="EW8312" s="48"/>
      <c r="FB8312" s="5"/>
      <c r="FI8312" s="5"/>
      <c r="FJ8312" s="164"/>
      <c r="FL8312" s="2"/>
      <c r="FN8312" s="2"/>
    </row>
    <row r="8313" spans="153:170" x14ac:dyDescent="0.35">
      <c r="EW8313" s="48"/>
      <c r="FB8313" s="5"/>
      <c r="FI8313" s="5"/>
      <c r="FJ8313" s="164"/>
      <c r="FL8313" s="2"/>
      <c r="FN8313" s="2"/>
    </row>
    <row r="8314" spans="153:170" x14ac:dyDescent="0.35">
      <c r="EW8314" s="48"/>
      <c r="FB8314" s="5"/>
      <c r="FI8314" s="5"/>
      <c r="FJ8314" s="164"/>
      <c r="FL8314" s="2"/>
      <c r="FN8314" s="2"/>
    </row>
    <row r="8315" spans="153:170" x14ac:dyDescent="0.35">
      <c r="EW8315" s="48"/>
      <c r="FB8315" s="5"/>
      <c r="FI8315" s="5"/>
      <c r="FJ8315" s="164"/>
      <c r="FL8315" s="2"/>
      <c r="FN8315" s="2"/>
    </row>
    <row r="8316" spans="153:170" x14ac:dyDescent="0.35">
      <c r="EW8316" s="48"/>
      <c r="FB8316" s="5"/>
      <c r="FI8316" s="5"/>
      <c r="FJ8316" s="164"/>
      <c r="FL8316" s="2"/>
      <c r="FN8316" s="2"/>
    </row>
    <row r="8317" spans="153:170" x14ac:dyDescent="0.35">
      <c r="EW8317" s="48"/>
      <c r="FB8317" s="5"/>
      <c r="FI8317" s="5"/>
      <c r="FJ8317" s="164"/>
      <c r="FL8317" s="2"/>
      <c r="FN8317" s="2"/>
    </row>
    <row r="8318" spans="153:170" x14ac:dyDescent="0.35">
      <c r="EW8318" s="48"/>
      <c r="FB8318" s="5"/>
      <c r="FI8318" s="5"/>
      <c r="FJ8318" s="164"/>
      <c r="FL8318" s="2"/>
      <c r="FN8318" s="2"/>
    </row>
    <row r="8319" spans="153:170" x14ac:dyDescent="0.35">
      <c r="EW8319" s="48"/>
      <c r="FB8319" s="5"/>
      <c r="FI8319" s="5"/>
      <c r="FJ8319" s="164"/>
      <c r="FL8319" s="2"/>
      <c r="FN8319" s="2"/>
    </row>
    <row r="8320" spans="153:170" x14ac:dyDescent="0.35">
      <c r="EW8320" s="48"/>
      <c r="FB8320" s="5"/>
      <c r="FI8320" s="5"/>
      <c r="FJ8320" s="164"/>
      <c r="FL8320" s="2"/>
      <c r="FN8320" s="2"/>
    </row>
    <row r="8321" spans="153:170" x14ac:dyDescent="0.35">
      <c r="EW8321" s="48"/>
      <c r="FB8321" s="5"/>
      <c r="FI8321" s="5"/>
      <c r="FJ8321" s="164"/>
      <c r="FL8321" s="2"/>
      <c r="FN8321" s="2"/>
    </row>
    <row r="8322" spans="153:170" x14ac:dyDescent="0.35">
      <c r="EW8322" s="48"/>
      <c r="FB8322" s="5"/>
      <c r="FI8322" s="5"/>
      <c r="FJ8322" s="164"/>
      <c r="FL8322" s="2"/>
      <c r="FN8322" s="2"/>
    </row>
    <row r="8323" spans="153:170" x14ac:dyDescent="0.35">
      <c r="EW8323" s="48"/>
      <c r="FB8323" s="5"/>
      <c r="FI8323" s="5"/>
      <c r="FJ8323" s="164"/>
      <c r="FL8323" s="2"/>
      <c r="FN8323" s="2"/>
    </row>
    <row r="8324" spans="153:170" x14ac:dyDescent="0.35">
      <c r="EW8324" s="48"/>
      <c r="FB8324" s="5"/>
      <c r="FI8324" s="5"/>
      <c r="FJ8324" s="164"/>
      <c r="FL8324" s="2"/>
      <c r="FN8324" s="2"/>
    </row>
    <row r="8325" spans="153:170" x14ac:dyDescent="0.35">
      <c r="EW8325" s="48"/>
      <c r="FB8325" s="5"/>
      <c r="FI8325" s="5"/>
      <c r="FJ8325" s="164"/>
      <c r="FL8325" s="2"/>
      <c r="FN8325" s="2"/>
    </row>
    <row r="8326" spans="153:170" x14ac:dyDescent="0.35">
      <c r="EW8326" s="48"/>
      <c r="FB8326" s="5"/>
      <c r="FI8326" s="5"/>
      <c r="FJ8326" s="164"/>
      <c r="FL8326" s="2"/>
      <c r="FN8326" s="2"/>
    </row>
    <row r="8327" spans="153:170" x14ac:dyDescent="0.35">
      <c r="EW8327" s="48"/>
      <c r="FB8327" s="5"/>
      <c r="FI8327" s="5"/>
      <c r="FJ8327" s="164"/>
      <c r="FL8327" s="2"/>
      <c r="FN8327" s="2"/>
    </row>
    <row r="8328" spans="153:170" x14ac:dyDescent="0.35">
      <c r="EW8328" s="48"/>
      <c r="FB8328" s="5"/>
      <c r="FI8328" s="5"/>
      <c r="FJ8328" s="164"/>
      <c r="FL8328" s="2"/>
      <c r="FN8328" s="2"/>
    </row>
    <row r="8329" spans="153:170" x14ac:dyDescent="0.35">
      <c r="EW8329" s="48"/>
      <c r="FB8329" s="5"/>
      <c r="FI8329" s="5"/>
      <c r="FJ8329" s="164"/>
      <c r="FL8329" s="2"/>
      <c r="FN8329" s="2"/>
    </row>
    <row r="8330" spans="153:170" x14ac:dyDescent="0.35">
      <c r="EW8330" s="48"/>
      <c r="FB8330" s="5"/>
      <c r="FI8330" s="5"/>
      <c r="FJ8330" s="164"/>
      <c r="FL8330" s="2"/>
      <c r="FN8330" s="2"/>
    </row>
    <row r="8331" spans="153:170" x14ac:dyDescent="0.35">
      <c r="EW8331" s="48"/>
      <c r="FB8331" s="5"/>
      <c r="FI8331" s="5"/>
      <c r="FJ8331" s="164"/>
      <c r="FL8331" s="2"/>
      <c r="FN8331" s="2"/>
    </row>
    <row r="8332" spans="153:170" x14ac:dyDescent="0.35">
      <c r="EW8332" s="48"/>
      <c r="FB8332" s="5"/>
      <c r="FI8332" s="5"/>
      <c r="FJ8332" s="164"/>
      <c r="FL8332" s="2"/>
      <c r="FN8332" s="2"/>
    </row>
    <row r="8333" spans="153:170" x14ac:dyDescent="0.35">
      <c r="EW8333" s="48"/>
      <c r="FB8333" s="5"/>
      <c r="FI8333" s="5"/>
      <c r="FJ8333" s="164"/>
      <c r="FL8333" s="2"/>
      <c r="FN8333" s="2"/>
    </row>
    <row r="8334" spans="153:170" x14ac:dyDescent="0.35">
      <c r="EW8334" s="48"/>
      <c r="FB8334" s="5"/>
      <c r="FI8334" s="5"/>
      <c r="FJ8334" s="164"/>
      <c r="FL8334" s="2"/>
      <c r="FN8334" s="2"/>
    </row>
    <row r="8335" spans="153:170" x14ac:dyDescent="0.35">
      <c r="EW8335" s="48"/>
      <c r="FB8335" s="5"/>
      <c r="FI8335" s="5"/>
      <c r="FJ8335" s="164"/>
      <c r="FL8335" s="2"/>
      <c r="FN8335" s="2"/>
    </row>
    <row r="8336" spans="153:170" x14ac:dyDescent="0.35">
      <c r="EW8336" s="48"/>
      <c r="FB8336" s="5"/>
      <c r="FI8336" s="5"/>
      <c r="FJ8336" s="164"/>
      <c r="FL8336" s="2"/>
      <c r="FN8336" s="2"/>
    </row>
    <row r="8337" spans="153:170" x14ac:dyDescent="0.35">
      <c r="EW8337" s="48"/>
      <c r="FB8337" s="5"/>
      <c r="FI8337" s="5"/>
      <c r="FJ8337" s="164"/>
      <c r="FL8337" s="2"/>
      <c r="FN8337" s="2"/>
    </row>
    <row r="8338" spans="153:170" x14ac:dyDescent="0.35">
      <c r="EW8338" s="48"/>
      <c r="FB8338" s="5"/>
      <c r="FI8338" s="5"/>
      <c r="FJ8338" s="164"/>
      <c r="FL8338" s="2"/>
      <c r="FN8338" s="2"/>
    </row>
    <row r="8339" spans="153:170" x14ac:dyDescent="0.35">
      <c r="EW8339" s="48"/>
      <c r="FB8339" s="5"/>
      <c r="FI8339" s="5"/>
      <c r="FJ8339" s="164"/>
      <c r="FL8339" s="2"/>
      <c r="FN8339" s="2"/>
    </row>
    <row r="8340" spans="153:170" x14ac:dyDescent="0.35">
      <c r="EW8340" s="48"/>
      <c r="FB8340" s="5"/>
      <c r="FI8340" s="5"/>
      <c r="FJ8340" s="164"/>
      <c r="FL8340" s="2"/>
      <c r="FN8340" s="2"/>
    </row>
    <row r="8341" spans="153:170" x14ac:dyDescent="0.35">
      <c r="EW8341" s="48"/>
      <c r="FB8341" s="5"/>
      <c r="FI8341" s="5"/>
      <c r="FJ8341" s="164"/>
      <c r="FL8341" s="2"/>
      <c r="FN8341" s="2"/>
    </row>
    <row r="8342" spans="153:170" x14ac:dyDescent="0.35">
      <c r="EW8342" s="48"/>
      <c r="FB8342" s="5"/>
      <c r="FI8342" s="5"/>
      <c r="FJ8342" s="164"/>
      <c r="FL8342" s="2"/>
      <c r="FN8342" s="2"/>
    </row>
    <row r="8343" spans="153:170" x14ac:dyDescent="0.35">
      <c r="EW8343" s="48"/>
      <c r="FB8343" s="5"/>
      <c r="FI8343" s="5"/>
      <c r="FJ8343" s="164"/>
      <c r="FL8343" s="2"/>
      <c r="FN8343" s="2"/>
    </row>
    <row r="8344" spans="153:170" x14ac:dyDescent="0.35">
      <c r="EW8344" s="48"/>
      <c r="FB8344" s="5"/>
      <c r="FI8344" s="5"/>
      <c r="FJ8344" s="164"/>
      <c r="FL8344" s="2"/>
      <c r="FN8344" s="2"/>
    </row>
    <row r="8345" spans="153:170" x14ac:dyDescent="0.35">
      <c r="EW8345" s="48"/>
      <c r="FB8345" s="5"/>
      <c r="FI8345" s="5"/>
      <c r="FJ8345" s="164"/>
      <c r="FL8345" s="2"/>
      <c r="FN8345" s="2"/>
    </row>
    <row r="8346" spans="153:170" x14ac:dyDescent="0.35">
      <c r="EW8346" s="48"/>
      <c r="FB8346" s="5"/>
      <c r="FI8346" s="5"/>
      <c r="FJ8346" s="164"/>
      <c r="FL8346" s="2"/>
      <c r="FN8346" s="2"/>
    </row>
    <row r="8347" spans="153:170" x14ac:dyDescent="0.35">
      <c r="EW8347" s="48"/>
      <c r="FB8347" s="5"/>
      <c r="FI8347" s="5"/>
      <c r="FJ8347" s="164"/>
      <c r="FL8347" s="2"/>
      <c r="FN8347" s="2"/>
    </row>
    <row r="8348" spans="153:170" x14ac:dyDescent="0.35">
      <c r="EW8348" s="48"/>
      <c r="FB8348" s="5"/>
      <c r="FI8348" s="5"/>
      <c r="FJ8348" s="164"/>
      <c r="FL8348" s="2"/>
      <c r="FN8348" s="2"/>
    </row>
    <row r="8349" spans="153:170" x14ac:dyDescent="0.35">
      <c r="EW8349" s="48"/>
      <c r="FB8349" s="5"/>
      <c r="FI8349" s="5"/>
      <c r="FJ8349" s="164"/>
      <c r="FL8349" s="2"/>
      <c r="FN8349" s="2"/>
    </row>
    <row r="8350" spans="153:170" x14ac:dyDescent="0.35">
      <c r="EW8350" s="48"/>
      <c r="FB8350" s="5"/>
      <c r="FI8350" s="5"/>
      <c r="FJ8350" s="164"/>
      <c r="FL8350" s="2"/>
      <c r="FN8350" s="2"/>
    </row>
    <row r="8351" spans="153:170" x14ac:dyDescent="0.35">
      <c r="EW8351" s="48"/>
      <c r="FB8351" s="5"/>
      <c r="FI8351" s="5"/>
      <c r="FJ8351" s="164"/>
      <c r="FL8351" s="2"/>
      <c r="FN8351" s="2"/>
    </row>
    <row r="8352" spans="153:170" x14ac:dyDescent="0.35">
      <c r="EW8352" s="48"/>
      <c r="FB8352" s="5"/>
      <c r="FI8352" s="5"/>
      <c r="FJ8352" s="164"/>
      <c r="FL8352" s="2"/>
      <c r="FN8352" s="2"/>
    </row>
    <row r="8353" spans="153:170" x14ac:dyDescent="0.35">
      <c r="EW8353" s="48"/>
      <c r="FB8353" s="5"/>
      <c r="FI8353" s="5"/>
      <c r="FJ8353" s="164"/>
      <c r="FL8353" s="2"/>
      <c r="FN8353" s="2"/>
    </row>
    <row r="8354" spans="153:170" x14ac:dyDescent="0.35">
      <c r="EW8354" s="48"/>
      <c r="FB8354" s="5"/>
      <c r="FI8354" s="5"/>
      <c r="FJ8354" s="164"/>
      <c r="FL8354" s="2"/>
      <c r="FN8354" s="2"/>
    </row>
    <row r="8355" spans="153:170" x14ac:dyDescent="0.35">
      <c r="EW8355" s="48"/>
      <c r="FB8355" s="5"/>
      <c r="FI8355" s="5"/>
      <c r="FJ8355" s="164"/>
      <c r="FL8355" s="2"/>
      <c r="FN8355" s="2"/>
    </row>
    <row r="8356" spans="153:170" x14ac:dyDescent="0.35">
      <c r="EW8356" s="48"/>
      <c r="FB8356" s="5"/>
      <c r="FI8356" s="5"/>
      <c r="FJ8356" s="164"/>
      <c r="FL8356" s="2"/>
      <c r="FN8356" s="2"/>
    </row>
    <row r="8357" spans="153:170" x14ac:dyDescent="0.35">
      <c r="EW8357" s="48"/>
      <c r="FB8357" s="5"/>
      <c r="FI8357" s="5"/>
      <c r="FJ8357" s="164"/>
      <c r="FL8357" s="2"/>
      <c r="FN8357" s="2"/>
    </row>
    <row r="8358" spans="153:170" x14ac:dyDescent="0.35">
      <c r="EW8358" s="48"/>
      <c r="FB8358" s="5"/>
      <c r="FI8358" s="5"/>
      <c r="FJ8358" s="164"/>
      <c r="FL8358" s="2"/>
      <c r="FN8358" s="2"/>
    </row>
    <row r="8359" spans="153:170" x14ac:dyDescent="0.35">
      <c r="EW8359" s="48"/>
      <c r="FB8359" s="5"/>
      <c r="FI8359" s="5"/>
      <c r="FJ8359" s="164"/>
      <c r="FL8359" s="2"/>
      <c r="FN8359" s="2"/>
    </row>
    <row r="8360" spans="153:170" x14ac:dyDescent="0.35">
      <c r="EW8360" s="48"/>
      <c r="FB8360" s="5"/>
      <c r="FI8360" s="5"/>
      <c r="FJ8360" s="164"/>
      <c r="FL8360" s="2"/>
      <c r="FN8360" s="2"/>
    </row>
    <row r="8361" spans="153:170" x14ac:dyDescent="0.35">
      <c r="EW8361" s="48"/>
      <c r="FB8361" s="5"/>
      <c r="FI8361" s="5"/>
      <c r="FJ8361" s="164"/>
      <c r="FL8361" s="2"/>
      <c r="FN8361" s="2"/>
    </row>
    <row r="8362" spans="153:170" x14ac:dyDescent="0.35">
      <c r="EW8362" s="48"/>
      <c r="FB8362" s="5"/>
      <c r="FI8362" s="5"/>
      <c r="FJ8362" s="164"/>
      <c r="FL8362" s="2"/>
      <c r="FN8362" s="2"/>
    </row>
    <row r="8363" spans="153:170" x14ac:dyDescent="0.35">
      <c r="EW8363" s="48"/>
      <c r="FB8363" s="5"/>
      <c r="FI8363" s="5"/>
      <c r="FJ8363" s="164"/>
      <c r="FL8363" s="2"/>
      <c r="FN8363" s="2"/>
    </row>
    <row r="8364" spans="153:170" x14ac:dyDescent="0.35">
      <c r="EW8364" s="48"/>
      <c r="FB8364" s="5"/>
      <c r="FI8364" s="5"/>
      <c r="FJ8364" s="164"/>
      <c r="FL8364" s="2"/>
      <c r="FN8364" s="2"/>
    </row>
    <row r="8365" spans="153:170" x14ac:dyDescent="0.35">
      <c r="EW8365" s="48"/>
      <c r="FB8365" s="5"/>
      <c r="FI8365" s="5"/>
      <c r="FJ8365" s="164"/>
      <c r="FL8365" s="2"/>
      <c r="FN8365" s="2"/>
    </row>
    <row r="8366" spans="153:170" x14ac:dyDescent="0.35">
      <c r="EW8366" s="48"/>
      <c r="FB8366" s="5"/>
      <c r="FI8366" s="5"/>
      <c r="FJ8366" s="164"/>
      <c r="FL8366" s="2"/>
      <c r="FN8366" s="2"/>
    </row>
    <row r="8367" spans="153:170" x14ac:dyDescent="0.35">
      <c r="EW8367" s="48"/>
      <c r="FB8367" s="5"/>
      <c r="FI8367" s="5"/>
      <c r="FJ8367" s="164"/>
      <c r="FL8367" s="2"/>
      <c r="FN8367" s="2"/>
    </row>
    <row r="8368" spans="153:170" x14ac:dyDescent="0.35">
      <c r="EW8368" s="48"/>
      <c r="FB8368" s="5"/>
      <c r="FI8368" s="5"/>
      <c r="FJ8368" s="164"/>
      <c r="FL8368" s="2"/>
      <c r="FN8368" s="2"/>
    </row>
    <row r="8369" spans="153:170" x14ac:dyDescent="0.35">
      <c r="EW8369" s="48"/>
      <c r="FB8369" s="5"/>
      <c r="FI8369" s="5"/>
      <c r="FJ8369" s="164"/>
      <c r="FL8369" s="2"/>
      <c r="FN8369" s="2"/>
    </row>
    <row r="8370" spans="153:170" x14ac:dyDescent="0.35">
      <c r="EW8370" s="48"/>
      <c r="FB8370" s="5"/>
      <c r="FI8370" s="5"/>
      <c r="FJ8370" s="164"/>
      <c r="FL8370" s="2"/>
      <c r="FN8370" s="2"/>
    </row>
    <row r="8371" spans="153:170" x14ac:dyDescent="0.35">
      <c r="EW8371" s="48"/>
      <c r="FB8371" s="5"/>
      <c r="FI8371" s="5"/>
      <c r="FJ8371" s="164"/>
      <c r="FL8371" s="2"/>
      <c r="FN8371" s="2"/>
    </row>
    <row r="8372" spans="153:170" x14ac:dyDescent="0.35">
      <c r="EW8372" s="48"/>
      <c r="FB8372" s="5"/>
      <c r="FI8372" s="5"/>
      <c r="FJ8372" s="164"/>
      <c r="FL8372" s="2"/>
      <c r="FN8372" s="2"/>
    </row>
    <row r="8373" spans="153:170" x14ac:dyDescent="0.35">
      <c r="EW8373" s="48"/>
      <c r="FB8373" s="5"/>
      <c r="FI8373" s="5"/>
      <c r="FJ8373" s="164"/>
      <c r="FL8373" s="2"/>
      <c r="FN8373" s="2"/>
    </row>
    <row r="8374" spans="153:170" x14ac:dyDescent="0.35">
      <c r="EW8374" s="48"/>
      <c r="FB8374" s="5"/>
      <c r="FI8374" s="5"/>
      <c r="FJ8374" s="164"/>
      <c r="FL8374" s="2"/>
      <c r="FN8374" s="2"/>
    </row>
    <row r="8375" spans="153:170" x14ac:dyDescent="0.35">
      <c r="EW8375" s="48"/>
      <c r="FB8375" s="5"/>
      <c r="FI8375" s="5"/>
      <c r="FJ8375" s="164"/>
      <c r="FL8375" s="2"/>
      <c r="FN8375" s="2"/>
    </row>
    <row r="8376" spans="153:170" x14ac:dyDescent="0.35">
      <c r="EW8376" s="48"/>
      <c r="FB8376" s="5"/>
      <c r="FI8376" s="5"/>
      <c r="FJ8376" s="164"/>
      <c r="FL8376" s="2"/>
      <c r="FN8376" s="2"/>
    </row>
    <row r="8377" spans="153:170" x14ac:dyDescent="0.35">
      <c r="EW8377" s="48"/>
      <c r="FB8377" s="5"/>
      <c r="FI8377" s="5"/>
      <c r="FJ8377" s="164"/>
      <c r="FL8377" s="2"/>
      <c r="FN8377" s="2"/>
    </row>
    <row r="8378" spans="153:170" x14ac:dyDescent="0.35">
      <c r="EW8378" s="48"/>
      <c r="FB8378" s="5"/>
      <c r="FI8378" s="5"/>
      <c r="FJ8378" s="164"/>
      <c r="FL8378" s="2"/>
      <c r="FN8378" s="2"/>
    </row>
    <row r="8379" spans="153:170" x14ac:dyDescent="0.35">
      <c r="EW8379" s="48"/>
      <c r="FB8379" s="5"/>
      <c r="FI8379" s="5"/>
      <c r="FJ8379" s="164"/>
      <c r="FL8379" s="2"/>
      <c r="FN8379" s="2"/>
    </row>
    <row r="8380" spans="153:170" x14ac:dyDescent="0.35">
      <c r="EW8380" s="48"/>
      <c r="FB8380" s="5"/>
      <c r="FI8380" s="5"/>
      <c r="FJ8380" s="164"/>
      <c r="FL8380" s="2"/>
      <c r="FN8380" s="2"/>
    </row>
    <row r="8381" spans="153:170" x14ac:dyDescent="0.35">
      <c r="EW8381" s="48"/>
      <c r="FB8381" s="5"/>
      <c r="FI8381" s="5"/>
      <c r="FJ8381" s="164"/>
      <c r="FL8381" s="2"/>
      <c r="FN8381" s="2"/>
    </row>
    <row r="8382" spans="153:170" x14ac:dyDescent="0.35">
      <c r="EW8382" s="48"/>
      <c r="FB8382" s="5"/>
      <c r="FI8382" s="5"/>
      <c r="FJ8382" s="164"/>
      <c r="FL8382" s="2"/>
      <c r="FN8382" s="2"/>
    </row>
    <row r="8383" spans="153:170" x14ac:dyDescent="0.35">
      <c r="EW8383" s="48"/>
      <c r="FB8383" s="5"/>
      <c r="FI8383" s="5"/>
      <c r="FJ8383" s="164"/>
      <c r="FL8383" s="2"/>
      <c r="FN8383" s="2"/>
    </row>
    <row r="8384" spans="153:170" x14ac:dyDescent="0.35">
      <c r="EW8384" s="48"/>
      <c r="FB8384" s="5"/>
      <c r="FI8384" s="5"/>
      <c r="FJ8384" s="164"/>
      <c r="FL8384" s="2"/>
      <c r="FN8384" s="2"/>
    </row>
    <row r="8385" spans="153:170" x14ac:dyDescent="0.35">
      <c r="EW8385" s="48"/>
      <c r="FB8385" s="5"/>
      <c r="FI8385" s="5"/>
      <c r="FJ8385" s="164"/>
      <c r="FL8385" s="2"/>
      <c r="FN8385" s="2"/>
    </row>
    <row r="8386" spans="153:170" x14ac:dyDescent="0.35">
      <c r="EW8386" s="48"/>
      <c r="FB8386" s="5"/>
      <c r="FI8386" s="5"/>
      <c r="FJ8386" s="164"/>
      <c r="FL8386" s="2"/>
      <c r="FN8386" s="2"/>
    </row>
    <row r="8387" spans="153:170" x14ac:dyDescent="0.35">
      <c r="EW8387" s="48"/>
      <c r="FB8387" s="5"/>
      <c r="FI8387" s="5"/>
      <c r="FJ8387" s="164"/>
      <c r="FL8387" s="2"/>
      <c r="FN8387" s="2"/>
    </row>
    <row r="8388" spans="153:170" x14ac:dyDescent="0.35">
      <c r="EW8388" s="48"/>
      <c r="FB8388" s="5"/>
      <c r="FI8388" s="5"/>
      <c r="FJ8388" s="164"/>
      <c r="FL8388" s="2"/>
      <c r="FN8388" s="2"/>
    </row>
    <row r="8389" spans="153:170" x14ac:dyDescent="0.35">
      <c r="EW8389" s="48"/>
      <c r="FB8389" s="5"/>
      <c r="FI8389" s="5"/>
      <c r="FJ8389" s="164"/>
      <c r="FL8389" s="2"/>
      <c r="FN8389" s="2"/>
    </row>
    <row r="8390" spans="153:170" x14ac:dyDescent="0.35">
      <c r="EW8390" s="48"/>
      <c r="FB8390" s="5"/>
      <c r="FI8390" s="5"/>
      <c r="FJ8390" s="164"/>
      <c r="FL8390" s="2"/>
      <c r="FN8390" s="2"/>
    </row>
    <row r="8391" spans="153:170" x14ac:dyDescent="0.35">
      <c r="EW8391" s="48"/>
      <c r="FB8391" s="5"/>
      <c r="FI8391" s="5"/>
      <c r="FJ8391" s="164"/>
      <c r="FL8391" s="2"/>
      <c r="FN8391" s="2"/>
    </row>
    <row r="8392" spans="153:170" x14ac:dyDescent="0.35">
      <c r="EW8392" s="48"/>
      <c r="FB8392" s="5"/>
      <c r="FI8392" s="5"/>
      <c r="FJ8392" s="164"/>
      <c r="FL8392" s="2"/>
      <c r="FN8392" s="2"/>
    </row>
    <row r="8393" spans="153:170" x14ac:dyDescent="0.35">
      <c r="EW8393" s="48"/>
      <c r="FB8393" s="5"/>
      <c r="FI8393" s="5"/>
      <c r="FJ8393" s="164"/>
      <c r="FL8393" s="2"/>
      <c r="FN8393" s="2"/>
    </row>
    <row r="8394" spans="153:170" x14ac:dyDescent="0.35">
      <c r="EW8394" s="48"/>
      <c r="FB8394" s="5"/>
      <c r="FI8394" s="5"/>
      <c r="FJ8394" s="164"/>
      <c r="FL8394" s="2"/>
      <c r="FN8394" s="2"/>
    </row>
    <row r="8395" spans="153:170" x14ac:dyDescent="0.35">
      <c r="EW8395" s="48"/>
      <c r="FB8395" s="5"/>
      <c r="FI8395" s="5"/>
      <c r="FJ8395" s="164"/>
      <c r="FL8395" s="2"/>
      <c r="FN8395" s="2"/>
    </row>
    <row r="8396" spans="153:170" x14ac:dyDescent="0.35">
      <c r="EW8396" s="48"/>
      <c r="FB8396" s="5"/>
      <c r="FI8396" s="5"/>
      <c r="FJ8396" s="164"/>
      <c r="FL8396" s="2"/>
      <c r="FN8396" s="2"/>
    </row>
    <row r="8397" spans="153:170" x14ac:dyDescent="0.35">
      <c r="EW8397" s="48"/>
      <c r="FB8397" s="5"/>
      <c r="FI8397" s="5"/>
      <c r="FJ8397" s="164"/>
      <c r="FL8397" s="2"/>
      <c r="FN8397" s="2"/>
    </row>
    <row r="8398" spans="153:170" x14ac:dyDescent="0.35">
      <c r="EW8398" s="48"/>
      <c r="FB8398" s="5"/>
      <c r="FI8398" s="5"/>
      <c r="FJ8398" s="164"/>
      <c r="FL8398" s="2"/>
      <c r="FN8398" s="2"/>
    </row>
    <row r="8399" spans="153:170" x14ac:dyDescent="0.35">
      <c r="EW8399" s="48"/>
      <c r="FB8399" s="5"/>
      <c r="FI8399" s="5"/>
      <c r="FJ8399" s="164"/>
      <c r="FL8399" s="2"/>
      <c r="FN8399" s="2"/>
    </row>
    <row r="8400" spans="153:170" x14ac:dyDescent="0.35">
      <c r="EW8400" s="48"/>
      <c r="FB8400" s="5"/>
      <c r="FI8400" s="5"/>
      <c r="FJ8400" s="164"/>
      <c r="FL8400" s="2"/>
      <c r="FN8400" s="2"/>
    </row>
    <row r="8401" spans="153:170" x14ac:dyDescent="0.35">
      <c r="EW8401" s="48"/>
      <c r="FB8401" s="5"/>
      <c r="FI8401" s="5"/>
      <c r="FJ8401" s="164"/>
      <c r="FL8401" s="2"/>
      <c r="FN8401" s="2"/>
    </row>
    <row r="8402" spans="153:170" x14ac:dyDescent="0.35">
      <c r="EW8402" s="48"/>
      <c r="FB8402" s="5"/>
      <c r="FI8402" s="5"/>
      <c r="FJ8402" s="164"/>
      <c r="FL8402" s="2"/>
      <c r="FN8402" s="2"/>
    </row>
    <row r="8403" spans="153:170" x14ac:dyDescent="0.35">
      <c r="EW8403" s="48"/>
      <c r="FB8403" s="5"/>
      <c r="FI8403" s="5"/>
      <c r="FJ8403" s="164"/>
      <c r="FL8403" s="2"/>
      <c r="FN8403" s="2"/>
    </row>
    <row r="8404" spans="153:170" x14ac:dyDescent="0.35">
      <c r="EW8404" s="48"/>
      <c r="FB8404" s="5"/>
      <c r="FI8404" s="5"/>
      <c r="FJ8404" s="164"/>
      <c r="FL8404" s="2"/>
      <c r="FN8404" s="2"/>
    </row>
    <row r="8405" spans="153:170" x14ac:dyDescent="0.35">
      <c r="EW8405" s="48"/>
      <c r="FB8405" s="5"/>
      <c r="FI8405" s="5"/>
      <c r="FJ8405" s="164"/>
      <c r="FL8405" s="2"/>
      <c r="FN8405" s="2"/>
    </row>
    <row r="8406" spans="153:170" x14ac:dyDescent="0.35">
      <c r="EW8406" s="48"/>
      <c r="FB8406" s="5"/>
      <c r="FI8406" s="5"/>
      <c r="FJ8406" s="164"/>
      <c r="FL8406" s="2"/>
      <c r="FN8406" s="2"/>
    </row>
    <row r="8407" spans="153:170" x14ac:dyDescent="0.35">
      <c r="EW8407" s="48"/>
      <c r="FB8407" s="5"/>
      <c r="FI8407" s="5"/>
      <c r="FJ8407" s="164"/>
      <c r="FL8407" s="2"/>
      <c r="FN8407" s="2"/>
    </row>
    <row r="8408" spans="153:170" x14ac:dyDescent="0.35">
      <c r="EW8408" s="48"/>
      <c r="FB8408" s="5"/>
      <c r="FI8408" s="5"/>
      <c r="FJ8408" s="164"/>
      <c r="FL8408" s="2"/>
      <c r="FN8408" s="2"/>
    </row>
    <row r="8409" spans="153:170" x14ac:dyDescent="0.35">
      <c r="EW8409" s="48"/>
      <c r="FB8409" s="5"/>
      <c r="FI8409" s="5"/>
      <c r="FJ8409" s="164"/>
      <c r="FL8409" s="2"/>
      <c r="FN8409" s="2"/>
    </row>
    <row r="8410" spans="153:170" x14ac:dyDescent="0.35">
      <c r="EW8410" s="48"/>
      <c r="FB8410" s="5"/>
      <c r="FI8410" s="5"/>
      <c r="FJ8410" s="164"/>
      <c r="FL8410" s="2"/>
      <c r="FN8410" s="2"/>
    </row>
    <row r="8411" spans="153:170" x14ac:dyDescent="0.35">
      <c r="EW8411" s="48"/>
      <c r="FB8411" s="5"/>
      <c r="FI8411" s="5"/>
      <c r="FJ8411" s="164"/>
      <c r="FL8411" s="2"/>
      <c r="FN8411" s="2"/>
    </row>
    <row r="8412" spans="153:170" x14ac:dyDescent="0.35">
      <c r="EW8412" s="48"/>
      <c r="FB8412" s="5"/>
      <c r="FI8412" s="5"/>
      <c r="FJ8412" s="164"/>
      <c r="FL8412" s="2"/>
      <c r="FN8412" s="2"/>
    </row>
    <row r="8413" spans="153:170" x14ac:dyDescent="0.35">
      <c r="EW8413" s="48"/>
      <c r="FB8413" s="5"/>
      <c r="FI8413" s="5"/>
      <c r="FJ8413" s="164"/>
      <c r="FL8413" s="2"/>
      <c r="FN8413" s="2"/>
    </row>
    <row r="8414" spans="153:170" x14ac:dyDescent="0.35">
      <c r="EW8414" s="48"/>
      <c r="FB8414" s="5"/>
      <c r="FI8414" s="5"/>
      <c r="FJ8414" s="164"/>
      <c r="FL8414" s="2"/>
      <c r="FN8414" s="2"/>
    </row>
    <row r="8415" spans="153:170" x14ac:dyDescent="0.35">
      <c r="EW8415" s="48"/>
      <c r="FB8415" s="5"/>
      <c r="FI8415" s="5"/>
      <c r="FJ8415" s="164"/>
      <c r="FL8415" s="2"/>
      <c r="FN8415" s="2"/>
    </row>
    <row r="8416" spans="153:170" x14ac:dyDescent="0.35">
      <c r="EW8416" s="48"/>
      <c r="FB8416" s="5"/>
      <c r="FI8416" s="5"/>
      <c r="FJ8416" s="164"/>
      <c r="FL8416" s="2"/>
      <c r="FN8416" s="2"/>
    </row>
    <row r="8417" spans="153:170" x14ac:dyDescent="0.35">
      <c r="EW8417" s="48"/>
      <c r="FB8417" s="5"/>
      <c r="FI8417" s="5"/>
      <c r="FJ8417" s="164"/>
      <c r="FL8417" s="2"/>
      <c r="FN8417" s="2"/>
    </row>
    <row r="8418" spans="153:170" x14ac:dyDescent="0.35">
      <c r="EW8418" s="48"/>
      <c r="FB8418" s="5"/>
      <c r="FI8418" s="5"/>
      <c r="FJ8418" s="164"/>
      <c r="FL8418" s="2"/>
      <c r="FN8418" s="2"/>
    </row>
    <row r="8419" spans="153:170" x14ac:dyDescent="0.35">
      <c r="EW8419" s="48"/>
      <c r="FB8419" s="5"/>
      <c r="FI8419" s="5"/>
      <c r="FJ8419" s="164"/>
      <c r="FL8419" s="2"/>
      <c r="FN8419" s="2"/>
    </row>
    <row r="8420" spans="153:170" x14ac:dyDescent="0.35">
      <c r="EW8420" s="48"/>
      <c r="FB8420" s="5"/>
      <c r="FI8420" s="5"/>
      <c r="FJ8420" s="164"/>
      <c r="FL8420" s="2"/>
      <c r="FN8420" s="2"/>
    </row>
    <row r="8421" spans="153:170" x14ac:dyDescent="0.35">
      <c r="EW8421" s="48"/>
      <c r="FB8421" s="5"/>
      <c r="FI8421" s="5"/>
      <c r="FJ8421" s="164"/>
      <c r="FL8421" s="2"/>
      <c r="FN8421" s="2"/>
    </row>
    <row r="8422" spans="153:170" x14ac:dyDescent="0.35">
      <c r="EW8422" s="48"/>
      <c r="FB8422" s="5"/>
      <c r="FI8422" s="5"/>
      <c r="FJ8422" s="164"/>
      <c r="FL8422" s="2"/>
      <c r="FN8422" s="2"/>
    </row>
    <row r="8423" spans="153:170" x14ac:dyDescent="0.35">
      <c r="EW8423" s="48"/>
      <c r="FB8423" s="5"/>
      <c r="FI8423" s="5"/>
      <c r="FJ8423" s="164"/>
      <c r="FL8423" s="2"/>
      <c r="FN8423" s="2"/>
    </row>
    <row r="8424" spans="153:170" x14ac:dyDescent="0.35">
      <c r="EW8424" s="48"/>
      <c r="FB8424" s="5"/>
      <c r="FI8424" s="5"/>
      <c r="FJ8424" s="164"/>
      <c r="FL8424" s="2"/>
      <c r="FN8424" s="2"/>
    </row>
    <row r="8425" spans="153:170" x14ac:dyDescent="0.35">
      <c r="EW8425" s="48"/>
      <c r="FB8425" s="5"/>
      <c r="FI8425" s="5"/>
      <c r="FJ8425" s="164"/>
      <c r="FL8425" s="2"/>
      <c r="FN8425" s="2"/>
    </row>
    <row r="8426" spans="153:170" x14ac:dyDescent="0.35">
      <c r="EW8426" s="48"/>
      <c r="FB8426" s="5"/>
      <c r="FI8426" s="5"/>
      <c r="FJ8426" s="164"/>
      <c r="FL8426" s="2"/>
      <c r="FN8426" s="2"/>
    </row>
    <row r="8427" spans="153:170" x14ac:dyDescent="0.35">
      <c r="EW8427" s="48"/>
      <c r="FB8427" s="5"/>
      <c r="FI8427" s="5"/>
      <c r="FJ8427" s="164"/>
      <c r="FL8427" s="2"/>
      <c r="FN8427" s="2"/>
    </row>
    <row r="8428" spans="153:170" x14ac:dyDescent="0.35">
      <c r="EW8428" s="48"/>
      <c r="FB8428" s="5"/>
      <c r="FI8428" s="5"/>
      <c r="FJ8428" s="164"/>
      <c r="FL8428" s="2"/>
      <c r="FN8428" s="2"/>
    </row>
    <row r="8429" spans="153:170" x14ac:dyDescent="0.35">
      <c r="EW8429" s="48"/>
      <c r="FB8429" s="5"/>
      <c r="FI8429" s="5"/>
      <c r="FJ8429" s="164"/>
      <c r="FL8429" s="2"/>
      <c r="FN8429" s="2"/>
    </row>
    <row r="8430" spans="153:170" x14ac:dyDescent="0.35">
      <c r="EW8430" s="48"/>
      <c r="FB8430" s="5"/>
      <c r="FI8430" s="5"/>
      <c r="FJ8430" s="164"/>
      <c r="FL8430" s="2"/>
      <c r="FN8430" s="2"/>
    </row>
    <row r="8431" spans="153:170" x14ac:dyDescent="0.35">
      <c r="EW8431" s="48"/>
      <c r="FB8431" s="5"/>
      <c r="FI8431" s="5"/>
      <c r="FJ8431" s="164"/>
      <c r="FL8431" s="2"/>
      <c r="FN8431" s="2"/>
    </row>
    <row r="8432" spans="153:170" x14ac:dyDescent="0.35">
      <c r="EW8432" s="48"/>
      <c r="FB8432" s="5"/>
      <c r="FI8432" s="5"/>
      <c r="FJ8432" s="164"/>
      <c r="FL8432" s="2"/>
      <c r="FN8432" s="2"/>
    </row>
    <row r="8433" spans="153:170" x14ac:dyDescent="0.35">
      <c r="EW8433" s="48"/>
      <c r="FB8433" s="5"/>
      <c r="FI8433" s="5"/>
      <c r="FJ8433" s="164"/>
      <c r="FL8433" s="2"/>
      <c r="FN8433" s="2"/>
    </row>
    <row r="8434" spans="153:170" x14ac:dyDescent="0.35">
      <c r="EW8434" s="48"/>
      <c r="FB8434" s="5"/>
      <c r="FI8434" s="5"/>
      <c r="FJ8434" s="164"/>
      <c r="FL8434" s="2"/>
      <c r="FN8434" s="2"/>
    </row>
    <row r="8435" spans="153:170" x14ac:dyDescent="0.35">
      <c r="EW8435" s="48"/>
      <c r="FB8435" s="5"/>
      <c r="FI8435" s="5"/>
      <c r="FJ8435" s="164"/>
      <c r="FL8435" s="2"/>
      <c r="FN8435" s="2"/>
    </row>
    <row r="8436" spans="153:170" x14ac:dyDescent="0.35">
      <c r="EW8436" s="48"/>
      <c r="FB8436" s="5"/>
      <c r="FI8436" s="5"/>
      <c r="FJ8436" s="164"/>
      <c r="FL8436" s="2"/>
      <c r="FN8436" s="2"/>
    </row>
    <row r="8437" spans="153:170" x14ac:dyDescent="0.35">
      <c r="EW8437" s="48"/>
      <c r="FB8437" s="5"/>
      <c r="FI8437" s="5"/>
      <c r="FJ8437" s="164"/>
      <c r="FL8437" s="2"/>
      <c r="FN8437" s="2"/>
    </row>
    <row r="8438" spans="153:170" x14ac:dyDescent="0.35">
      <c r="EW8438" s="48"/>
      <c r="FB8438" s="5"/>
      <c r="FI8438" s="5"/>
      <c r="FJ8438" s="164"/>
      <c r="FL8438" s="2"/>
      <c r="FN8438" s="2"/>
    </row>
    <row r="8439" spans="153:170" x14ac:dyDescent="0.35">
      <c r="EW8439" s="48"/>
      <c r="FB8439" s="5"/>
      <c r="FI8439" s="5"/>
      <c r="FJ8439" s="164"/>
      <c r="FL8439" s="2"/>
      <c r="FN8439" s="2"/>
    </row>
    <row r="8440" spans="153:170" x14ac:dyDescent="0.35">
      <c r="EW8440" s="48"/>
      <c r="FB8440" s="5"/>
      <c r="FI8440" s="5"/>
      <c r="FJ8440" s="164"/>
      <c r="FL8440" s="2"/>
      <c r="FN8440" s="2"/>
    </row>
    <row r="8441" spans="153:170" x14ac:dyDescent="0.35">
      <c r="EW8441" s="48"/>
      <c r="FB8441" s="5"/>
      <c r="FI8441" s="5"/>
      <c r="FJ8441" s="164"/>
      <c r="FL8441" s="2"/>
      <c r="FN8441" s="2"/>
    </row>
    <row r="8442" spans="153:170" x14ac:dyDescent="0.35">
      <c r="EW8442" s="48"/>
      <c r="FB8442" s="5"/>
      <c r="FI8442" s="5"/>
      <c r="FJ8442" s="164"/>
      <c r="FL8442" s="2"/>
      <c r="FN8442" s="2"/>
    </row>
    <row r="8443" spans="153:170" x14ac:dyDescent="0.35">
      <c r="EW8443" s="48"/>
      <c r="FB8443" s="5"/>
      <c r="FI8443" s="5"/>
      <c r="FJ8443" s="164"/>
      <c r="FL8443" s="2"/>
      <c r="FN8443" s="2"/>
    </row>
    <row r="8444" spans="153:170" x14ac:dyDescent="0.35">
      <c r="EW8444" s="48"/>
      <c r="FB8444" s="5"/>
      <c r="FI8444" s="5"/>
      <c r="FJ8444" s="164"/>
      <c r="FL8444" s="2"/>
      <c r="FN8444" s="2"/>
    </row>
    <row r="8445" spans="153:170" x14ac:dyDescent="0.35">
      <c r="EW8445" s="48"/>
      <c r="FB8445" s="5"/>
      <c r="FI8445" s="5"/>
      <c r="FJ8445" s="164"/>
      <c r="FL8445" s="2"/>
      <c r="FN8445" s="2"/>
    </row>
    <row r="8446" spans="153:170" x14ac:dyDescent="0.35">
      <c r="EW8446" s="48"/>
      <c r="FB8446" s="5"/>
      <c r="FI8446" s="5"/>
      <c r="FJ8446" s="164"/>
      <c r="FL8446" s="2"/>
      <c r="FN8446" s="2"/>
    </row>
    <row r="8447" spans="153:170" x14ac:dyDescent="0.35">
      <c r="EW8447" s="48"/>
      <c r="FB8447" s="5"/>
      <c r="FI8447" s="5"/>
      <c r="FJ8447" s="164"/>
      <c r="FL8447" s="2"/>
      <c r="FN8447" s="2"/>
    </row>
    <row r="8448" spans="153:170" x14ac:dyDescent="0.35">
      <c r="EW8448" s="48"/>
      <c r="FB8448" s="5"/>
      <c r="FI8448" s="5"/>
      <c r="FJ8448" s="164"/>
      <c r="FL8448" s="2"/>
      <c r="FN8448" s="2"/>
    </row>
    <row r="8449" spans="153:170" x14ac:dyDescent="0.35">
      <c r="EW8449" s="48"/>
      <c r="FB8449" s="5"/>
      <c r="FI8449" s="5"/>
      <c r="FJ8449" s="164"/>
      <c r="FL8449" s="2"/>
      <c r="FN8449" s="2"/>
    </row>
    <row r="8450" spans="153:170" x14ac:dyDescent="0.35">
      <c r="EW8450" s="48"/>
      <c r="FB8450" s="5"/>
      <c r="FI8450" s="5"/>
      <c r="FJ8450" s="164"/>
      <c r="FL8450" s="2"/>
      <c r="FN8450" s="2"/>
    </row>
    <row r="8451" spans="153:170" x14ac:dyDescent="0.35">
      <c r="EW8451" s="48"/>
      <c r="FB8451" s="5"/>
      <c r="FI8451" s="5"/>
      <c r="FJ8451" s="164"/>
      <c r="FL8451" s="2"/>
      <c r="FN8451" s="2"/>
    </row>
    <row r="8452" spans="153:170" x14ac:dyDescent="0.35">
      <c r="EW8452" s="48"/>
      <c r="FB8452" s="5"/>
      <c r="FI8452" s="5"/>
      <c r="FJ8452" s="164"/>
      <c r="FL8452" s="2"/>
      <c r="FN8452" s="2"/>
    </row>
    <row r="8453" spans="153:170" x14ac:dyDescent="0.35">
      <c r="EW8453" s="48"/>
      <c r="FB8453" s="5"/>
      <c r="FI8453" s="5"/>
      <c r="FJ8453" s="164"/>
      <c r="FL8453" s="2"/>
      <c r="FN8453" s="2"/>
    </row>
    <row r="8454" spans="153:170" x14ac:dyDescent="0.35">
      <c r="EW8454" s="48"/>
      <c r="FB8454" s="5"/>
      <c r="FI8454" s="5"/>
      <c r="FJ8454" s="164"/>
      <c r="FL8454" s="2"/>
      <c r="FN8454" s="2"/>
    </row>
    <row r="8455" spans="153:170" x14ac:dyDescent="0.35">
      <c r="EW8455" s="48"/>
      <c r="FB8455" s="5"/>
      <c r="FI8455" s="5"/>
      <c r="FJ8455" s="164"/>
      <c r="FL8455" s="2"/>
      <c r="FN8455" s="2"/>
    </row>
    <row r="8456" spans="153:170" x14ac:dyDescent="0.35">
      <c r="EW8456" s="48"/>
      <c r="FB8456" s="5"/>
      <c r="FI8456" s="5"/>
      <c r="FJ8456" s="164"/>
      <c r="FL8456" s="2"/>
      <c r="FN8456" s="2"/>
    </row>
    <row r="8457" spans="153:170" x14ac:dyDescent="0.35">
      <c r="EW8457" s="48"/>
      <c r="FB8457" s="5"/>
      <c r="FI8457" s="5"/>
      <c r="FJ8457" s="164"/>
      <c r="FL8457" s="2"/>
      <c r="FN8457" s="2"/>
    </row>
    <row r="8458" spans="153:170" x14ac:dyDescent="0.35">
      <c r="EW8458" s="48"/>
      <c r="FB8458" s="5"/>
      <c r="FI8458" s="5"/>
      <c r="FJ8458" s="164"/>
      <c r="FL8458" s="2"/>
      <c r="FN8458" s="2"/>
    </row>
    <row r="8459" spans="153:170" x14ac:dyDescent="0.35">
      <c r="EW8459" s="48"/>
      <c r="FB8459" s="5"/>
      <c r="FI8459" s="5"/>
      <c r="FJ8459" s="164"/>
      <c r="FL8459" s="2"/>
      <c r="FN8459" s="2"/>
    </row>
    <row r="8460" spans="153:170" x14ac:dyDescent="0.35">
      <c r="EW8460" s="48"/>
      <c r="FB8460" s="5"/>
      <c r="FI8460" s="5"/>
      <c r="FJ8460" s="164"/>
      <c r="FL8460" s="2"/>
      <c r="FN8460" s="2"/>
    </row>
    <row r="8461" spans="153:170" x14ac:dyDescent="0.35">
      <c r="EW8461" s="48"/>
      <c r="FB8461" s="5"/>
      <c r="FI8461" s="5"/>
      <c r="FJ8461" s="164"/>
      <c r="FL8461" s="2"/>
      <c r="FN8461" s="2"/>
    </row>
    <row r="8462" spans="153:170" x14ac:dyDescent="0.35">
      <c r="EW8462" s="48"/>
      <c r="FB8462" s="5"/>
      <c r="FI8462" s="5"/>
      <c r="FJ8462" s="164"/>
      <c r="FL8462" s="2"/>
      <c r="FN8462" s="2"/>
    </row>
    <row r="8463" spans="153:170" x14ac:dyDescent="0.35">
      <c r="EW8463" s="48"/>
      <c r="FB8463" s="5"/>
      <c r="FI8463" s="5"/>
      <c r="FJ8463" s="164"/>
      <c r="FL8463" s="2"/>
      <c r="FN8463" s="2"/>
    </row>
    <row r="8464" spans="153:170" x14ac:dyDescent="0.35">
      <c r="EW8464" s="48"/>
      <c r="FB8464" s="5"/>
      <c r="FI8464" s="5"/>
      <c r="FJ8464" s="164"/>
      <c r="FL8464" s="2"/>
      <c r="FN8464" s="2"/>
    </row>
    <row r="8465" spans="153:170" x14ac:dyDescent="0.35">
      <c r="EW8465" s="48"/>
      <c r="FB8465" s="5"/>
      <c r="FI8465" s="5"/>
      <c r="FJ8465" s="164"/>
      <c r="FL8465" s="2"/>
      <c r="FN8465" s="2"/>
    </row>
    <row r="8466" spans="153:170" x14ac:dyDescent="0.35">
      <c r="EW8466" s="48"/>
      <c r="FB8466" s="5"/>
      <c r="FI8466" s="5"/>
      <c r="FJ8466" s="164"/>
      <c r="FL8466" s="2"/>
      <c r="FN8466" s="2"/>
    </row>
    <row r="8467" spans="153:170" x14ac:dyDescent="0.35">
      <c r="EW8467" s="48"/>
      <c r="FB8467" s="5"/>
      <c r="FI8467" s="5"/>
      <c r="FJ8467" s="164"/>
      <c r="FL8467" s="2"/>
      <c r="FN8467" s="2"/>
    </row>
    <row r="8468" spans="153:170" x14ac:dyDescent="0.35">
      <c r="EW8468" s="48"/>
      <c r="FB8468" s="5"/>
      <c r="FI8468" s="5"/>
      <c r="FJ8468" s="164"/>
      <c r="FL8468" s="2"/>
      <c r="FN8468" s="2"/>
    </row>
    <row r="8469" spans="153:170" x14ac:dyDescent="0.35">
      <c r="EW8469" s="48"/>
      <c r="FB8469" s="5"/>
      <c r="FI8469" s="5"/>
      <c r="FJ8469" s="164"/>
      <c r="FL8469" s="2"/>
      <c r="FN8469" s="2"/>
    </row>
    <row r="8470" spans="153:170" x14ac:dyDescent="0.35">
      <c r="EW8470" s="48"/>
      <c r="FB8470" s="5"/>
      <c r="FI8470" s="5"/>
      <c r="FJ8470" s="164"/>
      <c r="FL8470" s="2"/>
      <c r="FN8470" s="2"/>
    </row>
    <row r="8471" spans="153:170" x14ac:dyDescent="0.35">
      <c r="EW8471" s="48"/>
      <c r="FB8471" s="5"/>
      <c r="FI8471" s="5"/>
      <c r="FJ8471" s="164"/>
      <c r="FL8471" s="2"/>
      <c r="FN8471" s="2"/>
    </row>
    <row r="8472" spans="153:170" x14ac:dyDescent="0.35">
      <c r="EW8472" s="48"/>
      <c r="FB8472" s="5"/>
      <c r="FI8472" s="5"/>
      <c r="FJ8472" s="164"/>
      <c r="FL8472" s="2"/>
      <c r="FN8472" s="2"/>
    </row>
    <row r="8473" spans="153:170" x14ac:dyDescent="0.35">
      <c r="EW8473" s="48"/>
      <c r="FB8473" s="5"/>
      <c r="FI8473" s="5"/>
      <c r="FJ8473" s="164"/>
      <c r="FL8473" s="2"/>
      <c r="FN8473" s="2"/>
    </row>
    <row r="8474" spans="153:170" x14ac:dyDescent="0.35">
      <c r="EW8474" s="48"/>
      <c r="FB8474" s="5"/>
      <c r="FI8474" s="5"/>
      <c r="FJ8474" s="164"/>
      <c r="FL8474" s="2"/>
      <c r="FN8474" s="2"/>
    </row>
    <row r="8475" spans="153:170" x14ac:dyDescent="0.35">
      <c r="EW8475" s="48"/>
      <c r="FB8475" s="5"/>
      <c r="FI8475" s="5"/>
      <c r="FJ8475" s="164"/>
      <c r="FL8475" s="2"/>
      <c r="FN8475" s="2"/>
    </row>
    <row r="8476" spans="153:170" x14ac:dyDescent="0.35">
      <c r="EW8476" s="48"/>
      <c r="FB8476" s="5"/>
      <c r="FI8476" s="5"/>
      <c r="FJ8476" s="164"/>
      <c r="FL8476" s="2"/>
      <c r="FN8476" s="2"/>
    </row>
    <row r="8477" spans="153:170" x14ac:dyDescent="0.35">
      <c r="EW8477" s="48"/>
      <c r="FB8477" s="5"/>
      <c r="FI8477" s="5"/>
      <c r="FJ8477" s="164"/>
      <c r="FL8477" s="2"/>
      <c r="FN8477" s="2"/>
    </row>
    <row r="8478" spans="153:170" x14ac:dyDescent="0.35">
      <c r="EW8478" s="48"/>
      <c r="FB8478" s="5"/>
      <c r="FI8478" s="5"/>
      <c r="FJ8478" s="164"/>
      <c r="FL8478" s="2"/>
      <c r="FN8478" s="2"/>
    </row>
    <row r="8479" spans="153:170" x14ac:dyDescent="0.35">
      <c r="EW8479" s="48"/>
      <c r="FB8479" s="5"/>
      <c r="FI8479" s="5"/>
      <c r="FJ8479" s="164"/>
      <c r="FL8479" s="2"/>
      <c r="FN8479" s="2"/>
    </row>
    <row r="8480" spans="153:170" x14ac:dyDescent="0.35">
      <c r="EW8480" s="48"/>
      <c r="FB8480" s="5"/>
      <c r="FI8480" s="5"/>
      <c r="FJ8480" s="164"/>
      <c r="FL8480" s="2"/>
      <c r="FN8480" s="2"/>
    </row>
    <row r="8481" spans="153:170" x14ac:dyDescent="0.35">
      <c r="EW8481" s="48"/>
      <c r="FB8481" s="5"/>
      <c r="FI8481" s="5"/>
      <c r="FJ8481" s="164"/>
      <c r="FL8481" s="2"/>
      <c r="FN8481" s="2"/>
    </row>
    <row r="8482" spans="153:170" x14ac:dyDescent="0.35">
      <c r="EW8482" s="48"/>
      <c r="FB8482" s="5"/>
      <c r="FI8482" s="5"/>
      <c r="FJ8482" s="164"/>
      <c r="FL8482" s="2"/>
      <c r="FN8482" s="2"/>
    </row>
    <row r="8483" spans="153:170" x14ac:dyDescent="0.35">
      <c r="EW8483" s="48"/>
      <c r="FB8483" s="5"/>
      <c r="FI8483" s="5"/>
      <c r="FJ8483" s="164"/>
      <c r="FL8483" s="2"/>
      <c r="FN8483" s="2"/>
    </row>
    <row r="8484" spans="153:170" x14ac:dyDescent="0.35">
      <c r="EW8484" s="48"/>
      <c r="FB8484" s="5"/>
      <c r="FI8484" s="5"/>
      <c r="FJ8484" s="164"/>
      <c r="FL8484" s="2"/>
      <c r="FN8484" s="2"/>
    </row>
    <row r="8485" spans="153:170" x14ac:dyDescent="0.35">
      <c r="EW8485" s="48"/>
      <c r="FB8485" s="5"/>
      <c r="FI8485" s="5"/>
      <c r="FJ8485" s="164"/>
      <c r="FL8485" s="2"/>
      <c r="FN8485" s="2"/>
    </row>
    <row r="8486" spans="153:170" x14ac:dyDescent="0.35">
      <c r="EW8486" s="48"/>
      <c r="FB8486" s="5"/>
      <c r="FI8486" s="5"/>
      <c r="FJ8486" s="164"/>
      <c r="FL8486" s="2"/>
      <c r="FN8486" s="2"/>
    </row>
    <row r="8487" spans="153:170" x14ac:dyDescent="0.35">
      <c r="EW8487" s="48"/>
      <c r="FB8487" s="5"/>
      <c r="FI8487" s="5"/>
      <c r="FJ8487" s="164"/>
      <c r="FL8487" s="2"/>
      <c r="FN8487" s="2"/>
    </row>
    <row r="8488" spans="153:170" x14ac:dyDescent="0.35">
      <c r="EW8488" s="48"/>
      <c r="FB8488" s="5"/>
      <c r="FI8488" s="5"/>
      <c r="FJ8488" s="164"/>
      <c r="FL8488" s="2"/>
      <c r="FN8488" s="2"/>
    </row>
    <row r="8489" spans="153:170" x14ac:dyDescent="0.35">
      <c r="EW8489" s="48"/>
      <c r="FB8489" s="5"/>
      <c r="FI8489" s="5"/>
      <c r="FJ8489" s="164"/>
      <c r="FL8489" s="2"/>
      <c r="FN8489" s="2"/>
    </row>
    <row r="8490" spans="153:170" x14ac:dyDescent="0.35">
      <c r="EW8490" s="48"/>
      <c r="FB8490" s="5"/>
      <c r="FI8490" s="5"/>
      <c r="FJ8490" s="164"/>
      <c r="FL8490" s="2"/>
      <c r="FN8490" s="2"/>
    </row>
    <row r="8491" spans="153:170" x14ac:dyDescent="0.35">
      <c r="EW8491" s="48"/>
      <c r="FB8491" s="5"/>
      <c r="FI8491" s="5"/>
      <c r="FJ8491" s="164"/>
      <c r="FL8491" s="2"/>
      <c r="FN8491" s="2"/>
    </row>
    <row r="8492" spans="153:170" x14ac:dyDescent="0.35">
      <c r="EW8492" s="48"/>
      <c r="FB8492" s="5"/>
      <c r="FI8492" s="5"/>
      <c r="FJ8492" s="164"/>
      <c r="FL8492" s="2"/>
      <c r="FN8492" s="2"/>
    </row>
    <row r="8493" spans="153:170" x14ac:dyDescent="0.35">
      <c r="EW8493" s="48"/>
      <c r="FB8493" s="5"/>
      <c r="FI8493" s="5"/>
      <c r="FJ8493" s="164"/>
      <c r="FL8493" s="2"/>
      <c r="FN8493" s="2"/>
    </row>
    <row r="8494" spans="153:170" x14ac:dyDescent="0.35">
      <c r="EW8494" s="48"/>
      <c r="FB8494" s="5"/>
      <c r="FI8494" s="5"/>
      <c r="FJ8494" s="164"/>
      <c r="FL8494" s="2"/>
      <c r="FN8494" s="2"/>
    </row>
    <row r="8495" spans="153:170" x14ac:dyDescent="0.35">
      <c r="EW8495" s="48"/>
      <c r="FB8495" s="5"/>
      <c r="FI8495" s="5"/>
      <c r="FJ8495" s="164"/>
      <c r="FL8495" s="2"/>
      <c r="FN8495" s="2"/>
    </row>
    <row r="8496" spans="153:170" x14ac:dyDescent="0.35">
      <c r="EW8496" s="48"/>
      <c r="FB8496" s="5"/>
      <c r="FI8496" s="5"/>
      <c r="FJ8496" s="164"/>
      <c r="FL8496" s="2"/>
      <c r="FN8496" s="2"/>
    </row>
    <row r="8497" spans="153:170" x14ac:dyDescent="0.35">
      <c r="EW8497" s="48"/>
      <c r="FB8497" s="5"/>
      <c r="FI8497" s="5"/>
      <c r="FJ8497" s="164"/>
      <c r="FL8497" s="2"/>
      <c r="FN8497" s="2"/>
    </row>
    <row r="8498" spans="153:170" x14ac:dyDescent="0.35">
      <c r="EW8498" s="48"/>
      <c r="FB8498" s="5"/>
      <c r="FI8498" s="5"/>
      <c r="FJ8498" s="164"/>
      <c r="FL8498" s="2"/>
      <c r="FN8498" s="2"/>
    </row>
    <row r="8499" spans="153:170" x14ac:dyDescent="0.35">
      <c r="EW8499" s="48"/>
      <c r="FB8499" s="5"/>
      <c r="FI8499" s="5"/>
      <c r="FJ8499" s="164"/>
      <c r="FL8499" s="2"/>
      <c r="FN8499" s="2"/>
    </row>
    <row r="8500" spans="153:170" x14ac:dyDescent="0.35">
      <c r="EW8500" s="48"/>
      <c r="FB8500" s="5"/>
      <c r="FI8500" s="5"/>
      <c r="FJ8500" s="164"/>
      <c r="FL8500" s="2"/>
      <c r="FN8500" s="2"/>
    </row>
    <row r="8501" spans="153:170" x14ac:dyDescent="0.35">
      <c r="EW8501" s="48"/>
      <c r="FB8501" s="5"/>
      <c r="FI8501" s="5"/>
      <c r="FJ8501" s="164"/>
      <c r="FL8501" s="2"/>
      <c r="FN8501" s="2"/>
    </row>
    <row r="8502" spans="153:170" x14ac:dyDescent="0.35">
      <c r="EW8502" s="48"/>
      <c r="FB8502" s="5"/>
      <c r="FI8502" s="5"/>
      <c r="FJ8502" s="164"/>
      <c r="FL8502" s="2"/>
      <c r="FN8502" s="2"/>
    </row>
    <row r="8503" spans="153:170" x14ac:dyDescent="0.35">
      <c r="EW8503" s="48"/>
      <c r="FB8503" s="5"/>
      <c r="FI8503" s="5"/>
      <c r="FJ8503" s="164"/>
      <c r="FL8503" s="2"/>
      <c r="FN8503" s="2"/>
    </row>
    <row r="8504" spans="153:170" x14ac:dyDescent="0.35">
      <c r="EW8504" s="48"/>
      <c r="FB8504" s="5"/>
      <c r="FI8504" s="5"/>
      <c r="FJ8504" s="164"/>
      <c r="FL8504" s="2"/>
      <c r="FN8504" s="2"/>
    </row>
    <row r="8505" spans="153:170" x14ac:dyDescent="0.35">
      <c r="EW8505" s="48"/>
      <c r="FB8505" s="5"/>
      <c r="FI8505" s="5"/>
      <c r="FJ8505" s="164"/>
      <c r="FL8505" s="2"/>
      <c r="FN8505" s="2"/>
    </row>
    <row r="8506" spans="153:170" x14ac:dyDescent="0.35">
      <c r="EW8506" s="48"/>
      <c r="FB8506" s="5"/>
      <c r="FI8506" s="5"/>
      <c r="FJ8506" s="164"/>
      <c r="FL8506" s="2"/>
      <c r="FN8506" s="2"/>
    </row>
    <row r="8507" spans="153:170" x14ac:dyDescent="0.35">
      <c r="EW8507" s="48"/>
      <c r="FB8507" s="5"/>
      <c r="FI8507" s="5"/>
      <c r="FJ8507" s="164"/>
      <c r="FL8507" s="2"/>
      <c r="FN8507" s="2"/>
    </row>
    <row r="8508" spans="153:170" x14ac:dyDescent="0.35">
      <c r="EW8508" s="48"/>
      <c r="FB8508" s="5"/>
      <c r="FI8508" s="5"/>
      <c r="FJ8508" s="164"/>
      <c r="FL8508" s="2"/>
      <c r="FN8508" s="2"/>
    </row>
    <row r="8509" spans="153:170" x14ac:dyDescent="0.35">
      <c r="EW8509" s="48"/>
      <c r="FB8509" s="5"/>
      <c r="FI8509" s="5"/>
      <c r="FJ8509" s="164"/>
      <c r="FL8509" s="2"/>
      <c r="FN8509" s="2"/>
    </row>
    <row r="8510" spans="153:170" x14ac:dyDescent="0.35">
      <c r="EW8510" s="48"/>
      <c r="FB8510" s="5"/>
      <c r="FI8510" s="5"/>
      <c r="FJ8510" s="164"/>
      <c r="FL8510" s="2"/>
      <c r="FN8510" s="2"/>
    </row>
    <row r="8511" spans="153:170" x14ac:dyDescent="0.35">
      <c r="EW8511" s="48"/>
      <c r="FB8511" s="5"/>
      <c r="FI8511" s="5"/>
      <c r="FJ8511" s="164"/>
      <c r="FL8511" s="2"/>
      <c r="FN8511" s="2"/>
    </row>
    <row r="8512" spans="153:170" x14ac:dyDescent="0.35">
      <c r="EW8512" s="48"/>
      <c r="FB8512" s="5"/>
      <c r="FI8512" s="5"/>
      <c r="FJ8512" s="164"/>
      <c r="FL8512" s="2"/>
      <c r="FN8512" s="2"/>
    </row>
    <row r="8513" spans="153:170" x14ac:dyDescent="0.35">
      <c r="EW8513" s="48"/>
      <c r="FB8513" s="5"/>
      <c r="FI8513" s="5"/>
      <c r="FJ8513" s="164"/>
      <c r="FL8513" s="2"/>
      <c r="FN8513" s="2"/>
    </row>
    <row r="8514" spans="153:170" x14ac:dyDescent="0.35">
      <c r="EW8514" s="48"/>
      <c r="FB8514" s="5"/>
      <c r="FI8514" s="5"/>
      <c r="FJ8514" s="164"/>
      <c r="FL8514" s="2"/>
      <c r="FN8514" s="2"/>
    </row>
    <row r="8515" spans="153:170" x14ac:dyDescent="0.35">
      <c r="EW8515" s="48"/>
      <c r="FB8515" s="5"/>
      <c r="FI8515" s="5"/>
      <c r="FJ8515" s="164"/>
      <c r="FL8515" s="2"/>
      <c r="FN8515" s="2"/>
    </row>
    <row r="8516" spans="153:170" x14ac:dyDescent="0.35">
      <c r="EW8516" s="48"/>
      <c r="FB8516" s="5"/>
      <c r="FI8516" s="5"/>
      <c r="FJ8516" s="164"/>
      <c r="FL8516" s="2"/>
      <c r="FN8516" s="2"/>
    </row>
    <row r="8517" spans="153:170" x14ac:dyDescent="0.35">
      <c r="EW8517" s="48"/>
      <c r="FB8517" s="5"/>
      <c r="FI8517" s="5"/>
      <c r="FJ8517" s="164"/>
      <c r="FL8517" s="2"/>
      <c r="FN8517" s="2"/>
    </row>
    <row r="8518" spans="153:170" x14ac:dyDescent="0.35">
      <c r="EW8518" s="48"/>
      <c r="FB8518" s="5"/>
      <c r="FI8518" s="5"/>
      <c r="FJ8518" s="164"/>
      <c r="FL8518" s="2"/>
      <c r="FN8518" s="2"/>
    </row>
    <row r="8519" spans="153:170" x14ac:dyDescent="0.35">
      <c r="EW8519" s="48"/>
      <c r="FB8519" s="5"/>
      <c r="FI8519" s="5"/>
      <c r="FJ8519" s="164"/>
      <c r="FL8519" s="2"/>
      <c r="FN8519" s="2"/>
    </row>
    <row r="8520" spans="153:170" x14ac:dyDescent="0.35">
      <c r="EW8520" s="48"/>
      <c r="FB8520" s="5"/>
      <c r="FI8520" s="5"/>
      <c r="FJ8520" s="164"/>
      <c r="FL8520" s="2"/>
      <c r="FN8520" s="2"/>
    </row>
    <row r="8521" spans="153:170" x14ac:dyDescent="0.35">
      <c r="EW8521" s="48"/>
      <c r="FB8521" s="5"/>
      <c r="FI8521" s="5"/>
      <c r="FJ8521" s="164"/>
      <c r="FL8521" s="2"/>
      <c r="FN8521" s="2"/>
    </row>
    <row r="8522" spans="153:170" x14ac:dyDescent="0.35">
      <c r="EW8522" s="48"/>
      <c r="FB8522" s="5"/>
      <c r="FI8522" s="5"/>
      <c r="FJ8522" s="164"/>
      <c r="FL8522" s="2"/>
      <c r="FN8522" s="2"/>
    </row>
    <row r="8523" spans="153:170" x14ac:dyDescent="0.35">
      <c r="EW8523" s="48"/>
      <c r="FB8523" s="5"/>
      <c r="FI8523" s="5"/>
      <c r="FJ8523" s="164"/>
      <c r="FL8523" s="2"/>
      <c r="FN8523" s="2"/>
    </row>
    <row r="8524" spans="153:170" x14ac:dyDescent="0.35">
      <c r="EW8524" s="48"/>
      <c r="FB8524" s="5"/>
      <c r="FI8524" s="5"/>
      <c r="FJ8524" s="164"/>
      <c r="FL8524" s="2"/>
      <c r="FN8524" s="2"/>
    </row>
    <row r="8525" spans="153:170" x14ac:dyDescent="0.35">
      <c r="EW8525" s="48"/>
      <c r="FB8525" s="5"/>
      <c r="FI8525" s="5"/>
      <c r="FJ8525" s="164"/>
      <c r="FL8525" s="2"/>
      <c r="FN8525" s="2"/>
    </row>
    <row r="8526" spans="153:170" x14ac:dyDescent="0.35">
      <c r="EW8526" s="48"/>
      <c r="FB8526" s="5"/>
      <c r="FI8526" s="5"/>
      <c r="FJ8526" s="164"/>
      <c r="FL8526" s="2"/>
      <c r="FN8526" s="2"/>
    </row>
    <row r="8527" spans="153:170" x14ac:dyDescent="0.35">
      <c r="EW8527" s="48"/>
      <c r="FB8527" s="5"/>
      <c r="FI8527" s="5"/>
      <c r="FJ8527" s="164"/>
      <c r="FL8527" s="2"/>
      <c r="FN8527" s="2"/>
    </row>
    <row r="8528" spans="153:170" x14ac:dyDescent="0.35">
      <c r="EW8528" s="48"/>
      <c r="FB8528" s="5"/>
      <c r="FI8528" s="5"/>
      <c r="FJ8528" s="164"/>
      <c r="FL8528" s="2"/>
      <c r="FN8528" s="2"/>
    </row>
    <row r="8529" spans="153:170" x14ac:dyDescent="0.35">
      <c r="EW8529" s="48"/>
      <c r="FB8529" s="5"/>
      <c r="FI8529" s="5"/>
      <c r="FJ8529" s="164"/>
      <c r="FL8529" s="2"/>
      <c r="FN8529" s="2"/>
    </row>
    <row r="8530" spans="153:170" x14ac:dyDescent="0.35">
      <c r="EW8530" s="48"/>
      <c r="FB8530" s="5"/>
      <c r="FI8530" s="5"/>
      <c r="FJ8530" s="164"/>
      <c r="FL8530" s="2"/>
      <c r="FN8530" s="2"/>
    </row>
    <row r="8531" spans="153:170" x14ac:dyDescent="0.35">
      <c r="EW8531" s="48"/>
      <c r="FB8531" s="5"/>
      <c r="FI8531" s="5"/>
      <c r="FJ8531" s="164"/>
      <c r="FL8531" s="2"/>
      <c r="FN8531" s="2"/>
    </row>
    <row r="8532" spans="153:170" x14ac:dyDescent="0.35">
      <c r="EW8532" s="48"/>
      <c r="FB8532" s="5"/>
      <c r="FI8532" s="5"/>
      <c r="FJ8532" s="164"/>
      <c r="FL8532" s="2"/>
      <c r="FN8532" s="2"/>
    </row>
    <row r="8533" spans="153:170" x14ac:dyDescent="0.35">
      <c r="EW8533" s="48"/>
      <c r="FB8533" s="5"/>
      <c r="FI8533" s="5"/>
      <c r="FJ8533" s="164"/>
      <c r="FL8533" s="2"/>
      <c r="FN8533" s="2"/>
    </row>
    <row r="8534" spans="153:170" x14ac:dyDescent="0.35">
      <c r="EW8534" s="48"/>
      <c r="FB8534" s="5"/>
      <c r="FI8534" s="5"/>
      <c r="FJ8534" s="164"/>
      <c r="FL8534" s="2"/>
      <c r="FN8534" s="2"/>
    </row>
    <row r="8535" spans="153:170" x14ac:dyDescent="0.35">
      <c r="EW8535" s="48"/>
      <c r="FB8535" s="5"/>
      <c r="FI8535" s="5"/>
      <c r="FJ8535" s="164"/>
      <c r="FL8535" s="2"/>
      <c r="FN8535" s="2"/>
    </row>
    <row r="8536" spans="153:170" x14ac:dyDescent="0.35">
      <c r="EW8536" s="48"/>
      <c r="FB8536" s="5"/>
      <c r="FI8536" s="5"/>
      <c r="FJ8536" s="164"/>
      <c r="FL8536" s="2"/>
      <c r="FN8536" s="2"/>
    </row>
    <row r="8537" spans="153:170" x14ac:dyDescent="0.35">
      <c r="EW8537" s="48"/>
      <c r="FB8537" s="5"/>
      <c r="FI8537" s="5"/>
      <c r="FJ8537" s="164"/>
      <c r="FL8537" s="2"/>
      <c r="FN8537" s="2"/>
    </row>
    <row r="8538" spans="153:170" x14ac:dyDescent="0.35">
      <c r="EW8538" s="48"/>
      <c r="FB8538" s="5"/>
      <c r="FI8538" s="5"/>
      <c r="FJ8538" s="164"/>
      <c r="FL8538" s="2"/>
      <c r="FN8538" s="2"/>
    </row>
    <row r="8539" spans="153:170" x14ac:dyDescent="0.35">
      <c r="EW8539" s="48"/>
      <c r="FB8539" s="5"/>
      <c r="FI8539" s="5"/>
      <c r="FJ8539" s="164"/>
      <c r="FL8539" s="2"/>
      <c r="FN8539" s="2"/>
    </row>
    <row r="8540" spans="153:170" x14ac:dyDescent="0.35">
      <c r="EW8540" s="48"/>
      <c r="FB8540" s="5"/>
      <c r="FI8540" s="5"/>
      <c r="FJ8540" s="164"/>
      <c r="FL8540" s="2"/>
      <c r="FN8540" s="2"/>
    </row>
    <row r="8541" spans="153:170" x14ac:dyDescent="0.35">
      <c r="EW8541" s="48"/>
      <c r="FB8541" s="5"/>
      <c r="FI8541" s="5"/>
      <c r="FJ8541" s="164"/>
      <c r="FL8541" s="2"/>
      <c r="FN8541" s="2"/>
    </row>
    <row r="8542" spans="153:170" x14ac:dyDescent="0.35">
      <c r="EW8542" s="48"/>
      <c r="FB8542" s="5"/>
      <c r="FI8542" s="5"/>
      <c r="FJ8542" s="164"/>
      <c r="FL8542" s="2"/>
      <c r="FN8542" s="2"/>
    </row>
    <row r="8543" spans="153:170" x14ac:dyDescent="0.35">
      <c r="EW8543" s="48"/>
      <c r="FB8543" s="5"/>
      <c r="FI8543" s="5"/>
      <c r="FJ8543" s="164"/>
      <c r="FL8543" s="2"/>
      <c r="FN8543" s="2"/>
    </row>
    <row r="8544" spans="153:170" x14ac:dyDescent="0.35">
      <c r="EW8544" s="48"/>
      <c r="FB8544" s="5"/>
      <c r="FI8544" s="5"/>
      <c r="FJ8544" s="164"/>
      <c r="FL8544" s="2"/>
      <c r="FN8544" s="2"/>
    </row>
    <row r="8545" spans="153:170" x14ac:dyDescent="0.35">
      <c r="EW8545" s="48"/>
      <c r="FB8545" s="5"/>
      <c r="FI8545" s="5"/>
      <c r="FJ8545" s="164"/>
      <c r="FL8545" s="2"/>
      <c r="FN8545" s="2"/>
    </row>
    <row r="8546" spans="153:170" x14ac:dyDescent="0.35">
      <c r="EW8546" s="48"/>
      <c r="FB8546" s="5"/>
      <c r="FI8546" s="5"/>
      <c r="FJ8546" s="164"/>
      <c r="FL8546" s="2"/>
      <c r="FN8546" s="2"/>
    </row>
    <row r="8547" spans="153:170" x14ac:dyDescent="0.35">
      <c r="EW8547" s="48"/>
      <c r="FB8547" s="5"/>
      <c r="FI8547" s="5"/>
      <c r="FJ8547" s="164"/>
      <c r="FL8547" s="2"/>
      <c r="FN8547" s="2"/>
    </row>
    <row r="8548" spans="153:170" x14ac:dyDescent="0.35">
      <c r="EW8548" s="48"/>
      <c r="FB8548" s="5"/>
      <c r="FI8548" s="5"/>
      <c r="FJ8548" s="164"/>
      <c r="FL8548" s="2"/>
      <c r="FN8548" s="2"/>
    </row>
    <row r="8549" spans="153:170" x14ac:dyDescent="0.35">
      <c r="EW8549" s="48"/>
      <c r="FB8549" s="5"/>
      <c r="FI8549" s="5"/>
      <c r="FJ8549" s="164"/>
      <c r="FL8549" s="2"/>
      <c r="FN8549" s="2"/>
    </row>
    <row r="8550" spans="153:170" x14ac:dyDescent="0.35">
      <c r="EW8550" s="48"/>
      <c r="FB8550" s="5"/>
      <c r="FI8550" s="5"/>
      <c r="FJ8550" s="164"/>
      <c r="FL8550" s="2"/>
      <c r="FN8550" s="2"/>
    </row>
    <row r="8551" spans="153:170" x14ac:dyDescent="0.35">
      <c r="EW8551" s="48"/>
      <c r="FB8551" s="5"/>
      <c r="FI8551" s="5"/>
      <c r="FJ8551" s="164"/>
      <c r="FL8551" s="2"/>
      <c r="FN8551" s="2"/>
    </row>
    <row r="8552" spans="153:170" x14ac:dyDescent="0.35">
      <c r="EW8552" s="48"/>
      <c r="FB8552" s="5"/>
      <c r="FI8552" s="5"/>
      <c r="FJ8552" s="164"/>
      <c r="FL8552" s="2"/>
      <c r="FN8552" s="2"/>
    </row>
    <row r="8553" spans="153:170" x14ac:dyDescent="0.35">
      <c r="EW8553" s="48"/>
      <c r="FB8553" s="5"/>
      <c r="FI8553" s="5"/>
      <c r="FJ8553" s="164"/>
      <c r="FL8553" s="2"/>
      <c r="FN8553" s="2"/>
    </row>
    <row r="8554" spans="153:170" x14ac:dyDescent="0.35">
      <c r="EW8554" s="48"/>
      <c r="FB8554" s="5"/>
      <c r="FI8554" s="5"/>
      <c r="FJ8554" s="164"/>
      <c r="FL8554" s="2"/>
      <c r="FN8554" s="2"/>
    </row>
    <row r="8555" spans="153:170" x14ac:dyDescent="0.35">
      <c r="EW8555" s="48"/>
      <c r="FB8555" s="5"/>
      <c r="FI8555" s="5"/>
      <c r="FJ8555" s="164"/>
      <c r="FL8555" s="2"/>
      <c r="FN8555" s="2"/>
    </row>
    <row r="8556" spans="153:170" x14ac:dyDescent="0.35">
      <c r="EW8556" s="48"/>
      <c r="FB8556" s="5"/>
      <c r="FI8556" s="5"/>
      <c r="FJ8556" s="164"/>
      <c r="FL8556" s="2"/>
      <c r="FN8556" s="2"/>
    </row>
    <row r="8557" spans="153:170" x14ac:dyDescent="0.35">
      <c r="EW8557" s="48"/>
      <c r="FB8557" s="5"/>
      <c r="FI8557" s="5"/>
      <c r="FJ8557" s="164"/>
      <c r="FL8557" s="2"/>
      <c r="FN8557" s="2"/>
    </row>
    <row r="8558" spans="153:170" x14ac:dyDescent="0.35">
      <c r="EW8558" s="48"/>
      <c r="FB8558" s="5"/>
      <c r="FI8558" s="5"/>
      <c r="FJ8558" s="164"/>
      <c r="FL8558" s="2"/>
      <c r="FN8558" s="2"/>
    </row>
    <row r="8559" spans="153:170" x14ac:dyDescent="0.35">
      <c r="EW8559" s="48"/>
      <c r="FB8559" s="5"/>
      <c r="FI8559" s="5"/>
      <c r="FJ8559" s="164"/>
      <c r="FL8559" s="2"/>
      <c r="FN8559" s="2"/>
    </row>
    <row r="8560" spans="153:170" x14ac:dyDescent="0.35">
      <c r="EW8560" s="48"/>
      <c r="FB8560" s="5"/>
      <c r="FI8560" s="5"/>
      <c r="FJ8560" s="164"/>
      <c r="FL8560" s="2"/>
      <c r="FN8560" s="2"/>
    </row>
    <row r="8561" spans="153:170" x14ac:dyDescent="0.35">
      <c r="EW8561" s="48"/>
      <c r="FB8561" s="5"/>
      <c r="FI8561" s="5"/>
      <c r="FJ8561" s="164"/>
      <c r="FL8561" s="2"/>
      <c r="FN8561" s="2"/>
    </row>
    <row r="8562" spans="153:170" x14ac:dyDescent="0.35">
      <c r="EW8562" s="48"/>
      <c r="FB8562" s="5"/>
      <c r="FI8562" s="5"/>
      <c r="FJ8562" s="164"/>
      <c r="FL8562" s="2"/>
      <c r="FN8562" s="2"/>
    </row>
    <row r="8563" spans="153:170" x14ac:dyDescent="0.35">
      <c r="EW8563" s="48"/>
      <c r="FB8563" s="5"/>
      <c r="FI8563" s="5"/>
      <c r="FJ8563" s="164"/>
      <c r="FL8563" s="2"/>
      <c r="FN8563" s="2"/>
    </row>
    <row r="8564" spans="153:170" x14ac:dyDescent="0.35">
      <c r="EW8564" s="48"/>
      <c r="FB8564" s="5"/>
      <c r="FI8564" s="5"/>
      <c r="FJ8564" s="164"/>
      <c r="FL8564" s="2"/>
      <c r="FN8564" s="2"/>
    </row>
    <row r="8565" spans="153:170" x14ac:dyDescent="0.35">
      <c r="EW8565" s="48"/>
      <c r="FB8565" s="5"/>
      <c r="FI8565" s="5"/>
      <c r="FJ8565" s="164"/>
      <c r="FL8565" s="2"/>
      <c r="FN8565" s="2"/>
    </row>
    <row r="8566" spans="153:170" x14ac:dyDescent="0.35">
      <c r="EW8566" s="48"/>
      <c r="FB8566" s="5"/>
      <c r="FI8566" s="5"/>
      <c r="FJ8566" s="164"/>
      <c r="FL8566" s="2"/>
      <c r="FN8566" s="2"/>
    </row>
    <row r="8567" spans="153:170" x14ac:dyDescent="0.35">
      <c r="EW8567" s="48"/>
      <c r="FB8567" s="5"/>
      <c r="FI8567" s="5"/>
      <c r="FJ8567" s="164"/>
      <c r="FL8567" s="2"/>
      <c r="FN8567" s="2"/>
    </row>
    <row r="8568" spans="153:170" x14ac:dyDescent="0.35">
      <c r="EW8568" s="48"/>
      <c r="FB8568" s="5"/>
      <c r="FI8568" s="5"/>
      <c r="FJ8568" s="164"/>
      <c r="FL8568" s="2"/>
      <c r="FN8568" s="2"/>
    </row>
    <row r="8569" spans="153:170" x14ac:dyDescent="0.35">
      <c r="EW8569" s="48"/>
      <c r="FB8569" s="5"/>
      <c r="FI8569" s="5"/>
      <c r="FJ8569" s="164"/>
      <c r="FL8569" s="2"/>
      <c r="FN8569" s="2"/>
    </row>
    <row r="8570" spans="153:170" x14ac:dyDescent="0.35">
      <c r="EW8570" s="48"/>
      <c r="FB8570" s="5"/>
      <c r="FI8570" s="5"/>
      <c r="FJ8570" s="164"/>
      <c r="FL8570" s="2"/>
      <c r="FN8570" s="2"/>
    </row>
    <row r="8571" spans="153:170" x14ac:dyDescent="0.35">
      <c r="EW8571" s="48"/>
      <c r="FB8571" s="5"/>
      <c r="FI8571" s="5"/>
      <c r="FJ8571" s="164"/>
      <c r="FL8571" s="2"/>
      <c r="FN8571" s="2"/>
    </row>
    <row r="8572" spans="153:170" x14ac:dyDescent="0.35">
      <c r="EW8572" s="48"/>
      <c r="FB8572" s="5"/>
      <c r="FI8572" s="5"/>
      <c r="FJ8572" s="164"/>
      <c r="FL8572" s="2"/>
      <c r="FN8572" s="2"/>
    </row>
    <row r="8573" spans="153:170" x14ac:dyDescent="0.35">
      <c r="EW8573" s="48"/>
      <c r="FB8573" s="5"/>
      <c r="FI8573" s="5"/>
      <c r="FJ8573" s="164"/>
      <c r="FL8573" s="2"/>
      <c r="FN8573" s="2"/>
    </row>
    <row r="8574" spans="153:170" x14ac:dyDescent="0.35">
      <c r="EW8574" s="48"/>
      <c r="FB8574" s="5"/>
      <c r="FI8574" s="5"/>
      <c r="FJ8574" s="164"/>
      <c r="FL8574" s="2"/>
      <c r="FN8574" s="2"/>
    </row>
    <row r="8575" spans="153:170" x14ac:dyDescent="0.35">
      <c r="EW8575" s="48"/>
      <c r="FB8575" s="5"/>
      <c r="FI8575" s="5"/>
      <c r="FJ8575" s="164"/>
      <c r="FL8575" s="2"/>
      <c r="FN8575" s="2"/>
    </row>
    <row r="8576" spans="153:170" x14ac:dyDescent="0.35">
      <c r="EW8576" s="48"/>
      <c r="FB8576" s="5"/>
      <c r="FI8576" s="5"/>
      <c r="FJ8576" s="164"/>
      <c r="FL8576" s="2"/>
      <c r="FN8576" s="2"/>
    </row>
    <row r="8577" spans="153:170" x14ac:dyDescent="0.35">
      <c r="EW8577" s="48"/>
      <c r="FB8577" s="5"/>
      <c r="FI8577" s="5"/>
      <c r="FJ8577" s="164"/>
      <c r="FL8577" s="2"/>
      <c r="FN8577" s="2"/>
    </row>
    <row r="8578" spans="153:170" x14ac:dyDescent="0.35">
      <c r="EW8578" s="48"/>
      <c r="FB8578" s="5"/>
      <c r="FI8578" s="5"/>
      <c r="FJ8578" s="164"/>
      <c r="FL8578" s="2"/>
      <c r="FN8578" s="2"/>
    </row>
    <row r="8579" spans="153:170" x14ac:dyDescent="0.35">
      <c r="EW8579" s="48"/>
      <c r="FB8579" s="5"/>
      <c r="FI8579" s="5"/>
      <c r="FJ8579" s="164"/>
      <c r="FL8579" s="2"/>
      <c r="FN8579" s="2"/>
    </row>
    <row r="8580" spans="153:170" x14ac:dyDescent="0.35">
      <c r="EW8580" s="48"/>
      <c r="FB8580" s="5"/>
      <c r="FI8580" s="5"/>
      <c r="FJ8580" s="164"/>
      <c r="FL8580" s="2"/>
      <c r="FN8580" s="2"/>
    </row>
    <row r="8581" spans="153:170" x14ac:dyDescent="0.35">
      <c r="EW8581" s="48"/>
      <c r="FB8581" s="5"/>
      <c r="FI8581" s="5"/>
      <c r="FJ8581" s="164"/>
      <c r="FL8581" s="2"/>
      <c r="FN8581" s="2"/>
    </row>
    <row r="8582" spans="153:170" x14ac:dyDescent="0.35">
      <c r="EW8582" s="48"/>
      <c r="FB8582" s="5"/>
      <c r="FI8582" s="5"/>
      <c r="FJ8582" s="164"/>
      <c r="FL8582" s="2"/>
      <c r="FN8582" s="2"/>
    </row>
    <row r="8583" spans="153:170" x14ac:dyDescent="0.35">
      <c r="EW8583" s="48"/>
      <c r="FB8583" s="5"/>
      <c r="FI8583" s="5"/>
      <c r="FJ8583" s="164"/>
      <c r="FL8583" s="2"/>
      <c r="FN8583" s="2"/>
    </row>
    <row r="8584" spans="153:170" x14ac:dyDescent="0.35">
      <c r="EW8584" s="48"/>
      <c r="FB8584" s="5"/>
      <c r="FI8584" s="5"/>
      <c r="FJ8584" s="164"/>
      <c r="FL8584" s="2"/>
      <c r="FN8584" s="2"/>
    </row>
    <row r="8585" spans="153:170" x14ac:dyDescent="0.35">
      <c r="EW8585" s="48"/>
      <c r="FB8585" s="5"/>
      <c r="FI8585" s="5"/>
      <c r="FJ8585" s="164"/>
      <c r="FL8585" s="2"/>
      <c r="FN8585" s="2"/>
    </row>
    <row r="8586" spans="153:170" x14ac:dyDescent="0.35">
      <c r="EW8586" s="48"/>
      <c r="FB8586" s="5"/>
      <c r="FI8586" s="5"/>
      <c r="FJ8586" s="164"/>
      <c r="FL8586" s="2"/>
      <c r="FN8586" s="2"/>
    </row>
    <row r="8587" spans="153:170" x14ac:dyDescent="0.35">
      <c r="EW8587" s="48"/>
      <c r="FB8587" s="5"/>
      <c r="FI8587" s="5"/>
      <c r="FJ8587" s="164"/>
      <c r="FL8587" s="2"/>
      <c r="FN8587" s="2"/>
    </row>
    <row r="8588" spans="153:170" x14ac:dyDescent="0.35">
      <c r="EW8588" s="48"/>
      <c r="FB8588" s="5"/>
      <c r="FI8588" s="5"/>
      <c r="FJ8588" s="164"/>
      <c r="FL8588" s="2"/>
      <c r="FN8588" s="2"/>
    </row>
    <row r="8589" spans="153:170" x14ac:dyDescent="0.35">
      <c r="EW8589" s="48"/>
      <c r="FB8589" s="5"/>
      <c r="FI8589" s="5"/>
      <c r="FJ8589" s="164"/>
      <c r="FL8589" s="2"/>
      <c r="FN8589" s="2"/>
    </row>
    <row r="8590" spans="153:170" x14ac:dyDescent="0.35">
      <c r="EW8590" s="48"/>
      <c r="FB8590" s="5"/>
      <c r="FI8590" s="5"/>
      <c r="FJ8590" s="164"/>
      <c r="FL8590" s="2"/>
      <c r="FN8590" s="2"/>
    </row>
    <row r="8591" spans="153:170" x14ac:dyDescent="0.35">
      <c r="EW8591" s="48"/>
      <c r="FB8591" s="5"/>
      <c r="FI8591" s="5"/>
      <c r="FJ8591" s="164"/>
      <c r="FL8591" s="2"/>
      <c r="FN8591" s="2"/>
    </row>
    <row r="8592" spans="153:170" x14ac:dyDescent="0.35">
      <c r="EW8592" s="48"/>
      <c r="FB8592" s="5"/>
      <c r="FI8592" s="5"/>
      <c r="FJ8592" s="164"/>
      <c r="FL8592" s="2"/>
      <c r="FN8592" s="2"/>
    </row>
    <row r="8593" spans="153:170" x14ac:dyDescent="0.35">
      <c r="EW8593" s="48"/>
      <c r="FB8593" s="5"/>
      <c r="FI8593" s="5"/>
      <c r="FJ8593" s="164"/>
      <c r="FL8593" s="2"/>
      <c r="FN8593" s="2"/>
    </row>
    <row r="8594" spans="153:170" x14ac:dyDescent="0.35">
      <c r="EW8594" s="48"/>
      <c r="FB8594" s="5"/>
      <c r="FI8594" s="5"/>
      <c r="FJ8594" s="164"/>
      <c r="FL8594" s="2"/>
      <c r="FN8594" s="2"/>
    </row>
    <row r="8595" spans="153:170" x14ac:dyDescent="0.35">
      <c r="EW8595" s="48"/>
      <c r="FB8595" s="5"/>
      <c r="FI8595" s="5"/>
      <c r="FJ8595" s="164"/>
      <c r="FL8595" s="2"/>
      <c r="FN8595" s="2"/>
    </row>
    <row r="8596" spans="153:170" x14ac:dyDescent="0.35">
      <c r="EW8596" s="48"/>
      <c r="FB8596" s="5"/>
      <c r="FI8596" s="5"/>
      <c r="FJ8596" s="164"/>
      <c r="FL8596" s="2"/>
      <c r="FN8596" s="2"/>
    </row>
    <row r="8597" spans="153:170" x14ac:dyDescent="0.35">
      <c r="EW8597" s="48"/>
      <c r="FB8597" s="5"/>
      <c r="FI8597" s="5"/>
      <c r="FJ8597" s="164"/>
      <c r="FL8597" s="2"/>
      <c r="FN8597" s="2"/>
    </row>
    <row r="8598" spans="153:170" x14ac:dyDescent="0.35">
      <c r="EW8598" s="48"/>
      <c r="FB8598" s="5"/>
      <c r="FI8598" s="5"/>
      <c r="FJ8598" s="164"/>
      <c r="FL8598" s="2"/>
      <c r="FN8598" s="2"/>
    </row>
    <row r="8599" spans="153:170" x14ac:dyDescent="0.35">
      <c r="EW8599" s="48"/>
      <c r="FB8599" s="5"/>
      <c r="FI8599" s="5"/>
      <c r="FJ8599" s="164"/>
      <c r="FL8599" s="2"/>
      <c r="FN8599" s="2"/>
    </row>
    <row r="8600" spans="153:170" x14ac:dyDescent="0.35">
      <c r="EW8600" s="48"/>
      <c r="FB8600" s="5"/>
      <c r="FI8600" s="5"/>
      <c r="FJ8600" s="164"/>
      <c r="FL8600" s="2"/>
      <c r="FN8600" s="2"/>
    </row>
    <row r="8601" spans="153:170" x14ac:dyDescent="0.35">
      <c r="EW8601" s="48"/>
      <c r="FB8601" s="5"/>
      <c r="FI8601" s="5"/>
      <c r="FJ8601" s="164"/>
      <c r="FL8601" s="2"/>
      <c r="FN8601" s="2"/>
    </row>
    <row r="8602" spans="153:170" x14ac:dyDescent="0.35">
      <c r="EW8602" s="48"/>
      <c r="FB8602" s="5"/>
      <c r="FI8602" s="5"/>
      <c r="FJ8602" s="164"/>
      <c r="FL8602" s="2"/>
      <c r="FN8602" s="2"/>
    </row>
    <row r="8603" spans="153:170" x14ac:dyDescent="0.35">
      <c r="EW8603" s="48"/>
      <c r="FB8603" s="5"/>
      <c r="FI8603" s="5"/>
      <c r="FJ8603" s="164"/>
      <c r="FL8603" s="2"/>
      <c r="FN8603" s="2"/>
    </row>
    <row r="8604" spans="153:170" x14ac:dyDescent="0.35">
      <c r="EW8604" s="48"/>
      <c r="FB8604" s="5"/>
      <c r="FI8604" s="5"/>
      <c r="FJ8604" s="164"/>
      <c r="FL8604" s="2"/>
      <c r="FN8604" s="2"/>
    </row>
    <row r="8605" spans="153:170" x14ac:dyDescent="0.35">
      <c r="EW8605" s="48"/>
      <c r="FB8605" s="5"/>
      <c r="FI8605" s="5"/>
      <c r="FJ8605" s="164"/>
      <c r="FL8605" s="2"/>
      <c r="FN8605" s="2"/>
    </row>
    <row r="8606" spans="153:170" x14ac:dyDescent="0.35">
      <c r="EW8606" s="48"/>
      <c r="FB8606" s="5"/>
      <c r="FI8606" s="5"/>
      <c r="FJ8606" s="164"/>
      <c r="FL8606" s="2"/>
      <c r="FN8606" s="2"/>
    </row>
    <row r="8607" spans="153:170" x14ac:dyDescent="0.35">
      <c r="EW8607" s="48"/>
      <c r="FB8607" s="5"/>
      <c r="FI8607" s="5"/>
      <c r="FJ8607" s="164"/>
      <c r="FL8607" s="2"/>
      <c r="FN8607" s="2"/>
    </row>
    <row r="8608" spans="153:170" x14ac:dyDescent="0.35">
      <c r="EW8608" s="48"/>
      <c r="FB8608" s="5"/>
      <c r="FI8608" s="5"/>
      <c r="FJ8608" s="164"/>
      <c r="FL8608" s="2"/>
      <c r="FN8608" s="2"/>
    </row>
    <row r="8609" spans="153:170" x14ac:dyDescent="0.35">
      <c r="EW8609" s="48"/>
      <c r="FB8609" s="5"/>
      <c r="FI8609" s="5"/>
      <c r="FJ8609" s="164"/>
      <c r="FL8609" s="2"/>
      <c r="FN8609" s="2"/>
    </row>
    <row r="8610" spans="153:170" x14ac:dyDescent="0.35">
      <c r="EW8610" s="48"/>
      <c r="FB8610" s="5"/>
      <c r="FI8610" s="5"/>
      <c r="FJ8610" s="164"/>
      <c r="FL8610" s="2"/>
      <c r="FN8610" s="2"/>
    </row>
    <row r="8611" spans="153:170" x14ac:dyDescent="0.35">
      <c r="EW8611" s="48"/>
      <c r="FB8611" s="5"/>
      <c r="FI8611" s="5"/>
      <c r="FJ8611" s="164"/>
      <c r="FL8611" s="2"/>
      <c r="FN8611" s="2"/>
    </row>
    <row r="8612" spans="153:170" x14ac:dyDescent="0.35">
      <c r="EW8612" s="48"/>
      <c r="FB8612" s="5"/>
      <c r="FI8612" s="5"/>
      <c r="FJ8612" s="164"/>
      <c r="FL8612" s="2"/>
      <c r="FN8612" s="2"/>
    </row>
    <row r="8613" spans="153:170" x14ac:dyDescent="0.35">
      <c r="EW8613" s="48"/>
      <c r="FB8613" s="5"/>
      <c r="FI8613" s="5"/>
      <c r="FJ8613" s="164"/>
      <c r="FL8613" s="2"/>
      <c r="FN8613" s="2"/>
    </row>
    <row r="8614" spans="153:170" x14ac:dyDescent="0.35">
      <c r="EW8614" s="48"/>
      <c r="FB8614" s="5"/>
      <c r="FI8614" s="5"/>
      <c r="FJ8614" s="164"/>
      <c r="FL8614" s="2"/>
      <c r="FN8614" s="2"/>
    </row>
    <row r="8615" spans="153:170" x14ac:dyDescent="0.35">
      <c r="EW8615" s="48"/>
      <c r="FB8615" s="5"/>
      <c r="FI8615" s="5"/>
      <c r="FJ8615" s="164"/>
      <c r="FL8615" s="2"/>
      <c r="FN8615" s="2"/>
    </row>
    <row r="8616" spans="153:170" x14ac:dyDescent="0.35">
      <c r="EW8616" s="48"/>
      <c r="FB8616" s="5"/>
      <c r="FI8616" s="5"/>
      <c r="FJ8616" s="164"/>
      <c r="FL8616" s="2"/>
      <c r="FN8616" s="2"/>
    </row>
    <row r="8617" spans="153:170" x14ac:dyDescent="0.35">
      <c r="EW8617" s="48"/>
      <c r="FB8617" s="5"/>
      <c r="FI8617" s="5"/>
      <c r="FJ8617" s="164"/>
      <c r="FL8617" s="2"/>
      <c r="FN8617" s="2"/>
    </row>
    <row r="8618" spans="153:170" x14ac:dyDescent="0.35">
      <c r="EW8618" s="48"/>
      <c r="FB8618" s="5"/>
      <c r="FI8618" s="5"/>
      <c r="FJ8618" s="164"/>
      <c r="FL8618" s="2"/>
      <c r="FN8618" s="2"/>
    </row>
    <row r="8619" spans="153:170" x14ac:dyDescent="0.35">
      <c r="EW8619" s="48"/>
      <c r="FB8619" s="5"/>
      <c r="FI8619" s="5"/>
      <c r="FJ8619" s="164"/>
      <c r="FL8619" s="2"/>
      <c r="FN8619" s="2"/>
    </row>
    <row r="8620" spans="153:170" x14ac:dyDescent="0.35">
      <c r="EW8620" s="48"/>
      <c r="FB8620" s="5"/>
      <c r="FI8620" s="5"/>
      <c r="FJ8620" s="164"/>
      <c r="FL8620" s="2"/>
      <c r="FN8620" s="2"/>
    </row>
    <row r="8621" spans="153:170" x14ac:dyDescent="0.35">
      <c r="EW8621" s="48"/>
      <c r="FB8621" s="5"/>
      <c r="FI8621" s="5"/>
      <c r="FJ8621" s="164"/>
      <c r="FL8621" s="2"/>
      <c r="FN8621" s="2"/>
    </row>
    <row r="8622" spans="153:170" x14ac:dyDescent="0.35">
      <c r="EW8622" s="48"/>
      <c r="FB8622" s="5"/>
      <c r="FI8622" s="5"/>
      <c r="FJ8622" s="164"/>
      <c r="FL8622" s="2"/>
      <c r="FN8622" s="2"/>
    </row>
    <row r="8623" spans="153:170" x14ac:dyDescent="0.35">
      <c r="EW8623" s="48"/>
      <c r="FB8623" s="5"/>
      <c r="FI8623" s="5"/>
      <c r="FJ8623" s="164"/>
      <c r="FL8623" s="2"/>
      <c r="FN8623" s="2"/>
    </row>
    <row r="8624" spans="153:170" x14ac:dyDescent="0.35">
      <c r="EW8624" s="48"/>
      <c r="FB8624" s="5"/>
      <c r="FI8624" s="5"/>
      <c r="FJ8624" s="164"/>
      <c r="FL8624" s="2"/>
      <c r="FN8624" s="2"/>
    </row>
    <row r="8625" spans="153:170" x14ac:dyDescent="0.35">
      <c r="EW8625" s="48"/>
      <c r="FB8625" s="5"/>
      <c r="FI8625" s="5"/>
      <c r="FJ8625" s="164"/>
      <c r="FL8625" s="2"/>
      <c r="FN8625" s="2"/>
    </row>
    <row r="8626" spans="153:170" x14ac:dyDescent="0.35">
      <c r="EW8626" s="48"/>
      <c r="FB8626" s="5"/>
      <c r="FI8626" s="5"/>
      <c r="FJ8626" s="164"/>
      <c r="FL8626" s="2"/>
      <c r="FN8626" s="2"/>
    </row>
    <row r="8627" spans="153:170" x14ac:dyDescent="0.35">
      <c r="EW8627" s="48"/>
      <c r="FB8627" s="5"/>
      <c r="FI8627" s="5"/>
      <c r="FJ8627" s="164"/>
      <c r="FL8627" s="2"/>
      <c r="FN8627" s="2"/>
    </row>
    <row r="8628" spans="153:170" x14ac:dyDescent="0.35">
      <c r="EW8628" s="48"/>
      <c r="FB8628" s="5"/>
      <c r="FI8628" s="5"/>
      <c r="FJ8628" s="164"/>
      <c r="FL8628" s="2"/>
      <c r="FN8628" s="2"/>
    </row>
    <row r="8629" spans="153:170" x14ac:dyDescent="0.35">
      <c r="EW8629" s="48"/>
      <c r="FB8629" s="5"/>
      <c r="FI8629" s="5"/>
      <c r="FJ8629" s="164"/>
      <c r="FL8629" s="2"/>
      <c r="FN8629" s="2"/>
    </row>
    <row r="8630" spans="153:170" x14ac:dyDescent="0.35">
      <c r="EW8630" s="48"/>
      <c r="FB8630" s="5"/>
      <c r="FI8630" s="5"/>
      <c r="FJ8630" s="164"/>
      <c r="FL8630" s="2"/>
      <c r="FN8630" s="2"/>
    </row>
    <row r="8631" spans="153:170" x14ac:dyDescent="0.35">
      <c r="EW8631" s="48"/>
      <c r="FB8631" s="5"/>
      <c r="FI8631" s="5"/>
      <c r="FJ8631" s="164"/>
      <c r="FL8631" s="2"/>
      <c r="FN8631" s="2"/>
    </row>
    <row r="8632" spans="153:170" x14ac:dyDescent="0.35">
      <c r="EW8632" s="48"/>
      <c r="FB8632" s="5"/>
      <c r="FI8632" s="5"/>
      <c r="FJ8632" s="164"/>
      <c r="FL8632" s="2"/>
      <c r="FN8632" s="2"/>
    </row>
    <row r="8633" spans="153:170" x14ac:dyDescent="0.35">
      <c r="EW8633" s="48"/>
      <c r="FB8633" s="5"/>
      <c r="FI8633" s="5"/>
      <c r="FJ8633" s="164"/>
      <c r="FL8633" s="2"/>
      <c r="FN8633" s="2"/>
    </row>
    <row r="8634" spans="153:170" x14ac:dyDescent="0.35">
      <c r="EW8634" s="48"/>
      <c r="FB8634" s="5"/>
      <c r="FI8634" s="5"/>
      <c r="FJ8634" s="164"/>
      <c r="FL8634" s="2"/>
      <c r="FN8634" s="2"/>
    </row>
    <row r="8635" spans="153:170" x14ac:dyDescent="0.35">
      <c r="EW8635" s="48"/>
      <c r="FB8635" s="5"/>
      <c r="FI8635" s="5"/>
      <c r="FJ8635" s="164"/>
      <c r="FL8635" s="2"/>
      <c r="FN8635" s="2"/>
    </row>
    <row r="8636" spans="153:170" x14ac:dyDescent="0.35">
      <c r="EW8636" s="48"/>
      <c r="FB8636" s="5"/>
      <c r="FI8636" s="5"/>
      <c r="FJ8636" s="164"/>
      <c r="FL8636" s="2"/>
      <c r="FN8636" s="2"/>
    </row>
    <row r="8637" spans="153:170" x14ac:dyDescent="0.35">
      <c r="EW8637" s="48"/>
      <c r="FB8637" s="5"/>
      <c r="FI8637" s="5"/>
      <c r="FJ8637" s="164"/>
      <c r="FL8637" s="2"/>
      <c r="FN8637" s="2"/>
    </row>
    <row r="8638" spans="153:170" x14ac:dyDescent="0.35">
      <c r="EW8638" s="48"/>
      <c r="FB8638" s="5"/>
      <c r="FI8638" s="5"/>
      <c r="FJ8638" s="164"/>
      <c r="FL8638" s="2"/>
      <c r="FN8638" s="2"/>
    </row>
    <row r="8639" spans="153:170" x14ac:dyDescent="0.35">
      <c r="EW8639" s="48"/>
      <c r="FB8639" s="5"/>
      <c r="FI8639" s="5"/>
      <c r="FJ8639" s="164"/>
      <c r="FL8639" s="2"/>
      <c r="FN8639" s="2"/>
    </row>
    <row r="8640" spans="153:170" x14ac:dyDescent="0.35">
      <c r="EW8640" s="48"/>
      <c r="FB8640" s="5"/>
      <c r="FI8640" s="5"/>
      <c r="FJ8640" s="164"/>
      <c r="FL8640" s="2"/>
      <c r="FN8640" s="2"/>
    </row>
    <row r="8641" spans="153:170" x14ac:dyDescent="0.35">
      <c r="EW8641" s="48"/>
      <c r="FB8641" s="5"/>
      <c r="FI8641" s="5"/>
      <c r="FJ8641" s="164"/>
      <c r="FL8641" s="2"/>
      <c r="FN8641" s="2"/>
    </row>
    <row r="8642" spans="153:170" x14ac:dyDescent="0.35">
      <c r="EW8642" s="48"/>
      <c r="FB8642" s="5"/>
      <c r="FI8642" s="5"/>
      <c r="FJ8642" s="164"/>
      <c r="FL8642" s="2"/>
      <c r="FN8642" s="2"/>
    </row>
    <row r="8643" spans="153:170" x14ac:dyDescent="0.35">
      <c r="EW8643" s="48"/>
      <c r="FB8643" s="5"/>
      <c r="FI8643" s="5"/>
      <c r="FJ8643" s="164"/>
      <c r="FL8643" s="2"/>
      <c r="FN8643" s="2"/>
    </row>
    <row r="8644" spans="153:170" x14ac:dyDescent="0.35">
      <c r="EW8644" s="48"/>
      <c r="FB8644" s="5"/>
      <c r="FI8644" s="5"/>
      <c r="FJ8644" s="164"/>
      <c r="FL8644" s="2"/>
      <c r="FN8644" s="2"/>
    </row>
    <row r="8645" spans="153:170" x14ac:dyDescent="0.35">
      <c r="EW8645" s="48"/>
      <c r="FB8645" s="5"/>
      <c r="FI8645" s="5"/>
      <c r="FJ8645" s="164"/>
      <c r="FL8645" s="2"/>
      <c r="FN8645" s="2"/>
    </row>
    <row r="8646" spans="153:170" x14ac:dyDescent="0.35">
      <c r="EW8646" s="48"/>
      <c r="FB8646" s="5"/>
      <c r="FI8646" s="5"/>
      <c r="FJ8646" s="164"/>
      <c r="FL8646" s="2"/>
      <c r="FN8646" s="2"/>
    </row>
    <row r="8647" spans="153:170" x14ac:dyDescent="0.35">
      <c r="EW8647" s="48"/>
      <c r="FB8647" s="5"/>
      <c r="FI8647" s="5"/>
      <c r="FJ8647" s="164"/>
      <c r="FL8647" s="2"/>
      <c r="FN8647" s="2"/>
    </row>
    <row r="8648" spans="153:170" x14ac:dyDescent="0.35">
      <c r="EW8648" s="48"/>
      <c r="FB8648" s="5"/>
      <c r="FI8648" s="5"/>
      <c r="FJ8648" s="164"/>
      <c r="FL8648" s="2"/>
      <c r="FN8648" s="2"/>
    </row>
    <row r="8649" spans="153:170" x14ac:dyDescent="0.35">
      <c r="EW8649" s="48"/>
      <c r="FB8649" s="5"/>
      <c r="FI8649" s="5"/>
      <c r="FJ8649" s="164"/>
      <c r="FL8649" s="2"/>
      <c r="FN8649" s="2"/>
    </row>
    <row r="8650" spans="153:170" x14ac:dyDescent="0.35">
      <c r="EW8650" s="48"/>
      <c r="FB8650" s="5"/>
      <c r="FI8650" s="5"/>
      <c r="FJ8650" s="164"/>
      <c r="FL8650" s="2"/>
      <c r="FN8650" s="2"/>
    </row>
    <row r="8651" spans="153:170" x14ac:dyDescent="0.35">
      <c r="EW8651" s="48"/>
      <c r="FB8651" s="5"/>
      <c r="FI8651" s="5"/>
      <c r="FJ8651" s="164"/>
      <c r="FL8651" s="2"/>
      <c r="FN8651" s="2"/>
    </row>
    <row r="8652" spans="153:170" x14ac:dyDescent="0.35">
      <c r="EW8652" s="48"/>
      <c r="FB8652" s="5"/>
      <c r="FI8652" s="5"/>
      <c r="FJ8652" s="164"/>
      <c r="FL8652" s="2"/>
      <c r="FN8652" s="2"/>
    </row>
    <row r="8653" spans="153:170" x14ac:dyDescent="0.35">
      <c r="EW8653" s="48"/>
      <c r="FB8653" s="5"/>
      <c r="FI8653" s="5"/>
      <c r="FJ8653" s="164"/>
      <c r="FL8653" s="2"/>
      <c r="FN8653" s="2"/>
    </row>
    <row r="8654" spans="153:170" x14ac:dyDescent="0.35">
      <c r="EW8654" s="48"/>
      <c r="FB8654" s="5"/>
      <c r="FI8654" s="5"/>
      <c r="FJ8654" s="164"/>
      <c r="FL8654" s="2"/>
      <c r="FN8654" s="2"/>
    </row>
    <row r="8655" spans="153:170" x14ac:dyDescent="0.35">
      <c r="EW8655" s="48"/>
      <c r="FB8655" s="5"/>
      <c r="FI8655" s="5"/>
      <c r="FJ8655" s="164"/>
      <c r="FL8655" s="2"/>
      <c r="FN8655" s="2"/>
    </row>
    <row r="8656" spans="153:170" x14ac:dyDescent="0.35">
      <c r="EW8656" s="48"/>
      <c r="FB8656" s="5"/>
      <c r="FI8656" s="5"/>
      <c r="FJ8656" s="164"/>
      <c r="FL8656" s="2"/>
      <c r="FN8656" s="2"/>
    </row>
    <row r="8657" spans="153:170" x14ac:dyDescent="0.35">
      <c r="EW8657" s="48"/>
      <c r="FB8657" s="5"/>
      <c r="FI8657" s="5"/>
      <c r="FJ8657" s="164"/>
      <c r="FL8657" s="2"/>
      <c r="FN8657" s="2"/>
    </row>
    <row r="8658" spans="153:170" x14ac:dyDescent="0.35">
      <c r="EW8658" s="48"/>
      <c r="FB8658" s="5"/>
      <c r="FI8658" s="5"/>
      <c r="FJ8658" s="164"/>
      <c r="FL8658" s="2"/>
      <c r="FN8658" s="2"/>
    </row>
    <row r="8659" spans="153:170" x14ac:dyDescent="0.35">
      <c r="EW8659" s="48"/>
      <c r="FB8659" s="5"/>
      <c r="FI8659" s="5"/>
      <c r="FJ8659" s="164"/>
      <c r="FL8659" s="2"/>
      <c r="FN8659" s="2"/>
    </row>
    <row r="8660" spans="153:170" x14ac:dyDescent="0.35">
      <c r="EW8660" s="48"/>
      <c r="FB8660" s="5"/>
      <c r="FI8660" s="5"/>
      <c r="FJ8660" s="164"/>
      <c r="FL8660" s="2"/>
      <c r="FN8660" s="2"/>
    </row>
    <row r="8661" spans="153:170" x14ac:dyDescent="0.35">
      <c r="EW8661" s="48"/>
      <c r="FB8661" s="5"/>
      <c r="FI8661" s="5"/>
      <c r="FJ8661" s="164"/>
      <c r="FL8661" s="2"/>
      <c r="FN8661" s="2"/>
    </row>
    <row r="8662" spans="153:170" x14ac:dyDescent="0.35">
      <c r="EW8662" s="48"/>
      <c r="FB8662" s="5"/>
      <c r="FI8662" s="5"/>
      <c r="FJ8662" s="164"/>
      <c r="FL8662" s="2"/>
      <c r="FN8662" s="2"/>
    </row>
    <row r="8663" spans="153:170" x14ac:dyDescent="0.35">
      <c r="EW8663" s="48"/>
      <c r="FB8663" s="5"/>
      <c r="FI8663" s="5"/>
      <c r="FJ8663" s="164"/>
      <c r="FL8663" s="2"/>
      <c r="FN8663" s="2"/>
    </row>
    <row r="8664" spans="153:170" x14ac:dyDescent="0.35">
      <c r="EW8664" s="48"/>
      <c r="FB8664" s="5"/>
      <c r="FI8664" s="5"/>
      <c r="FJ8664" s="164"/>
      <c r="FL8664" s="2"/>
      <c r="FN8664" s="2"/>
    </row>
    <row r="8665" spans="153:170" x14ac:dyDescent="0.35">
      <c r="EW8665" s="48"/>
      <c r="FB8665" s="5"/>
      <c r="FI8665" s="5"/>
      <c r="FJ8665" s="164"/>
      <c r="FL8665" s="2"/>
      <c r="FN8665" s="2"/>
    </row>
    <row r="8666" spans="153:170" x14ac:dyDescent="0.35">
      <c r="EW8666" s="48"/>
      <c r="FB8666" s="5"/>
      <c r="FI8666" s="5"/>
      <c r="FJ8666" s="164"/>
      <c r="FL8666" s="2"/>
      <c r="FN8666" s="2"/>
    </row>
    <row r="8667" spans="153:170" x14ac:dyDescent="0.35">
      <c r="EW8667" s="48"/>
      <c r="FB8667" s="5"/>
      <c r="FI8667" s="5"/>
      <c r="FJ8667" s="164"/>
      <c r="FL8667" s="2"/>
      <c r="FN8667" s="2"/>
    </row>
    <row r="8668" spans="153:170" x14ac:dyDescent="0.35">
      <c r="EW8668" s="48"/>
      <c r="FB8668" s="5"/>
      <c r="FI8668" s="5"/>
      <c r="FJ8668" s="164"/>
      <c r="FL8668" s="2"/>
      <c r="FN8668" s="2"/>
    </row>
    <row r="8669" spans="153:170" x14ac:dyDescent="0.35">
      <c r="EW8669" s="48"/>
      <c r="FB8669" s="5"/>
      <c r="FI8669" s="5"/>
      <c r="FJ8669" s="164"/>
      <c r="FL8669" s="2"/>
      <c r="FN8669" s="2"/>
    </row>
    <row r="8670" spans="153:170" x14ac:dyDescent="0.35">
      <c r="EW8670" s="48"/>
      <c r="FB8670" s="5"/>
      <c r="FI8670" s="5"/>
      <c r="FJ8670" s="164"/>
      <c r="FL8670" s="2"/>
      <c r="FN8670" s="2"/>
    </row>
    <row r="8671" spans="153:170" x14ac:dyDescent="0.35">
      <c r="EW8671" s="48"/>
      <c r="FB8671" s="5"/>
      <c r="FI8671" s="5"/>
      <c r="FJ8671" s="164"/>
      <c r="FL8671" s="2"/>
      <c r="FN8671" s="2"/>
    </row>
    <row r="8672" spans="153:170" x14ac:dyDescent="0.35">
      <c r="EW8672" s="48"/>
      <c r="FB8672" s="5"/>
      <c r="FI8672" s="5"/>
      <c r="FJ8672" s="164"/>
      <c r="FL8672" s="2"/>
      <c r="FN8672" s="2"/>
    </row>
    <row r="8673" spans="153:170" x14ac:dyDescent="0.35">
      <c r="EW8673" s="48"/>
      <c r="FB8673" s="5"/>
      <c r="FI8673" s="5"/>
      <c r="FJ8673" s="164"/>
      <c r="FL8673" s="2"/>
      <c r="FN8673" s="2"/>
    </row>
    <row r="8674" spans="153:170" x14ac:dyDescent="0.35">
      <c r="EW8674" s="48"/>
      <c r="FB8674" s="5"/>
      <c r="FI8674" s="5"/>
      <c r="FJ8674" s="164"/>
      <c r="FL8674" s="2"/>
      <c r="FN8674" s="2"/>
    </row>
    <row r="8675" spans="153:170" x14ac:dyDescent="0.35">
      <c r="EW8675" s="48"/>
      <c r="FB8675" s="5"/>
      <c r="FI8675" s="5"/>
      <c r="FJ8675" s="164"/>
      <c r="FL8675" s="2"/>
      <c r="FN8675" s="2"/>
    </row>
    <row r="8676" spans="153:170" x14ac:dyDescent="0.35">
      <c r="EW8676" s="48"/>
      <c r="FB8676" s="5"/>
      <c r="FI8676" s="5"/>
      <c r="FJ8676" s="164"/>
      <c r="FL8676" s="2"/>
      <c r="FN8676" s="2"/>
    </row>
    <row r="8677" spans="153:170" x14ac:dyDescent="0.35">
      <c r="EW8677" s="48"/>
      <c r="FB8677" s="5"/>
      <c r="FI8677" s="5"/>
      <c r="FJ8677" s="164"/>
      <c r="FL8677" s="2"/>
      <c r="FN8677" s="2"/>
    </row>
    <row r="8678" spans="153:170" x14ac:dyDescent="0.35">
      <c r="EW8678" s="48"/>
      <c r="FB8678" s="5"/>
      <c r="FI8678" s="5"/>
      <c r="FJ8678" s="164"/>
      <c r="FL8678" s="2"/>
      <c r="FN8678" s="2"/>
    </row>
    <row r="8679" spans="153:170" x14ac:dyDescent="0.35">
      <c r="EW8679" s="48"/>
      <c r="FB8679" s="5"/>
      <c r="FI8679" s="5"/>
      <c r="FJ8679" s="164"/>
      <c r="FL8679" s="2"/>
      <c r="FN8679" s="2"/>
    </row>
    <row r="8680" spans="153:170" x14ac:dyDescent="0.35">
      <c r="EW8680" s="48"/>
      <c r="FB8680" s="5"/>
      <c r="FI8680" s="5"/>
      <c r="FJ8680" s="164"/>
      <c r="FL8680" s="2"/>
      <c r="FN8680" s="2"/>
    </row>
    <row r="8681" spans="153:170" x14ac:dyDescent="0.35">
      <c r="EW8681" s="48"/>
      <c r="FB8681" s="5"/>
      <c r="FI8681" s="5"/>
      <c r="FJ8681" s="164"/>
      <c r="FL8681" s="2"/>
      <c r="FN8681" s="2"/>
    </row>
    <row r="8682" spans="153:170" x14ac:dyDescent="0.35">
      <c r="EW8682" s="48"/>
      <c r="FB8682" s="5"/>
      <c r="FI8682" s="5"/>
      <c r="FJ8682" s="164"/>
      <c r="FL8682" s="2"/>
      <c r="FN8682" s="2"/>
    </row>
    <row r="8683" spans="153:170" x14ac:dyDescent="0.35">
      <c r="EW8683" s="48"/>
      <c r="FB8683" s="5"/>
      <c r="FI8683" s="5"/>
      <c r="FJ8683" s="164"/>
      <c r="FL8683" s="2"/>
      <c r="FN8683" s="2"/>
    </row>
    <row r="8684" spans="153:170" x14ac:dyDescent="0.35">
      <c r="EW8684" s="48"/>
      <c r="FB8684" s="5"/>
      <c r="FI8684" s="5"/>
      <c r="FJ8684" s="164"/>
      <c r="FL8684" s="2"/>
      <c r="FN8684" s="2"/>
    </row>
    <row r="8685" spans="153:170" x14ac:dyDescent="0.35">
      <c r="EW8685" s="48"/>
      <c r="FB8685" s="5"/>
      <c r="FI8685" s="5"/>
      <c r="FJ8685" s="164"/>
      <c r="FL8685" s="2"/>
      <c r="FN8685" s="2"/>
    </row>
    <row r="8686" spans="153:170" x14ac:dyDescent="0.35">
      <c r="EW8686" s="48"/>
      <c r="FB8686" s="5"/>
      <c r="FI8686" s="5"/>
      <c r="FJ8686" s="164"/>
      <c r="FL8686" s="2"/>
      <c r="FN8686" s="2"/>
    </row>
    <row r="8687" spans="153:170" x14ac:dyDescent="0.35">
      <c r="EW8687" s="48"/>
      <c r="FB8687" s="5"/>
      <c r="FI8687" s="5"/>
      <c r="FJ8687" s="164"/>
      <c r="FL8687" s="2"/>
      <c r="FN8687" s="2"/>
    </row>
    <row r="8688" spans="153:170" x14ac:dyDescent="0.35">
      <c r="EW8688" s="48"/>
      <c r="FB8688" s="5"/>
      <c r="FI8688" s="5"/>
      <c r="FJ8688" s="164"/>
      <c r="FL8688" s="2"/>
      <c r="FN8688" s="2"/>
    </row>
    <row r="8689" spans="153:170" x14ac:dyDescent="0.35">
      <c r="EW8689" s="48"/>
      <c r="FB8689" s="5"/>
      <c r="FI8689" s="5"/>
      <c r="FJ8689" s="164"/>
      <c r="FL8689" s="2"/>
      <c r="FN8689" s="2"/>
    </row>
    <row r="8690" spans="153:170" x14ac:dyDescent="0.35">
      <c r="EW8690" s="48"/>
      <c r="FB8690" s="5"/>
      <c r="FI8690" s="5"/>
      <c r="FJ8690" s="164"/>
      <c r="FL8690" s="2"/>
      <c r="FN8690" s="2"/>
    </row>
    <row r="8691" spans="153:170" x14ac:dyDescent="0.35">
      <c r="EW8691" s="48"/>
      <c r="FB8691" s="5"/>
      <c r="FI8691" s="5"/>
      <c r="FJ8691" s="164"/>
      <c r="FL8691" s="2"/>
      <c r="FN8691" s="2"/>
    </row>
    <row r="8692" spans="153:170" x14ac:dyDescent="0.35">
      <c r="EW8692" s="48"/>
      <c r="FB8692" s="5"/>
      <c r="FI8692" s="5"/>
      <c r="FJ8692" s="164"/>
      <c r="FL8692" s="2"/>
      <c r="FN8692" s="2"/>
    </row>
    <row r="8693" spans="153:170" x14ac:dyDescent="0.35">
      <c r="EW8693" s="48"/>
      <c r="FB8693" s="5"/>
      <c r="FI8693" s="5"/>
      <c r="FJ8693" s="164"/>
      <c r="FL8693" s="2"/>
      <c r="FN8693" s="2"/>
    </row>
    <row r="8694" spans="153:170" x14ac:dyDescent="0.35">
      <c r="EW8694" s="48"/>
      <c r="FB8694" s="5"/>
      <c r="FI8694" s="5"/>
      <c r="FJ8694" s="164"/>
      <c r="FL8694" s="2"/>
      <c r="FN8694" s="2"/>
    </row>
    <row r="8695" spans="153:170" x14ac:dyDescent="0.35">
      <c r="EW8695" s="48"/>
      <c r="FB8695" s="5"/>
      <c r="FI8695" s="5"/>
      <c r="FJ8695" s="164"/>
      <c r="FL8695" s="2"/>
      <c r="FN8695" s="2"/>
    </row>
    <row r="8696" spans="153:170" x14ac:dyDescent="0.35">
      <c r="EW8696" s="48"/>
      <c r="FB8696" s="5"/>
      <c r="FI8696" s="5"/>
      <c r="FJ8696" s="164"/>
      <c r="FL8696" s="2"/>
      <c r="FN8696" s="2"/>
    </row>
    <row r="8697" spans="153:170" x14ac:dyDescent="0.35">
      <c r="EW8697" s="48"/>
      <c r="FB8697" s="5"/>
      <c r="FI8697" s="5"/>
      <c r="FJ8697" s="164"/>
      <c r="FL8697" s="2"/>
      <c r="FN8697" s="2"/>
    </row>
    <row r="8698" spans="153:170" x14ac:dyDescent="0.35">
      <c r="EW8698" s="48"/>
      <c r="FB8698" s="5"/>
      <c r="FI8698" s="5"/>
      <c r="FJ8698" s="164"/>
      <c r="FL8698" s="2"/>
      <c r="FN8698" s="2"/>
    </row>
    <row r="8699" spans="153:170" x14ac:dyDescent="0.35">
      <c r="EW8699" s="48"/>
      <c r="FB8699" s="5"/>
      <c r="FI8699" s="5"/>
      <c r="FJ8699" s="164"/>
      <c r="FL8699" s="2"/>
      <c r="FN8699" s="2"/>
    </row>
    <row r="8700" spans="153:170" x14ac:dyDescent="0.35">
      <c r="EW8700" s="48"/>
      <c r="FB8700" s="5"/>
      <c r="FI8700" s="5"/>
      <c r="FJ8700" s="164"/>
      <c r="FL8700" s="2"/>
      <c r="FN8700" s="2"/>
    </row>
    <row r="8701" spans="153:170" x14ac:dyDescent="0.35">
      <c r="EW8701" s="48"/>
      <c r="FB8701" s="5"/>
      <c r="FI8701" s="5"/>
      <c r="FJ8701" s="164"/>
      <c r="FL8701" s="2"/>
      <c r="FN8701" s="2"/>
    </row>
    <row r="8702" spans="153:170" x14ac:dyDescent="0.35">
      <c r="EW8702" s="48"/>
      <c r="FB8702" s="5"/>
      <c r="FI8702" s="5"/>
      <c r="FJ8702" s="164"/>
      <c r="FL8702" s="2"/>
      <c r="FN8702" s="2"/>
    </row>
    <row r="8703" spans="153:170" x14ac:dyDescent="0.35">
      <c r="EW8703" s="48"/>
      <c r="FB8703" s="5"/>
      <c r="FI8703" s="5"/>
      <c r="FJ8703" s="164"/>
      <c r="FL8703" s="2"/>
      <c r="FN8703" s="2"/>
    </row>
    <row r="8704" spans="153:170" x14ac:dyDescent="0.35">
      <c r="EW8704" s="48"/>
      <c r="FB8704" s="5"/>
      <c r="FI8704" s="5"/>
      <c r="FJ8704" s="164"/>
      <c r="FL8704" s="2"/>
      <c r="FN8704" s="2"/>
    </row>
    <row r="8705" spans="153:170" x14ac:dyDescent="0.35">
      <c r="EW8705" s="48"/>
      <c r="FB8705" s="5"/>
      <c r="FI8705" s="5"/>
      <c r="FJ8705" s="164"/>
      <c r="FL8705" s="2"/>
      <c r="FN8705" s="2"/>
    </row>
    <row r="8706" spans="153:170" x14ac:dyDescent="0.35">
      <c r="EW8706" s="48"/>
      <c r="FB8706" s="5"/>
      <c r="FI8706" s="5"/>
      <c r="FJ8706" s="164"/>
      <c r="FL8706" s="2"/>
      <c r="FN8706" s="2"/>
    </row>
    <row r="8707" spans="153:170" x14ac:dyDescent="0.35">
      <c r="EW8707" s="48"/>
      <c r="FB8707" s="5"/>
      <c r="FI8707" s="5"/>
      <c r="FJ8707" s="164"/>
      <c r="FL8707" s="2"/>
      <c r="FN8707" s="2"/>
    </row>
    <row r="8708" spans="153:170" x14ac:dyDescent="0.35">
      <c r="EW8708" s="48"/>
      <c r="FB8708" s="5"/>
      <c r="FI8708" s="5"/>
      <c r="FJ8708" s="164"/>
      <c r="FL8708" s="2"/>
      <c r="FN8708" s="2"/>
    </row>
    <row r="8709" spans="153:170" x14ac:dyDescent="0.35">
      <c r="EW8709" s="48"/>
      <c r="FB8709" s="5"/>
      <c r="FI8709" s="5"/>
      <c r="FJ8709" s="164"/>
      <c r="FL8709" s="2"/>
      <c r="FN8709" s="2"/>
    </row>
    <row r="8710" spans="153:170" x14ac:dyDescent="0.35">
      <c r="EW8710" s="48"/>
      <c r="FB8710" s="5"/>
      <c r="FI8710" s="5"/>
      <c r="FJ8710" s="164"/>
      <c r="FL8710" s="2"/>
      <c r="FN8710" s="2"/>
    </row>
    <row r="8711" spans="153:170" x14ac:dyDescent="0.35">
      <c r="EW8711" s="48"/>
      <c r="FB8711" s="5"/>
      <c r="FI8711" s="5"/>
      <c r="FJ8711" s="164"/>
      <c r="FL8711" s="2"/>
      <c r="FN8711" s="2"/>
    </row>
    <row r="8712" spans="153:170" x14ac:dyDescent="0.35">
      <c r="EW8712" s="48"/>
      <c r="FB8712" s="5"/>
      <c r="FI8712" s="5"/>
      <c r="FJ8712" s="164"/>
      <c r="FL8712" s="2"/>
      <c r="FN8712" s="2"/>
    </row>
    <row r="8713" spans="153:170" x14ac:dyDescent="0.35">
      <c r="EW8713" s="48"/>
      <c r="FB8713" s="5"/>
      <c r="FI8713" s="5"/>
      <c r="FJ8713" s="164"/>
      <c r="FL8713" s="2"/>
      <c r="FN8713" s="2"/>
    </row>
    <row r="8714" spans="153:170" x14ac:dyDescent="0.35">
      <c r="EW8714" s="48"/>
      <c r="FB8714" s="5"/>
      <c r="FI8714" s="5"/>
      <c r="FJ8714" s="164"/>
      <c r="FL8714" s="2"/>
      <c r="FN8714" s="2"/>
    </row>
    <row r="8715" spans="153:170" x14ac:dyDescent="0.35">
      <c r="EW8715" s="48"/>
      <c r="FB8715" s="5"/>
      <c r="FI8715" s="5"/>
      <c r="FJ8715" s="164"/>
      <c r="FL8715" s="2"/>
      <c r="FN8715" s="2"/>
    </row>
    <row r="8716" spans="153:170" x14ac:dyDescent="0.35">
      <c r="EW8716" s="48"/>
      <c r="FB8716" s="5"/>
      <c r="FI8716" s="5"/>
      <c r="FJ8716" s="164"/>
      <c r="FL8716" s="2"/>
      <c r="FN8716" s="2"/>
    </row>
    <row r="8717" spans="153:170" x14ac:dyDescent="0.35">
      <c r="EW8717" s="48"/>
      <c r="FB8717" s="5"/>
      <c r="FI8717" s="5"/>
      <c r="FJ8717" s="164"/>
      <c r="FL8717" s="2"/>
      <c r="FN8717" s="2"/>
    </row>
    <row r="8718" spans="153:170" x14ac:dyDescent="0.35">
      <c r="EW8718" s="48"/>
      <c r="FB8718" s="5"/>
      <c r="FI8718" s="5"/>
      <c r="FJ8718" s="164"/>
      <c r="FL8718" s="2"/>
      <c r="FN8718" s="2"/>
    </row>
    <row r="8719" spans="153:170" x14ac:dyDescent="0.35">
      <c r="EW8719" s="48"/>
      <c r="FB8719" s="5"/>
      <c r="FI8719" s="5"/>
      <c r="FJ8719" s="164"/>
      <c r="FL8719" s="2"/>
      <c r="FN8719" s="2"/>
    </row>
    <row r="8720" spans="153:170" x14ac:dyDescent="0.35">
      <c r="EW8720" s="48"/>
      <c r="FB8720" s="5"/>
      <c r="FI8720" s="5"/>
      <c r="FJ8720" s="164"/>
      <c r="FL8720" s="2"/>
      <c r="FN8720" s="2"/>
    </row>
    <row r="8721" spans="153:170" x14ac:dyDescent="0.35">
      <c r="EW8721" s="48"/>
      <c r="FB8721" s="5"/>
      <c r="FI8721" s="5"/>
      <c r="FJ8721" s="164"/>
      <c r="FL8721" s="2"/>
      <c r="FN8721" s="2"/>
    </row>
    <row r="8722" spans="153:170" x14ac:dyDescent="0.35">
      <c r="EW8722" s="48"/>
      <c r="FB8722" s="5"/>
      <c r="FI8722" s="5"/>
      <c r="FJ8722" s="164"/>
      <c r="FL8722" s="2"/>
      <c r="FN8722" s="2"/>
    </row>
    <row r="8723" spans="153:170" x14ac:dyDescent="0.35">
      <c r="EW8723" s="48"/>
      <c r="FB8723" s="5"/>
      <c r="FI8723" s="5"/>
      <c r="FJ8723" s="164"/>
      <c r="FL8723" s="2"/>
      <c r="FN8723" s="2"/>
    </row>
    <row r="8724" spans="153:170" x14ac:dyDescent="0.35">
      <c r="EW8724" s="48"/>
      <c r="FB8724" s="5"/>
      <c r="FI8724" s="5"/>
      <c r="FJ8724" s="164"/>
      <c r="FL8724" s="2"/>
      <c r="FN8724" s="2"/>
    </row>
    <row r="8725" spans="153:170" x14ac:dyDescent="0.35">
      <c r="EW8725" s="48"/>
      <c r="FB8725" s="5"/>
      <c r="FI8725" s="5"/>
      <c r="FJ8725" s="164"/>
      <c r="FL8725" s="2"/>
      <c r="FN8725" s="2"/>
    </row>
    <row r="8726" spans="153:170" x14ac:dyDescent="0.35">
      <c r="EW8726" s="48"/>
      <c r="FB8726" s="5"/>
      <c r="FI8726" s="5"/>
      <c r="FJ8726" s="164"/>
      <c r="FL8726" s="2"/>
      <c r="FN8726" s="2"/>
    </row>
    <row r="8727" spans="153:170" x14ac:dyDescent="0.35">
      <c r="EW8727" s="48"/>
      <c r="FB8727" s="5"/>
      <c r="FI8727" s="5"/>
      <c r="FJ8727" s="164"/>
      <c r="FL8727" s="2"/>
      <c r="FN8727" s="2"/>
    </row>
    <row r="8728" spans="153:170" x14ac:dyDescent="0.35">
      <c r="EW8728" s="48"/>
      <c r="FB8728" s="5"/>
      <c r="FI8728" s="5"/>
      <c r="FJ8728" s="164"/>
      <c r="FL8728" s="2"/>
      <c r="FN8728" s="2"/>
    </row>
    <row r="8729" spans="153:170" x14ac:dyDescent="0.35">
      <c r="EW8729" s="48"/>
      <c r="FB8729" s="5"/>
      <c r="FI8729" s="5"/>
      <c r="FJ8729" s="164"/>
      <c r="FL8729" s="2"/>
      <c r="FN8729" s="2"/>
    </row>
    <row r="8730" spans="153:170" x14ac:dyDescent="0.35">
      <c r="EW8730" s="48"/>
      <c r="FB8730" s="5"/>
      <c r="FI8730" s="5"/>
      <c r="FJ8730" s="164"/>
      <c r="FL8730" s="2"/>
      <c r="FN8730" s="2"/>
    </row>
    <row r="8731" spans="153:170" x14ac:dyDescent="0.35">
      <c r="EW8731" s="48"/>
      <c r="FB8731" s="5"/>
      <c r="FI8731" s="5"/>
      <c r="FJ8731" s="164"/>
      <c r="FL8731" s="2"/>
      <c r="FN8731" s="2"/>
    </row>
    <row r="8732" spans="153:170" x14ac:dyDescent="0.35">
      <c r="EW8732" s="48"/>
      <c r="FB8732" s="5"/>
      <c r="FI8732" s="5"/>
      <c r="FJ8732" s="164"/>
      <c r="FL8732" s="2"/>
      <c r="FN8732" s="2"/>
    </row>
    <row r="8733" spans="153:170" x14ac:dyDescent="0.35">
      <c r="EW8733" s="48"/>
      <c r="FB8733" s="5"/>
      <c r="FI8733" s="5"/>
      <c r="FJ8733" s="164"/>
      <c r="FL8733" s="2"/>
      <c r="FN8733" s="2"/>
    </row>
    <row r="8734" spans="153:170" x14ac:dyDescent="0.35">
      <c r="EW8734" s="48"/>
      <c r="FB8734" s="5"/>
      <c r="FI8734" s="5"/>
      <c r="FJ8734" s="164"/>
      <c r="FL8734" s="2"/>
      <c r="FN8734" s="2"/>
    </row>
    <row r="8735" spans="153:170" x14ac:dyDescent="0.35">
      <c r="EW8735" s="48"/>
      <c r="FB8735" s="5"/>
      <c r="FI8735" s="5"/>
      <c r="FJ8735" s="164"/>
      <c r="FL8735" s="2"/>
      <c r="FN8735" s="2"/>
    </row>
    <row r="8736" spans="153:170" x14ac:dyDescent="0.35">
      <c r="EW8736" s="48"/>
      <c r="FB8736" s="5"/>
      <c r="FI8736" s="5"/>
      <c r="FJ8736" s="164"/>
      <c r="FL8736" s="2"/>
      <c r="FN8736" s="2"/>
    </row>
    <row r="8737" spans="153:170" x14ac:dyDescent="0.35">
      <c r="EW8737" s="48"/>
      <c r="FB8737" s="5"/>
      <c r="FI8737" s="5"/>
      <c r="FJ8737" s="164"/>
      <c r="FL8737" s="2"/>
      <c r="FN8737" s="2"/>
    </row>
    <row r="8738" spans="153:170" x14ac:dyDescent="0.35">
      <c r="EW8738" s="48"/>
      <c r="FB8738" s="5"/>
      <c r="FI8738" s="5"/>
      <c r="FJ8738" s="164"/>
      <c r="FL8738" s="2"/>
      <c r="FN8738" s="2"/>
    </row>
    <row r="8739" spans="153:170" x14ac:dyDescent="0.35">
      <c r="EW8739" s="48"/>
      <c r="FB8739" s="5"/>
      <c r="FI8739" s="5"/>
      <c r="FJ8739" s="164"/>
      <c r="FL8739" s="2"/>
      <c r="FN8739" s="2"/>
    </row>
    <row r="8740" spans="153:170" x14ac:dyDescent="0.35">
      <c r="EW8740" s="48"/>
      <c r="FB8740" s="5"/>
      <c r="FI8740" s="5"/>
      <c r="FJ8740" s="164"/>
      <c r="FL8740" s="2"/>
      <c r="FN8740" s="2"/>
    </row>
    <row r="8741" spans="153:170" x14ac:dyDescent="0.35">
      <c r="EW8741" s="48"/>
      <c r="FB8741" s="5"/>
      <c r="FI8741" s="5"/>
      <c r="FJ8741" s="164"/>
      <c r="FL8741" s="2"/>
      <c r="FN8741" s="2"/>
    </row>
    <row r="8742" spans="153:170" x14ac:dyDescent="0.35">
      <c r="EW8742" s="48"/>
      <c r="FB8742" s="5"/>
      <c r="FI8742" s="5"/>
      <c r="FJ8742" s="164"/>
      <c r="FL8742" s="2"/>
      <c r="FN8742" s="2"/>
    </row>
    <row r="8743" spans="153:170" x14ac:dyDescent="0.35">
      <c r="EW8743" s="48"/>
      <c r="FB8743" s="5"/>
      <c r="FI8743" s="5"/>
      <c r="FJ8743" s="164"/>
      <c r="FL8743" s="2"/>
      <c r="FN8743" s="2"/>
    </row>
    <row r="8744" spans="153:170" x14ac:dyDescent="0.35">
      <c r="EW8744" s="48"/>
      <c r="FB8744" s="5"/>
      <c r="FI8744" s="5"/>
      <c r="FJ8744" s="164"/>
      <c r="FL8744" s="2"/>
      <c r="FN8744" s="2"/>
    </row>
    <row r="8745" spans="153:170" x14ac:dyDescent="0.35">
      <c r="EW8745" s="48"/>
      <c r="FB8745" s="5"/>
      <c r="FI8745" s="5"/>
      <c r="FJ8745" s="164"/>
      <c r="FL8745" s="2"/>
      <c r="FN8745" s="2"/>
    </row>
    <row r="8746" spans="153:170" x14ac:dyDescent="0.35">
      <c r="EW8746" s="48"/>
      <c r="FB8746" s="5"/>
      <c r="FI8746" s="5"/>
      <c r="FJ8746" s="164"/>
      <c r="FL8746" s="2"/>
      <c r="FN8746" s="2"/>
    </row>
    <row r="8747" spans="153:170" x14ac:dyDescent="0.35">
      <c r="EW8747" s="48"/>
      <c r="FB8747" s="5"/>
      <c r="FI8747" s="5"/>
      <c r="FJ8747" s="164"/>
      <c r="FL8747" s="2"/>
      <c r="FN8747" s="2"/>
    </row>
    <row r="8748" spans="153:170" x14ac:dyDescent="0.35">
      <c r="EW8748" s="48"/>
      <c r="FB8748" s="5"/>
      <c r="FI8748" s="5"/>
      <c r="FJ8748" s="164"/>
      <c r="FL8748" s="2"/>
      <c r="FN8748" s="2"/>
    </row>
    <row r="8749" spans="153:170" x14ac:dyDescent="0.35">
      <c r="EW8749" s="48"/>
      <c r="FB8749" s="5"/>
      <c r="FI8749" s="5"/>
      <c r="FJ8749" s="164"/>
      <c r="FL8749" s="2"/>
      <c r="FN8749" s="2"/>
    </row>
    <row r="8750" spans="153:170" x14ac:dyDescent="0.35">
      <c r="EW8750" s="48"/>
      <c r="FB8750" s="5"/>
      <c r="FI8750" s="5"/>
      <c r="FJ8750" s="164"/>
      <c r="FL8750" s="2"/>
      <c r="FN8750" s="2"/>
    </row>
    <row r="8751" spans="153:170" x14ac:dyDescent="0.35">
      <c r="EW8751" s="48"/>
      <c r="FB8751" s="5"/>
      <c r="FI8751" s="5"/>
      <c r="FJ8751" s="164"/>
      <c r="FL8751" s="2"/>
      <c r="FN8751" s="2"/>
    </row>
    <row r="8752" spans="153:170" x14ac:dyDescent="0.35">
      <c r="EW8752" s="48"/>
      <c r="FB8752" s="5"/>
      <c r="FI8752" s="5"/>
      <c r="FJ8752" s="164"/>
      <c r="FL8752" s="2"/>
      <c r="FN8752" s="2"/>
    </row>
    <row r="8753" spans="153:170" x14ac:dyDescent="0.35">
      <c r="EW8753" s="48"/>
      <c r="FB8753" s="5"/>
      <c r="FI8753" s="5"/>
      <c r="FJ8753" s="164"/>
      <c r="FL8753" s="2"/>
      <c r="FN8753" s="2"/>
    </row>
    <row r="8754" spans="153:170" x14ac:dyDescent="0.35">
      <c r="EW8754" s="48"/>
      <c r="FB8754" s="5"/>
      <c r="FI8754" s="5"/>
      <c r="FJ8754" s="164"/>
      <c r="FL8754" s="2"/>
      <c r="FN8754" s="2"/>
    </row>
    <row r="8755" spans="153:170" x14ac:dyDescent="0.35">
      <c r="EW8755" s="48"/>
      <c r="FB8755" s="5"/>
      <c r="FI8755" s="5"/>
      <c r="FJ8755" s="164"/>
      <c r="FL8755" s="2"/>
      <c r="FN8755" s="2"/>
    </row>
    <row r="8756" spans="153:170" x14ac:dyDescent="0.35">
      <c r="EW8756" s="48"/>
      <c r="FB8756" s="5"/>
      <c r="FI8756" s="5"/>
      <c r="FJ8756" s="164"/>
      <c r="FL8756" s="2"/>
      <c r="FN8756" s="2"/>
    </row>
    <row r="8757" spans="153:170" x14ac:dyDescent="0.35">
      <c r="EW8757" s="48"/>
      <c r="FB8757" s="5"/>
      <c r="FI8757" s="5"/>
      <c r="FJ8757" s="164"/>
      <c r="FL8757" s="2"/>
      <c r="FN8757" s="2"/>
    </row>
    <row r="8758" spans="153:170" x14ac:dyDescent="0.35">
      <c r="EW8758" s="48"/>
      <c r="FB8758" s="5"/>
      <c r="FI8758" s="5"/>
      <c r="FJ8758" s="164"/>
      <c r="FL8758" s="2"/>
      <c r="FN8758" s="2"/>
    </row>
    <row r="8759" spans="153:170" x14ac:dyDescent="0.35">
      <c r="EW8759" s="48"/>
      <c r="FB8759" s="5"/>
      <c r="FI8759" s="5"/>
      <c r="FJ8759" s="164"/>
      <c r="FL8759" s="2"/>
      <c r="FN8759" s="2"/>
    </row>
    <row r="8760" spans="153:170" x14ac:dyDescent="0.35">
      <c r="EW8760" s="48"/>
      <c r="FB8760" s="5"/>
      <c r="FI8760" s="5"/>
      <c r="FJ8760" s="164"/>
      <c r="FL8760" s="2"/>
      <c r="FN8760" s="2"/>
    </row>
    <row r="8761" spans="153:170" x14ac:dyDescent="0.35">
      <c r="EW8761" s="48"/>
      <c r="FB8761" s="5"/>
      <c r="FI8761" s="5"/>
      <c r="FJ8761" s="164"/>
      <c r="FL8761" s="2"/>
      <c r="FN8761" s="2"/>
    </row>
    <row r="8762" spans="153:170" x14ac:dyDescent="0.35">
      <c r="EW8762" s="48"/>
      <c r="FB8762" s="5"/>
      <c r="FI8762" s="5"/>
      <c r="FJ8762" s="164"/>
      <c r="FL8762" s="2"/>
      <c r="FN8762" s="2"/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Origen de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2026-05-13T06:56:57Z</dcterms:modified>
</cp:coreProperties>
</file>